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847" firstSheet="0" activeTab="3" autoFilterDateGrouping="1"/>
  </bookViews>
  <sheets>
    <sheet name="Résultats observations" sheetId="1" state="visible" r:id="rId1"/>
    <sheet name="Résultats Projection" sheetId="2" state="visible" r:id="rId2"/>
    <sheet name="DATABASE" sheetId="3" state="visible" r:id="rId3"/>
    <sheet name="Graphiques" sheetId="4" state="visible" r:id="rId4"/>
    <sheet name="commentaires" sheetId="5" state="visible" r:id="rId5"/>
    <sheet name="CORDES REF1" sheetId="6" state="visible" r:id="rId6"/>
    <sheet name="CORDES REF2" sheetId="7" state="visible" r:id="rId7"/>
    <sheet name="ÉVOLUTION PM H V" sheetId="8" state="visible" r:id="rId8"/>
    <sheet name="Déplacements" sheetId="9" state="visible" r:id="rId9"/>
  </sheets>
  <definedNames>
    <definedName name="cintre">'Résultats observations'!#REF!</definedName>
    <definedName name="date">'Résultats observations'!$A:$A</definedName>
    <definedName name="DH_BD">'Résultats observations'!#REF!</definedName>
    <definedName name="DH_BG">'Résultats observations'!#REF!</definedName>
    <definedName name="DH_HD">'Résultats observations'!#REF!</definedName>
    <definedName name="DH_HG">'Résultats observations'!#REF!</definedName>
    <definedName name="DH_ID">'Résultats observations'!#REF!</definedName>
    <definedName name="DH_IG">'Résultats observations'!#REF!</definedName>
    <definedName name="DHhaut">'Résultats observations'!#REF!</definedName>
    <definedName name="dist">'Résultats observations'!#REF!</definedName>
    <definedName name="DPM_BD">'Résultats observations'!#REF!</definedName>
    <definedName name="DPM_BG">'Résultats observations'!#REF!</definedName>
    <definedName name="DPM_HD">'Résultats observations'!#REF!</definedName>
    <definedName name="DPM_HG">'Résultats observations'!#REF!</definedName>
    <definedName name="DPM_ID">'Résultats observations'!#REF!</definedName>
    <definedName name="DPM_IG">'Résultats observations'!#REF!</definedName>
    <definedName name="DPMhaut">'Résultats observations'!#REF!</definedName>
    <definedName name="DZ_BD">'Résultats observations'!#REF!</definedName>
    <definedName name="DZ_BG">'Résultats observations'!#REF!</definedName>
    <definedName name="DZ_HD">'Résultats observations'!#REF!</definedName>
    <definedName name="DZ_HG">'Résultats observations'!#REF!</definedName>
    <definedName name="DZ_ID">'Résultats observations'!#REF!</definedName>
    <definedName name="DZ_IG">'Résultats observations'!#REF!</definedName>
    <definedName name="DZhaut">'Résultats observations'!#REF!</definedName>
    <definedName name="Ecart_BD">'Résultats observations'!#REF!</definedName>
    <definedName name="Ecart_BG">'Résultats observations'!#REF!</definedName>
    <definedName name="Ecart_HD">'Résultats observations'!#REF!</definedName>
    <definedName name="Ecart_HG">'Résultats observations'!#REF!</definedName>
    <definedName name="Ecart_ID">'Résultats observations'!#REF!</definedName>
    <definedName name="Ecart_IG">'Résultats observations'!#REF!</definedName>
    <definedName name="Ecart_LB">'Résultats observations'!#REF!</definedName>
    <definedName name="Ecart_LH">'Résultats observations'!#REF!</definedName>
    <definedName name="Ecart_LI">'Résultats observations'!#REF!</definedName>
    <definedName name="excav">'Résultats observations'!$A$7</definedName>
    <definedName name="front">'Résultats observations'!#REF!</definedName>
    <definedName name="galerie">'Résultats observations'!$E$4</definedName>
    <definedName name="jours">'Résultats observations'!$B:$B</definedName>
    <definedName name="PM">'Résultats observations'!#REF!</definedName>
    <definedName name="Xbasdroit">'Résultats observations'!#REF!</definedName>
    <definedName name="Xbasgauche">'Résultats observations'!$C:$C</definedName>
    <definedName name="Xhaut">'Résultats observations'!$L:$L</definedName>
    <definedName name="Xhautdroit">'Résultats observations'!#REF!</definedName>
    <definedName name="Xhautgauche">'Résultats observations'!$I:$I</definedName>
    <definedName name="Xinterdroit">'Résultats observations'!#REF!</definedName>
    <definedName name="Xintergauche">'Résultats observations'!$F:$F</definedName>
    <definedName name="Ybasdroit">'Résultats observations'!#REF!</definedName>
    <definedName name="Ybasgauche">'Résultats observations'!$D:$D</definedName>
    <definedName name="Yhaut">'Résultats observations'!$M:$M</definedName>
    <definedName name="Yhautdroit">'Résultats observations'!#REF!</definedName>
    <definedName name="Yhautgauche">'Résultats observations'!$J:$J</definedName>
    <definedName name="Yinterdroit">'Résultats observations'!#REF!</definedName>
    <definedName name="Yintergauche">'Résultats observations'!$G:$G</definedName>
    <definedName name="Zbasdroit">'Résultats observations'!#REF!</definedName>
    <definedName name="Zbasgauche">'Résultats observations'!$E:$E</definedName>
    <definedName name="Zhaut">'Résultats observations'!$N:$N</definedName>
    <definedName name="Zhautdroit">'Résultats observations'!#REF!</definedName>
    <definedName name="Zhautgauche">'Résultats observations'!$K:$K</definedName>
    <definedName name="Zinterdroit">'Résultats observations'!#REF!</definedName>
    <definedName name="Zintergauche">'Résultats observations'!$H:$H</definedName>
    <definedName name="_xlnm.Print_Titles" localSheetId="0">'Résultats observations'!$1:$9</definedName>
    <definedName name="_xlnm.Print_Area" localSheetId="0">'Résultats observations'!$A$1:$N$10</definedName>
    <definedName name="cintre" localSheetId="1">'Résultats Projection'!#REF!</definedName>
    <definedName name="date" localSheetId="1">'Résultats Projection'!$A:$A</definedName>
    <definedName name="DH_BD" localSheetId="1">'Résultats Projection'!#REF!</definedName>
    <definedName name="DH_BG" localSheetId="1">'Résultats Projection'!#REF!</definedName>
    <definedName name="DH_HD" localSheetId="1">'Résultats Projection'!#REF!</definedName>
    <definedName name="DH_HG" localSheetId="1">'Résultats Projection'!#REF!</definedName>
    <definedName name="DH_ID" localSheetId="1">'Résultats Projection'!#REF!</definedName>
    <definedName name="DH_IG" localSheetId="1">'Résultats Projection'!#REF!</definedName>
    <definedName name="DHhaut" localSheetId="1">'Résultats Projection'!#REF!</definedName>
    <definedName name="dist" localSheetId="1">'Résultats Projection'!#REF!</definedName>
    <definedName name="DPM_BD" localSheetId="1">'Résultats Projection'!#REF!</definedName>
    <definedName name="DPM_BG" localSheetId="1">'Résultats Projection'!#REF!</definedName>
    <definedName name="DPM_HD" localSheetId="1">'Résultats Projection'!#REF!</definedName>
    <definedName name="DPM_HG" localSheetId="1">'Résultats Projection'!#REF!</definedName>
    <definedName name="DPM_ID" localSheetId="1">'Résultats Projection'!#REF!</definedName>
    <definedName name="DPM_IG" localSheetId="1">'Résultats Projection'!#REF!</definedName>
    <definedName name="DPMhaut" localSheetId="1">'Résultats Projection'!#REF!</definedName>
    <definedName name="DZ_BD" localSheetId="1">'Résultats Projection'!#REF!</definedName>
    <definedName name="DZ_BG" localSheetId="1">'Résultats Projection'!#REF!</definedName>
    <definedName name="DZ_HD" localSheetId="1">'Résultats Projection'!#REF!</definedName>
    <definedName name="DZ_HG" localSheetId="1">'Résultats Projection'!#REF!</definedName>
    <definedName name="DZ_ID" localSheetId="1">'Résultats Projection'!#REF!</definedName>
    <definedName name="DZ_IG" localSheetId="1">'Résultats Projection'!#REF!</definedName>
    <definedName name="DZhaut" localSheetId="1">'Résultats Projection'!#REF!</definedName>
    <definedName name="Ecart_BD" localSheetId="1">'Résultats Projection'!#REF!</definedName>
    <definedName name="Ecart_BG" localSheetId="1">'Résultats Projection'!#REF!</definedName>
    <definedName name="Ecart_HD" localSheetId="1">'Résultats Projection'!#REF!</definedName>
    <definedName name="Ecart_HG" localSheetId="1">'Résultats Projection'!#REF!</definedName>
    <definedName name="Ecart_ID" localSheetId="1">'Résultats Projection'!#REF!</definedName>
    <definedName name="Ecart_IG" localSheetId="1">'Résultats Projection'!#REF!</definedName>
    <definedName name="Ecart_LB" localSheetId="1">'Résultats Projection'!#REF!</definedName>
    <definedName name="Ecart_LH" localSheetId="1">'Résultats Projection'!#REF!</definedName>
    <definedName name="Ecart_LI" localSheetId="1">'Résultats Projection'!#REF!</definedName>
    <definedName name="excav" localSheetId="1">'Résultats Projection'!$A$7</definedName>
    <definedName name="front" localSheetId="1">'Résultats Projection'!#REF!</definedName>
    <definedName name="galerie" localSheetId="1">'Résultats Projection'!$E$4</definedName>
    <definedName name="jours" localSheetId="1">'Résultats Projection'!$B:$B</definedName>
    <definedName name="PM" localSheetId="1">'Résultats Projection'!#REF!</definedName>
    <definedName name="Xbasdroit" localSheetId="1">'Résultats Projection'!#REF!</definedName>
    <definedName name="Xbasgauche" localSheetId="1">'Résultats Projection'!$C:$C</definedName>
    <definedName name="Xhaut" localSheetId="1">'Résultats Projection'!$L:$L</definedName>
    <definedName name="Xhautdroit" localSheetId="1">'Résultats Projection'!#REF!</definedName>
    <definedName name="Xhautgauche" localSheetId="1">'Résultats Projection'!$I:$I</definedName>
    <definedName name="Xinterdroit" localSheetId="1">'Résultats Projection'!#REF!</definedName>
    <definedName name="Xintergauche" localSheetId="1">'Résultats Projection'!$F:$F</definedName>
    <definedName name="Ybasdroit" localSheetId="1">'Résultats Projection'!#REF!</definedName>
    <definedName name="Ybasgauche" localSheetId="1">'Résultats Projection'!$D:$D</definedName>
    <definedName name="Yhaut" localSheetId="1">'Résultats Projection'!$M:$M</definedName>
    <definedName name="Yhautdroit" localSheetId="1">'Résultats Projection'!#REF!</definedName>
    <definedName name="Yhautgauche" localSheetId="1">'Résultats Projection'!$J:$J</definedName>
    <definedName name="Yinterdroit" localSheetId="1">'Résultats Projection'!#REF!</definedName>
    <definedName name="Yintergauche" localSheetId="1">'Résultats Projection'!$G:$G</definedName>
    <definedName name="Zbasdroit" localSheetId="1">'Résultats Projection'!#REF!</definedName>
    <definedName name="Zbasgauche" localSheetId="1">'Résultats Projection'!$E:$E</definedName>
    <definedName name="Zhaut" localSheetId="1">'Résultats Projection'!$N:$N</definedName>
    <definedName name="Zhautdroit" localSheetId="1">'Résultats Projection'!#REF!</definedName>
    <definedName name="Zhautgauche" localSheetId="1">'Résultats Projection'!$K:$K</definedName>
    <definedName name="Zinterdroit" localSheetId="1">'Résultats Projection'!#REF!</definedName>
    <definedName name="Zintergauche" localSheetId="1">'Résultats Projection'!$H:$H</definedName>
    <definedName name="_xlnm.Print_Titles" localSheetId="1">'Résultats Projection'!$1:$9</definedName>
    <definedName name="_xlnm.Print_Area" localSheetId="1">'Résultats Projection'!$A$1:$N$10</definedName>
    <definedName name="_xlnm.Print_Area" localSheetId="3">'Graphiques'!$B$2:$L$33,'Graphiques'!$B$35:$L$66,'Graphiques'!$N$2:$X$33,'Graphiques'!$N$35:$X$66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\ /\ mm\ /\ yy"/>
    <numFmt numFmtId="165" formatCode="0.0000"/>
    <numFmt numFmtId="166" formatCode="\+0.0000;[Red]\-0.0000"/>
    <numFmt numFmtId="167" formatCode="0.000"/>
    <numFmt numFmtId="168" formatCode="0.0"/>
    <numFmt numFmtId="169" formatCode="0.00000"/>
  </numFmts>
  <fonts count="2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sz val="12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sz val="20"/>
    </font>
    <font>
      <name val="Arial"/>
      <family val="2"/>
      <sz val="14"/>
    </font>
    <font>
      <name val="Arial"/>
      <family val="2"/>
      <color rgb="FFFF0000"/>
      <sz val="14"/>
    </font>
    <font>
      <name val="Courier (W1)"/>
      <family val="3"/>
      <color indexed="10"/>
      <sz val="10"/>
    </font>
    <font>
      <name val="Courier (W1)"/>
      <family val="3"/>
      <color indexed="39"/>
      <sz val="10"/>
    </font>
    <font>
      <name val="Courier New"/>
      <family val="3"/>
      <color indexed="39"/>
      <sz val="11"/>
    </font>
    <font>
      <name val="Arial"/>
      <family val="2"/>
      <color theme="0"/>
      <sz val="10"/>
    </font>
    <font>
      <name val="Arial"/>
      <family val="2"/>
      <color theme="2"/>
      <sz val="10"/>
    </font>
    <font>
      <name val="Arial"/>
      <family val="2"/>
      <color rgb="FF0070C0"/>
      <sz val="10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1" fillId="5" borderId="12"/>
    <xf numFmtId="0" fontId="11" fillId="0" borderId="0"/>
    <xf numFmtId="9" fontId="11" fillId="0" borderId="0"/>
    <xf numFmtId="0" fontId="1" fillId="0" borderId="0"/>
    <xf numFmtId="0" fontId="1" fillId="5" borderId="1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/>
  </cellStyleXfs>
  <cellXfs count="178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6" fillId="2" borderId="2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4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5" fontId="6" fillId="2" borderId="2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1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7" borderId="0" pivotButton="0" quotePrefix="0" xfId="0"/>
    <xf numFmtId="0" fontId="4" fillId="7" borderId="14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4" fontId="0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3" applyAlignment="1" pivotButton="0" quotePrefix="0" xfId="0">
      <alignment vertical="center"/>
    </xf>
    <xf numFmtId="0" fontId="0" fillId="7" borderId="15" pivotButton="0" quotePrefix="0" xfId="0"/>
    <xf numFmtId="0" fontId="0" fillId="7" borderId="16" pivotButton="0" quotePrefix="0" xfId="0"/>
    <xf numFmtId="0" fontId="0" fillId="7" borderId="15" applyAlignment="1" pivotButton="0" quotePrefix="0" xfId="0">
      <alignment vertical="center"/>
    </xf>
    <xf numFmtId="0" fontId="0" fillId="7" borderId="16" applyAlignment="1" pivotButton="0" quotePrefix="0" xfId="0">
      <alignment vertical="center"/>
    </xf>
    <xf numFmtId="164" fontId="6" fillId="8" borderId="2" applyAlignment="1" pivotButton="0" quotePrefix="0" xfId="0">
      <alignment horizontal="center" vertical="center"/>
    </xf>
    <xf numFmtId="1" fontId="6" fillId="8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9" fillId="10" borderId="7" pivotButton="0" quotePrefix="0" xfId="0"/>
    <xf numFmtId="2" fontId="9" fillId="10" borderId="9" pivotButton="0" quotePrefix="0" xfId="0"/>
    <xf numFmtId="2" fontId="0" fillId="0" borderId="1" applyAlignment="1" pivotButton="0" quotePrefix="0" xfId="0">
      <alignment horizontal="center"/>
    </xf>
    <xf numFmtId="167" fontId="9" fillId="10" borderId="0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4" fontId="0" fillId="0" borderId="0" pivotButton="0" quotePrefix="0" xfId="0"/>
    <xf numFmtId="2" fontId="9" fillId="11" borderId="7" pivotButton="0" quotePrefix="0" xfId="0"/>
    <xf numFmtId="2" fontId="9" fillId="11" borderId="9" pivotButton="0" quotePrefix="0" xfId="0"/>
    <xf numFmtId="167" fontId="8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9" fillId="11" borderId="0" applyAlignment="1" pivotButton="0" quotePrefix="0" xfId="0">
      <alignment horizontal="center"/>
    </xf>
    <xf numFmtId="0" fontId="8" fillId="9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8" fillId="12" borderId="2" applyAlignment="1" pivotButton="0" quotePrefix="0" xfId="0">
      <alignment horizontal="center" vertical="center"/>
    </xf>
    <xf numFmtId="1" fontId="15" fillId="2" borderId="0" applyAlignment="1" pivotButton="0" quotePrefix="0" xfId="0">
      <alignment horizontal="center"/>
    </xf>
    <xf numFmtId="165" fontId="15" fillId="2" borderId="0" applyAlignment="1" pivotButton="0" quotePrefix="0" xfId="0">
      <alignment horizontal="center"/>
    </xf>
    <xf numFmtId="165" fontId="0" fillId="2" borderId="0" applyAlignment="1" pivotButton="0" quotePrefix="0" xfId="0">
      <alignment horizontal="center"/>
    </xf>
    <xf numFmtId="165" fontId="4" fillId="13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Continuous"/>
    </xf>
    <xf numFmtId="0" fontId="13" fillId="0" borderId="0" pivotButton="0" quotePrefix="0" xfId="0"/>
    <xf numFmtId="14" fontId="5" fillId="14" borderId="23" applyAlignment="1" pivotButton="0" quotePrefix="0" xfId="0">
      <alignment horizontal="center"/>
    </xf>
    <xf numFmtId="0" fontId="5" fillId="14" borderId="23" applyAlignment="1" pivotButton="0" quotePrefix="0" xfId="0">
      <alignment horizontal="center"/>
    </xf>
    <xf numFmtId="165" fontId="5" fillId="14" borderId="24" applyAlignment="1" pivotButton="0" quotePrefix="0" xfId="0">
      <alignment horizontal="center"/>
    </xf>
    <xf numFmtId="165" fontId="5" fillId="14" borderId="25" applyAlignment="1" pivotButton="0" quotePrefix="0" xfId="0">
      <alignment horizontal="center"/>
    </xf>
    <xf numFmtId="0" fontId="15" fillId="0" borderId="0" pivotButton="0" quotePrefix="0" xfId="0"/>
    <xf numFmtId="165" fontId="16" fillId="2" borderId="0" applyAlignment="1" pivotButton="0" quotePrefix="0" xfId="0">
      <alignment horizontal="center"/>
    </xf>
    <xf numFmtId="2" fontId="5" fillId="0" borderId="23" applyAlignment="1" pivotButton="0" quotePrefix="0" xfId="0">
      <alignment horizontal="center"/>
    </xf>
    <xf numFmtId="2" fontId="5" fillId="0" borderId="24" applyAlignment="1" pivotButton="0" quotePrefix="0" xfId="0">
      <alignment horizontal="center"/>
    </xf>
    <xf numFmtId="2" fontId="5" fillId="0" borderId="25" applyAlignment="1" pivotButton="0" quotePrefix="0" xfId="0">
      <alignment horizontal="center"/>
    </xf>
    <xf numFmtId="0" fontId="5" fillId="14" borderId="26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165" fontId="0" fillId="0" borderId="28" applyAlignment="1" pivotButton="0" quotePrefix="0" xfId="0">
      <alignment horizontal="center" vertical="center"/>
    </xf>
    <xf numFmtId="2" fontId="17" fillId="8" borderId="27" applyAlignment="1" pivotButton="0" quotePrefix="0" xfId="0">
      <alignment horizontal="center"/>
    </xf>
    <xf numFmtId="2" fontId="17" fillId="8" borderId="2" applyAlignment="1" pivotButton="0" quotePrefix="0" xfId="0">
      <alignment horizontal="center"/>
    </xf>
    <xf numFmtId="2" fontId="0" fillId="8" borderId="2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5" fontId="0" fillId="0" borderId="27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7" fontId="0" fillId="0" borderId="2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165" fontId="0" fillId="0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7" fontId="0" fillId="0" borderId="0" pivotButton="0" quotePrefix="0" xfId="0"/>
    <xf numFmtId="0" fontId="0" fillId="15" borderId="2" applyAlignment="1" pivotButton="0" quotePrefix="0" xfId="0">
      <alignment horizontal="center" vertical="center"/>
    </xf>
    <xf numFmtId="167" fontId="17" fillId="8" borderId="27" applyAlignment="1" pivotButton="0" quotePrefix="0" xfId="0">
      <alignment horizontal="center"/>
    </xf>
    <xf numFmtId="167" fontId="17" fillId="8" borderId="2" applyAlignment="1" pivotButton="0" quotePrefix="0" xfId="0">
      <alignment horizontal="center"/>
    </xf>
    <xf numFmtId="167" fontId="0" fillId="8" borderId="2" applyAlignment="1" pivotButton="0" quotePrefix="0" xfId="0">
      <alignment horizontal="center"/>
    </xf>
    <xf numFmtId="167" fontId="0" fillId="0" borderId="28" applyAlignment="1" pivotButton="0" quotePrefix="0" xfId="0">
      <alignment horizontal="center"/>
    </xf>
    <xf numFmtId="9" fontId="9" fillId="11" borderId="0" applyAlignment="1" pivotButton="0" quotePrefix="0" xfId="20">
      <alignment horizontal="center"/>
    </xf>
    <xf numFmtId="165" fontId="6" fillId="0" borderId="2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" fillId="0" borderId="2" pivotButton="0" quotePrefix="0" xfId="0"/>
    <xf numFmtId="1" fontId="6" fillId="3" borderId="2" applyAlignment="1" pivotButton="0" quotePrefix="0" xfId="0">
      <alignment horizontal="center" vertical="center" wrapText="1"/>
    </xf>
    <xf numFmtId="169" fontId="0" fillId="0" borderId="0" pivotButton="0" quotePrefix="0" xfId="0"/>
    <xf numFmtId="165" fontId="0" fillId="0" borderId="0" pivotButton="0" quotePrefix="0" xfId="0"/>
    <xf numFmtId="14" fontId="6" fillId="8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3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" fillId="0" borderId="9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30" applyAlignment="1" pivotButton="0" quotePrefix="0" xfId="0">
      <alignment horizontal="center" vertical="center"/>
    </xf>
    <xf numFmtId="0" fontId="0" fillId="0" borderId="11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12" fillId="8" borderId="3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6" pivotButton="0" quotePrefix="0" xfId="0"/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16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0" fontId="9" fillId="6" borderId="2" applyAlignment="1" pivotButton="0" quotePrefix="0" xfId="0">
      <alignment horizontal="center" vertical="center"/>
    </xf>
    <xf numFmtId="0" fontId="9" fillId="6" borderId="30" applyAlignment="1" pivotButton="0" quotePrefix="0" xfId="0">
      <alignment horizontal="center" vertical="center"/>
    </xf>
    <xf numFmtId="166" fontId="0" fillId="0" borderId="0" pivotButton="0" quotePrefix="0" xfId="0"/>
    <xf numFmtId="166" fontId="12" fillId="8" borderId="31" applyAlignment="1" pivotButton="0" quotePrefix="0" xfId="0">
      <alignment horizontal="center" vertical="center"/>
    </xf>
    <xf numFmtId="167" fontId="9" fillId="10" borderId="0" applyAlignment="1" pivotButton="0" quotePrefix="0" xfId="0">
      <alignment horizontal="center"/>
    </xf>
    <xf numFmtId="167" fontId="8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0" fillId="0" borderId="2" applyAlignment="1" pivotButton="0" quotePrefix="0" xfId="0">
      <alignment horizontal="center" vertical="center"/>
    </xf>
    <xf numFmtId="167" fontId="0" fillId="0" borderId="28" applyAlignment="1" pivotButton="0" quotePrefix="0" xfId="0">
      <alignment horizontal="center" vertical="center"/>
    </xf>
    <xf numFmtId="169" fontId="0" fillId="0" borderId="0" pivotButton="0" quotePrefix="0" xfId="0"/>
    <xf numFmtId="167" fontId="0" fillId="0" borderId="0" pivotButton="0" quotePrefix="0" xfId="0"/>
    <xf numFmtId="167" fontId="17" fillId="8" borderId="27" applyAlignment="1" pivotButton="0" quotePrefix="0" xfId="0">
      <alignment horizontal="center"/>
    </xf>
    <xf numFmtId="167" fontId="17" fillId="8" borderId="2" applyAlignment="1" pivotButton="0" quotePrefix="0" xfId="0">
      <alignment horizontal="center"/>
    </xf>
    <xf numFmtId="167" fontId="0" fillId="8" borderId="2" applyAlignment="1" pivotButton="0" quotePrefix="0" xfId="0">
      <alignment horizontal="center"/>
    </xf>
    <xf numFmtId="167" fontId="0" fillId="0" borderId="28" applyAlignment="1" pivotButton="0" quotePrefix="0" xfId="0">
      <alignment horizontal="center"/>
    </xf>
  </cellXfs>
  <cellStyles count="21">
    <cellStyle name="Normal" xfId="0" builtinId="0"/>
    <cellStyle name="Normal 2" xfId="1"/>
    <cellStyle name="Commentaire 2" xfId="2"/>
    <cellStyle name="Normal 2 2" xfId="3"/>
    <cellStyle name="Pourcentage 2" xfId="4"/>
    <cellStyle name="Normal 3" xfId="5"/>
    <cellStyle name="Commentaire 3" xfId="6"/>
    <cellStyle name="Normal 4" xfId="7"/>
    <cellStyle name="Normal 3 2" xfId="8"/>
    <cellStyle name="Normal 7" xfId="9"/>
    <cellStyle name="Normal 4 3" xfId="10"/>
    <cellStyle name="Normal 3 4" xfId="11"/>
    <cellStyle name="Normal 3 2 3" xfId="12"/>
    <cellStyle name="Normal 5" xfId="13"/>
    <cellStyle name="Normal 6" xfId="14"/>
    <cellStyle name="Normal 4 2" xfId="15"/>
    <cellStyle name="Normal 3 3" xfId="16"/>
    <cellStyle name="Normal 3 2 2" xfId="17"/>
    <cellStyle name="Normal 5 2" xfId="18"/>
    <cellStyle name="Normal 2 2 2" xfId="19"/>
    <cellStyle name="Pourcentage" xfId="20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Déplacements!$E$9</f>
              <strCache>
                <ptCount val="1"/>
                <pt idx="0">
                  <v>V1_Z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Déplacements!$E$10:$E$103</f>
              <numCache>
                <formatCode>General</formatCode>
                <ptCount val="94"/>
              </numCache>
            </numRef>
          </yVal>
          <smooth val="0"/>
        </ser>
        <ser>
          <idx val="8"/>
          <order val="1"/>
          <tx>
            <strRef>
              <f>Déplacements!$H$9</f>
              <strCache>
                <ptCount val="1"/>
                <pt idx="0">
                  <v>V2_Z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Déplacements!$H$10:$H$103</f>
              <numCache>
                <formatCode>General</formatCode>
                <ptCount val="94"/>
              </numCache>
            </numRef>
          </yVal>
          <smooth val="0"/>
        </ser>
        <ser>
          <idx val="9"/>
          <order val="2"/>
          <tx>
            <strRef>
              <f>Déplacements!$K$9</f>
              <strCache>
                <ptCount val="1"/>
                <pt idx="0">
                  <v>V3_Z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Déplacements!$K$10:$K$103</f>
              <numCache>
                <formatCode>General</formatCode>
                <ptCount val="94"/>
              </numCache>
            </numRef>
          </yVal>
          <smooth val="0"/>
        </ser>
        <ser>
          <idx val="10"/>
          <order val="3"/>
          <tx>
            <strRef>
              <f>Déplacements!$N$9</f>
              <strCache>
                <ptCount val="1"/>
                <pt idx="0">
                  <v>H1_Z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Déplacements!$N$10:$N$103</f>
              <numCache>
                <formatCode>General</formatCode>
                <ptCount val="94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454385656"/>
        <axId val="454386048"/>
      </scatterChart>
      <valAx>
        <axId val="454385656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4386048"/>
        <crossesAt val="0"/>
        <crossBetween val="midCat"/>
        <majorUnit val="7"/>
      </valAx>
      <valAx>
        <axId val="454386048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DEPLACEMENT ALTIMETRIQUE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4385656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51765451088331"/>
          <y val="0.543531034339051"/>
          <w val="0.3010939576730396"/>
          <h val="0.20780002527358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latéral GER = PM sur axe alvéole</a:t>
            </a:r>
          </a:p>
        </rich>
      </tx>
      <layout>
        <manualLayout>
          <xMode val="edge"/>
          <yMode val="edge"/>
          <wMode val="factor"/>
          <hMode val="factor"/>
          <x val="0.3796253290423321"/>
          <y val="0.009202257409890786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Déplacements!$C$9</f>
              <strCache>
                <ptCount val="1"/>
                <pt idx="0">
                  <v>V1_X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Déplacements!$C$10:$C$103</f>
              <numCache>
                <formatCode>General</formatCode>
                <ptCount val="94"/>
              </numCache>
            </numRef>
          </yVal>
          <smooth val="0"/>
        </ser>
        <ser>
          <idx val="8"/>
          <order val="1"/>
          <tx>
            <strRef>
              <f>Déplacements!$F$9</f>
              <strCache>
                <ptCount val="1"/>
                <pt idx="0">
                  <v>V2_X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Déplacements!$F$10:$F$103</f>
              <numCache>
                <formatCode>General</formatCode>
                <ptCount val="94"/>
              </numCache>
            </numRef>
          </yVal>
          <smooth val="0"/>
        </ser>
        <ser>
          <idx val="9"/>
          <order val="2"/>
          <tx>
            <strRef>
              <f>Déplacements!$I$9</f>
              <strCache>
                <ptCount val="1"/>
                <pt idx="0">
                  <v>V3_X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Déplacements!$I$10:$I$103</f>
              <numCache>
                <formatCode>General</formatCode>
                <ptCount val="94"/>
              </numCache>
            </numRef>
          </yVal>
          <smooth val="0"/>
        </ser>
        <ser>
          <idx val="10"/>
          <order val="3"/>
          <tx>
            <strRef>
              <f>Déplacements!$L$9</f>
              <strCache>
                <ptCount val="1"/>
                <pt idx="0">
                  <v>H1_X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Déplacements!$L$10:$L$103</f>
              <numCache>
                <formatCode>General</formatCode>
                <ptCount val="94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6549928"/>
        <axId val="656550320"/>
      </scatterChart>
      <valAx>
        <axId val="656549928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6550320"/>
        <crossesAt val="0"/>
        <crossBetween val="midCat"/>
        <majorUnit val="7"/>
      </valAx>
      <valAx>
        <axId val="656550320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interieur GER [mm]                         vers exterieur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6549928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2780104913892"/>
          <y val="0.4924104162029824"/>
          <w val="0.2100876450737154"/>
          <h val="0.24765957171354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PM GER = déport sur axe alvéole</a:t>
            </a:r>
          </a:p>
        </rich>
      </tx>
      <layout>
        <manualLayout>
          <xMode val="edge"/>
          <yMode val="edge"/>
          <wMode val="factor"/>
          <hMode val="factor"/>
          <x val="0.3486452522121121"/>
          <y val="0.00645242315025231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Déplacements!$D$9</f>
              <strCache>
                <ptCount val="1"/>
                <pt idx="0">
                  <v>V1_Y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Déplacements!$D$10:$D$103</f>
              <numCache>
                <formatCode>General</formatCode>
                <ptCount val="94"/>
              </numCache>
            </numRef>
          </yVal>
          <smooth val="0"/>
        </ser>
        <ser>
          <idx val="8"/>
          <order val="1"/>
          <tx>
            <strRef>
              <f>Déplacements!$G$9</f>
              <strCache>
                <ptCount val="1"/>
                <pt idx="0">
                  <v>V2_Y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Déplacements!$G$10:$G$103</f>
              <numCache>
                <formatCode>General</formatCode>
                <ptCount val="94"/>
              </numCache>
            </numRef>
          </yVal>
          <smooth val="0"/>
        </ser>
        <ser>
          <idx val="9"/>
          <order val="2"/>
          <tx>
            <strRef>
              <f>Déplacements!$J$9</f>
              <strCache>
                <ptCount val="1"/>
                <pt idx="0">
                  <v>V3_Y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Déplacements!$J$10:$J$103</f>
              <numCache>
                <formatCode>General</formatCode>
                <ptCount val="94"/>
              </numCache>
            </numRef>
          </yVal>
          <smooth val="0"/>
        </ser>
        <ser>
          <idx val="10"/>
          <order val="3"/>
          <tx>
            <strRef>
              <f>Déplacements!$M$9</f>
              <strCache>
                <ptCount val="1"/>
                <pt idx="0">
                  <v>H1_Y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Déplacements!$M$10:$M$103</f>
              <numCache>
                <formatCode>General</formatCode>
                <ptCount val="94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483104"/>
        <axId val="658483496"/>
      </scatterChart>
      <valAx>
        <axId val="65848310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483496"/>
        <crossesAt val="0"/>
        <crossBetween val="midCat"/>
        <majorUnit val="7"/>
      </valAx>
      <valAx>
        <axId val="65848349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Galerie GT1 (mm)                                           VERs front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48310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495760073901953"/>
          <y val="0.4642741375819707"/>
          <w val="0.1973720895074731"/>
          <h val="0.27205866272290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Mesure des cordes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18329312363"/>
          <y val="0.06313013402700836"/>
          <w val="0.8229895724188082"/>
          <h val="0.7125382957784515"/>
        </manualLayout>
      </layout>
      <scatterChart>
        <scatterStyle val="lineMarker"/>
        <varyColors val="0"/>
        <ser>
          <idx val="7"/>
          <order val="0"/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8"/>
          <order val="1"/>
          <spPr>
            <a:ln w="158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9"/>
          <order val="2"/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823864"/>
        <axId val="658824256"/>
      </scatterChart>
      <valAx>
        <axId val="65882386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cross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824256"/>
        <crossesAt val="0"/>
        <crossBetween val="midCat"/>
        <majorUnit val="7"/>
      </valAx>
      <valAx>
        <axId val="65882425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82386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86512555388303"/>
          <y val="0.5298993838754639"/>
          <w val="0.2201469675147119"/>
          <h val="0.18719747076295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image" Target="/xl/media/image3.png" Id="rId5" /><Relationship Type="http://schemas.openxmlformats.org/officeDocument/2006/relationships/image" Target="/xl/media/image4.png" Id="rId6" /><Relationship Type="http://schemas.openxmlformats.org/officeDocument/2006/relationships/image" Target="/xl/media/image5.png" Id="rId7" /><Relationship Type="http://schemas.openxmlformats.org/officeDocument/2006/relationships/image" Target="/xl/media/image6.png" Id="rId8" /><Relationship Type="http://schemas.openxmlformats.org/officeDocument/2006/relationships/image" Target="/xl/media/image7.png" Id="rId9" /><Relationship Type="http://schemas.openxmlformats.org/officeDocument/2006/relationships/image" Target="/xl/media/image8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1030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2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3921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99732</colOff>
      <row>6</row>
      <rowOff>87406</rowOff>
    </from>
    <to>
      <col>23</col>
      <colOff>571500</colOff>
      <row>32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101414</colOff>
      <row>39</row>
      <rowOff>63312</rowOff>
    </from>
    <to>
      <col>11</col>
      <colOff>601755</colOff>
      <row>65</row>
      <rowOff>98612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89648</colOff>
      <row>39</row>
      <rowOff>64994</rowOff>
    </from>
    <to>
      <col>23</col>
      <colOff>563177</colOff>
      <row>65</row>
      <rowOff>84044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absolute">
    <from>
      <col>1</col>
      <colOff>34019</colOff>
      <row>6</row>
      <rowOff>69475</rowOff>
    </from>
    <to>
      <col>11</col>
      <colOff>581025</colOff>
      <row>32</row>
      <rowOff>85724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9525</colOff>
      <row>1</row>
      <rowOff>0</rowOff>
    </from>
    <to>
      <col>4</col>
      <colOff>56030</colOff>
      <row>5</row>
      <rowOff>107016</rowOff>
    </to>
    <pic>
      <nvPicPr>
        <cNvPr id="4099" name="Image 9"/>
        <cNvPicPr>
          <a:picLocks noChangeAspect="1"/>
        </cNvPicPr>
      </nvPicPr>
      <blipFill>
        <a:blip cstate="print" r:embed="rId5"/>
        <a:srcRect/>
        <a:stretch>
          <a:fillRect/>
        </a:stretch>
      </blipFill>
      <spPr bwMode="auto">
        <a:xfrm>
          <a:off x="9525" y="0"/>
          <a:ext cx="1990725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127908</colOff>
      <row>1</row>
      <rowOff>0</rowOff>
    </from>
    <to>
      <col>16</col>
      <colOff>171691</colOff>
      <row>5</row>
      <rowOff>107016</rowOff>
    </to>
    <pic>
      <nvPicPr>
        <cNvPr id="4100" name="Image 13"/>
        <cNvPicPr>
          <a:picLocks noChangeAspect="1"/>
        </cNvPicPr>
      </nvPicPr>
      <blipFill>
        <a:blip cstate="print" r:embed="rId6"/>
        <a:srcRect/>
        <a:stretch>
          <a:fillRect/>
        </a:stretch>
      </blipFill>
      <spPr bwMode="auto">
        <a:xfrm>
          <a:off x="8060872" y="0"/>
          <a:ext cx="2001610" cy="7905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</col>
      <colOff>400050</colOff>
      <row>34</row>
      <rowOff>0</rowOff>
    </from>
    <to>
      <col>3</col>
      <colOff>610721</colOff>
      <row>38</row>
      <rowOff>7283</rowOff>
    </to>
    <pic>
      <nvPicPr>
        <cNvPr id="7" name="Image 13"/>
        <cNvPicPr>
          <a:picLocks noChangeAspect="1"/>
        </cNvPicPr>
      </nvPicPr>
      <blipFill>
        <a:blip cstate="print" r:embed="rId7"/>
        <a:srcRect/>
        <a:stretch>
          <a:fillRect/>
        </a:stretch>
      </blipFill>
      <spPr bwMode="auto">
        <a:xfrm>
          <a:off x="6096000" y="0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400050</colOff>
      <row>34</row>
      <rowOff>0</rowOff>
    </from>
    <to>
      <col>15</col>
      <colOff>610721</colOff>
      <row>38</row>
      <rowOff>7283</rowOff>
    </to>
    <pic>
      <nvPicPr>
        <cNvPr id="8" name="Image 13"/>
        <cNvPicPr>
          <a:picLocks noChangeAspect="1"/>
        </cNvPicPr>
      </nvPicPr>
      <blipFill>
        <a:blip cstate="print" r:embed="rId8"/>
        <a:srcRect/>
        <a:stretch>
          <a:fillRect/>
        </a:stretch>
      </blipFill>
      <spPr bwMode="auto">
        <a:xfrm>
          <a:off x="400050" y="5581650"/>
          <a:ext cx="1504950" cy="6762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35</col>
      <colOff>0</colOff>
      <row>8</row>
      <rowOff>0</rowOff>
    </from>
    <to>
      <col>41</col>
      <colOff>751809</colOff>
      <row>16</row>
      <rowOff>156286</rowOff>
    </to>
    <pic>
      <nvPicPr>
        <cNvPr id="6" name="Image 1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23023286" y="1401536"/>
          <a:ext cx="5323809" cy="15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27</col>
      <colOff>435429</colOff>
      <row>24</row>
      <rowOff>69893</rowOff>
    </from>
    <to>
      <col>29</col>
      <colOff>176893</colOff>
      <row>29</row>
      <rowOff>27214</rowOff>
    </to>
    <pic>
      <nvPicPr>
        <cNvPr id="9" name="Image 2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7131393" y="4301714"/>
          <a:ext cx="1496786" cy="84178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U16" activePane="bottomRight" state="frozenSplit"/>
      <selection activeCell="C7" sqref="C7"/>
      <selection pane="topRight" activeCell="C7" sqref="C7"/>
      <selection pane="bottomLeft" activeCell="C7" sqref="C7"/>
      <selection pane="bottomRight" activeCell="AW28" sqref="AW28"/>
    </sheetView>
  </sheetViews>
  <sheetFormatPr baseColWidth="10" defaultColWidth="11.42578125" defaultRowHeight="12.75"/>
  <cols>
    <col width="14.7109375" customWidth="1" style="153" min="1" max="1"/>
    <col width="7.7109375" customWidth="1" style="153" min="2" max="2"/>
    <col width="18.140625" customWidth="1" style="153" min="3" max="62"/>
    <col width="11.42578125" customWidth="1" style="153" min="63" max="63"/>
    <col width="11.42578125" customWidth="1" style="153" min="64" max="16384"/>
  </cols>
  <sheetData>
    <row r="1" ht="41.25" customHeight="1" s="144" thickBot="1">
      <c r="D1" s="129" t="inlineStr">
        <is>
          <t>AUSCULTATION CARREFOUR - MESURES XYZ</t>
        </is>
      </c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1" t="n"/>
    </row>
    <row r="2">
      <c r="A2" s="138" t="n"/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8" t="n"/>
      <c r="R2" s="138" t="n"/>
      <c r="S2" s="138" t="n"/>
      <c r="T2" s="138" t="n"/>
      <c r="U2" s="138" t="n"/>
      <c r="V2" s="138" t="n"/>
      <c r="W2" s="138" t="n"/>
      <c r="X2" s="138" t="n"/>
      <c r="Y2" s="138" t="n"/>
      <c r="Z2" s="138" t="n"/>
      <c r="AA2" s="138" t="n"/>
      <c r="AB2" s="138" t="n"/>
      <c r="AC2" s="138" t="n"/>
      <c r="AD2" s="138" t="n"/>
      <c r="AE2" s="138" t="n"/>
      <c r="AF2" s="138" t="n"/>
      <c r="AG2" s="138" t="n"/>
      <c r="AH2" s="138" t="n"/>
      <c r="AI2" s="138" t="n"/>
      <c r="AJ2" s="138" t="n"/>
      <c r="AK2" s="138" t="n"/>
      <c r="AL2" s="138" t="n"/>
      <c r="AM2" s="138" t="n"/>
      <c r="AN2" s="138" t="n"/>
      <c r="AO2" s="138" t="n"/>
      <c r="AP2" s="138" t="n"/>
      <c r="AQ2" s="138" t="n"/>
      <c r="AR2" s="138" t="n"/>
      <c r="AS2" s="138" t="n"/>
      <c r="AT2" s="138" t="n"/>
      <c r="AU2" s="138" t="n"/>
      <c r="AV2" s="138" t="n"/>
      <c r="AW2" s="138" t="n"/>
      <c r="AX2" s="138" t="n"/>
      <c r="AY2" s="138" t="n"/>
      <c r="AZ2" s="138" t="n"/>
      <c r="BA2" s="138" t="n"/>
      <c r="BB2" s="138" t="n"/>
      <c r="BC2" s="138" t="n"/>
      <c r="BD2" s="138" t="n"/>
      <c r="BE2" s="138" t="n"/>
      <c r="BF2" s="138" t="n"/>
      <c r="BG2" s="138" t="n"/>
      <c r="BH2" s="138" t="n"/>
      <c r="BI2" s="138" t="n"/>
      <c r="BJ2" s="138" t="n"/>
    </row>
    <row r="3">
      <c r="A3" s="138" t="n"/>
      <c r="B3" s="138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38" t="n"/>
      <c r="Q3" s="138" t="n"/>
      <c r="R3" s="138" t="n"/>
      <c r="S3" s="138" t="n"/>
      <c r="T3" s="138" t="n"/>
      <c r="U3" s="138" t="n"/>
      <c r="V3" s="138" t="n"/>
      <c r="W3" s="138" t="n"/>
      <c r="X3" s="138" t="n"/>
      <c r="Y3" s="138" t="n"/>
      <c r="Z3" s="138" t="n"/>
      <c r="AA3" s="138" t="n"/>
      <c r="AB3" s="138" t="n"/>
      <c r="AC3" s="138" t="n"/>
      <c r="AD3" s="138" t="n"/>
      <c r="AE3" s="138" t="n"/>
      <c r="AF3" s="138" t="n"/>
      <c r="AG3" s="138" t="n"/>
      <c r="AH3" s="138" t="n"/>
      <c r="AI3" s="138" t="n"/>
      <c r="AJ3" s="138" t="n"/>
      <c r="AK3" s="138" t="n"/>
      <c r="AL3" s="138" t="n"/>
      <c r="AM3" s="138" t="n"/>
      <c r="AN3" s="138" t="n"/>
      <c r="AO3" s="138" t="n"/>
      <c r="AP3" s="138" t="n"/>
      <c r="AQ3" s="138" t="n"/>
      <c r="AR3" s="138" t="n"/>
      <c r="AS3" s="138" t="n"/>
      <c r="AT3" s="138" t="n"/>
      <c r="AU3" s="138" t="n"/>
      <c r="AV3" s="138" t="n"/>
      <c r="AW3" s="138" t="n"/>
      <c r="AX3" s="138" t="n"/>
      <c r="AY3" s="138" t="n"/>
      <c r="AZ3" s="138" t="n"/>
      <c r="BA3" s="138" t="n"/>
      <c r="BB3" s="138" t="n"/>
      <c r="BC3" s="138" t="n"/>
      <c r="BD3" s="138" t="n"/>
      <c r="BE3" s="138" t="n"/>
      <c r="BF3" s="138" t="n"/>
      <c r="BG3" s="138" t="n"/>
      <c r="BH3" s="138" t="n"/>
      <c r="BI3" s="138" t="n"/>
      <c r="BJ3" s="138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8" t="n"/>
      <c r="C6" s="138" t="n"/>
      <c r="D6" s="138" t="n"/>
      <c r="E6" s="138" t="n"/>
      <c r="F6" s="138" t="n"/>
      <c r="G6" s="138" t="n"/>
      <c r="H6" s="138" t="n"/>
      <c r="I6" s="138" t="n"/>
      <c r="J6" s="138" t="n"/>
      <c r="K6" s="138" t="n"/>
      <c r="L6" s="138" t="n"/>
      <c r="M6" s="138" t="n"/>
      <c r="N6" s="138" t="n"/>
      <c r="O6" s="138" t="n"/>
      <c r="P6" s="138" t="n"/>
      <c r="Q6" s="138" t="n"/>
      <c r="R6" s="138" t="n"/>
      <c r="S6" s="138" t="n"/>
      <c r="T6" s="138" t="n"/>
      <c r="U6" s="138" t="n"/>
      <c r="V6" s="138" t="n"/>
      <c r="W6" s="138" t="n"/>
      <c r="X6" s="138" t="n"/>
      <c r="Y6" s="138" t="n"/>
      <c r="Z6" s="138" t="n"/>
      <c r="AA6" s="138" t="n"/>
      <c r="AB6" s="138" t="n"/>
      <c r="AC6" s="138" t="n"/>
      <c r="AD6" s="138" t="n"/>
      <c r="AE6" s="138" t="n"/>
      <c r="AF6" s="138" t="n"/>
      <c r="AG6" s="138" t="n"/>
      <c r="AH6" s="138" t="n"/>
      <c r="AI6" s="138" t="n"/>
      <c r="AJ6" s="138" t="n"/>
      <c r="AK6" s="138" t="n"/>
      <c r="AL6" s="138" t="n"/>
      <c r="AM6" s="138" t="n"/>
      <c r="AN6" s="138" t="n"/>
      <c r="AO6" s="138" t="n"/>
      <c r="AP6" s="138" t="n"/>
      <c r="AQ6" s="138" t="n"/>
      <c r="AR6" s="138" t="n"/>
      <c r="AS6" s="138" t="n"/>
      <c r="AT6" s="138" t="n"/>
      <c r="AU6" s="138" t="n"/>
      <c r="AV6" s="138" t="n"/>
      <c r="AW6" s="138" t="n"/>
      <c r="AX6" s="138" t="n"/>
      <c r="AY6" s="138" t="n"/>
      <c r="AZ6" s="138" t="n"/>
      <c r="BA6" s="138" t="n"/>
      <c r="BB6" s="138" t="n"/>
      <c r="BC6" s="138" t="n"/>
      <c r="BD6" s="138" t="n"/>
      <c r="BE6" s="138" t="n"/>
      <c r="BF6" s="138" t="n"/>
      <c r="BG6" s="138" t="n"/>
      <c r="BH6" s="138" t="n"/>
      <c r="BI6" s="138" t="n"/>
      <c r="BJ6" s="138" t="n"/>
    </row>
    <row r="7" ht="26.25" customHeight="1" s="144" thickBot="1">
      <c r="A7" s="11">
        <f>A10</f>
        <v/>
      </c>
      <c r="B7" s="1" t="n"/>
      <c r="C7" s="127" t="inlineStr">
        <is>
          <t>BG</t>
        </is>
      </c>
      <c r="D7" s="128" t="n"/>
      <c r="E7" s="128" t="n"/>
      <c r="F7" s="127" t="inlineStr">
        <is>
          <t>IG</t>
        </is>
      </c>
      <c r="G7" s="128" t="n"/>
      <c r="H7" s="128" t="n"/>
      <c r="I7" s="127" t="inlineStr">
        <is>
          <t>HG</t>
        </is>
      </c>
      <c r="J7" s="128" t="n"/>
      <c r="K7" s="128" t="n"/>
      <c r="L7" s="127" t="inlineStr">
        <is>
          <t>CH</t>
        </is>
      </c>
      <c r="M7" s="128" t="n"/>
      <c r="N7" s="128" t="n"/>
      <c r="O7" s="127" t="n"/>
      <c r="P7" s="128" t="n"/>
      <c r="Q7" s="128" t="n"/>
      <c r="R7" s="127" t="n"/>
      <c r="S7" s="128" t="n"/>
      <c r="T7" s="128" t="n"/>
      <c r="U7" s="127" t="n"/>
      <c r="V7" s="128" t="n"/>
      <c r="W7" s="128" t="n"/>
      <c r="X7" s="127" t="n"/>
      <c r="Y7" s="128" t="n"/>
      <c r="Z7" s="128" t="n"/>
      <c r="AA7" s="127" t="n"/>
      <c r="AB7" s="128" t="n"/>
      <c r="AC7" s="128" t="n"/>
      <c r="AD7" s="127" t="n"/>
      <c r="AE7" s="128" t="n"/>
      <c r="AF7" s="128" t="n"/>
      <c r="AG7" s="127" t="n"/>
      <c r="AH7" s="128" t="n"/>
      <c r="AI7" s="128" t="n"/>
      <c r="AJ7" s="127" t="n"/>
      <c r="AK7" s="128" t="n"/>
      <c r="AL7" s="128" t="n"/>
      <c r="AM7" s="127" t="n"/>
      <c r="AN7" s="128" t="n"/>
      <c r="AO7" s="128" t="n"/>
      <c r="AP7" s="127" t="n"/>
      <c r="AQ7" s="128" t="n"/>
      <c r="AR7" s="128" t="n"/>
      <c r="AS7" s="127" t="n"/>
      <c r="AT7" s="128" t="n"/>
      <c r="AU7" s="128" t="n"/>
      <c r="AV7" s="127" t="n"/>
      <c r="AW7" s="128" t="n"/>
      <c r="AX7" s="128" t="n"/>
      <c r="AY7" s="127" t="n"/>
      <c r="AZ7" s="128" t="n"/>
      <c r="BA7" s="128" t="n"/>
      <c r="BB7" s="127" t="n"/>
      <c r="BC7" s="128" t="n"/>
      <c r="BD7" s="128" t="n"/>
      <c r="BE7" s="127" t="n"/>
      <c r="BF7" s="128" t="n"/>
      <c r="BG7" s="128" t="n"/>
      <c r="BH7" s="127" t="n"/>
      <c r="BI7" s="128" t="n"/>
      <c r="BJ7" s="128" t="n"/>
    </row>
    <row r="8" ht="16.5" customHeight="1" s="144" thickBot="1">
      <c r="A8" s="135" t="inlineStr">
        <is>
          <t>Date</t>
        </is>
      </c>
      <c r="B8" s="133" t="inlineStr">
        <is>
          <t>Jours</t>
        </is>
      </c>
      <c r="C8" s="132">
        <f>D4</f>
        <v/>
      </c>
      <c r="D8" s="130" t="n"/>
      <c r="E8" s="131" t="n"/>
      <c r="F8" s="132">
        <f>G4</f>
        <v/>
      </c>
      <c r="G8" s="130" t="n"/>
      <c r="H8" s="131" t="n"/>
      <c r="I8" s="132">
        <f>J4</f>
        <v/>
      </c>
      <c r="J8" s="130" t="n"/>
      <c r="K8" s="131" t="n"/>
      <c r="L8" s="132">
        <f>M4</f>
        <v/>
      </c>
      <c r="M8" s="130" t="n"/>
      <c r="N8" s="131" t="n"/>
      <c r="O8" s="132">
        <f>P4</f>
        <v/>
      </c>
      <c r="P8" s="130" t="n"/>
      <c r="Q8" s="131" t="n"/>
      <c r="R8" s="132">
        <f>S4</f>
        <v/>
      </c>
      <c r="S8" s="130" t="n"/>
      <c r="T8" s="131" t="n"/>
      <c r="U8" s="132">
        <f>V4</f>
        <v/>
      </c>
      <c r="V8" s="130" t="n"/>
      <c r="W8" s="131" t="n"/>
      <c r="X8" s="132">
        <f>Y4</f>
        <v/>
      </c>
      <c r="Y8" s="130" t="n"/>
      <c r="Z8" s="131" t="n"/>
      <c r="AA8" s="132">
        <f>AB4</f>
        <v/>
      </c>
      <c r="AB8" s="130" t="n"/>
      <c r="AC8" s="131" t="n"/>
      <c r="AD8" s="132">
        <f>AE4</f>
        <v/>
      </c>
      <c r="AE8" s="130" t="n"/>
      <c r="AF8" s="131" t="n"/>
      <c r="AG8" s="132">
        <f>AH4</f>
        <v/>
      </c>
      <c r="AH8" s="130" t="n"/>
      <c r="AI8" s="131" t="n"/>
      <c r="AJ8" s="132">
        <f>AK4</f>
        <v/>
      </c>
      <c r="AK8" s="130" t="n"/>
      <c r="AL8" s="131" t="n"/>
      <c r="AM8" s="132">
        <f>AN4</f>
        <v/>
      </c>
      <c r="AN8" s="130" t="n"/>
      <c r="AO8" s="131" t="n"/>
      <c r="AP8" s="132">
        <f>AQ4</f>
        <v/>
      </c>
      <c r="AQ8" s="130" t="n"/>
      <c r="AR8" s="131" t="n"/>
      <c r="AS8" s="132">
        <f>AT4</f>
        <v/>
      </c>
      <c r="AT8" s="130" t="n"/>
      <c r="AU8" s="131" t="n"/>
      <c r="AV8" s="132">
        <f>AW4</f>
        <v/>
      </c>
      <c r="AW8" s="130" t="n"/>
      <c r="AX8" s="131" t="n"/>
      <c r="AY8" s="132">
        <f>AZ4</f>
        <v/>
      </c>
      <c r="AZ8" s="130" t="n"/>
      <c r="BA8" s="131" t="n"/>
      <c r="BB8" s="132">
        <f>BC4</f>
        <v/>
      </c>
      <c r="BC8" s="130" t="n"/>
      <c r="BD8" s="131" t="n"/>
      <c r="BE8" s="132">
        <f>BF4</f>
        <v/>
      </c>
      <c r="BF8" s="130" t="n"/>
      <c r="BG8" s="131" t="n"/>
      <c r="BH8" s="132">
        <f>BI4</f>
        <v/>
      </c>
      <c r="BI8" s="130" t="n"/>
      <c r="BJ8" s="131" t="n"/>
    </row>
    <row r="9" ht="25.5" customFormat="1" customHeight="1" s="7">
      <c r="A9" s="136" t="n"/>
      <c r="B9" s="134" t="n"/>
      <c r="C9" s="3" t="inlineStr">
        <is>
          <t>V1_X</t>
        </is>
      </c>
      <c r="D9" s="3" t="inlineStr">
        <is>
          <t>V1_Y</t>
        </is>
      </c>
      <c r="E9" s="3" t="inlineStr">
        <is>
          <t>V1_Z</t>
        </is>
      </c>
      <c r="F9" s="3" t="inlineStr">
        <is>
          <t>V2_X</t>
        </is>
      </c>
      <c r="G9" s="3" t="inlineStr">
        <is>
          <t>V2_Y</t>
        </is>
      </c>
      <c r="H9" s="3" t="inlineStr">
        <is>
          <t>V2_Z</t>
        </is>
      </c>
      <c r="I9" s="3" t="inlineStr">
        <is>
          <t>V3_X</t>
        </is>
      </c>
      <c r="J9" s="3" t="inlineStr">
        <is>
          <t>V3_Y</t>
        </is>
      </c>
      <c r="K9" s="3" t="inlineStr">
        <is>
          <t>V3_Z</t>
        </is>
      </c>
      <c r="L9" s="6" t="inlineStr">
        <is>
          <t>H1_X</t>
        </is>
      </c>
      <c r="M9" s="6" t="inlineStr">
        <is>
          <t>H1_Y</t>
        </is>
      </c>
      <c r="N9" s="6" t="inlineStr">
        <is>
          <t>H1_Z</t>
        </is>
      </c>
      <c r="O9" s="6" t="inlineStr">
        <is>
          <t>H2_X</t>
        </is>
      </c>
      <c r="P9" s="6" t="inlineStr">
        <is>
          <t>H2_Y</t>
        </is>
      </c>
      <c r="Q9" s="6" t="inlineStr">
        <is>
          <t>H2_Z</t>
        </is>
      </c>
      <c r="R9" s="6" t="inlineStr">
        <is>
          <t>H3_X</t>
        </is>
      </c>
      <c r="S9" s="6" t="inlineStr">
        <is>
          <t>H3_Y</t>
        </is>
      </c>
      <c r="T9" s="6" t="inlineStr">
        <is>
          <t>H3_Z</t>
        </is>
      </c>
      <c r="U9" s="6" t="inlineStr">
        <is>
          <t>H4_X</t>
        </is>
      </c>
      <c r="V9" s="6" t="inlineStr">
        <is>
          <t>H4_Y</t>
        </is>
      </c>
      <c r="W9" s="6" t="inlineStr">
        <is>
          <t>H4_Z</t>
        </is>
      </c>
      <c r="X9" s="6" t="inlineStr">
        <is>
          <t>H5_X</t>
        </is>
      </c>
      <c r="Y9" s="6" t="inlineStr">
        <is>
          <t>H5_Y</t>
        </is>
      </c>
      <c r="Z9" s="6" t="inlineStr">
        <is>
          <t>H5_Z</t>
        </is>
      </c>
      <c r="AA9" s="6" t="inlineStr">
        <is>
          <t>B1_X</t>
        </is>
      </c>
      <c r="AB9" s="6" t="inlineStr">
        <is>
          <t>B1_Y</t>
        </is>
      </c>
      <c r="AC9" s="6" t="inlineStr">
        <is>
          <t>B1_Z</t>
        </is>
      </c>
      <c r="AD9" s="6" t="inlineStr">
        <is>
          <t>B2_X</t>
        </is>
      </c>
      <c r="AE9" s="6" t="inlineStr">
        <is>
          <t>B2_Y</t>
        </is>
      </c>
      <c r="AF9" s="6" t="inlineStr">
        <is>
          <t>B2_Z</t>
        </is>
      </c>
      <c r="AG9" s="6" t="inlineStr">
        <is>
          <t>B3_X</t>
        </is>
      </c>
      <c r="AH9" s="6" t="inlineStr">
        <is>
          <t>B3_Y</t>
        </is>
      </c>
      <c r="AI9" s="6" t="inlineStr">
        <is>
          <t>B3_Z</t>
        </is>
      </c>
      <c r="AJ9" s="6" t="inlineStr">
        <is>
          <t>B4_X</t>
        </is>
      </c>
      <c r="AK9" s="6" t="inlineStr">
        <is>
          <t>B4_Y</t>
        </is>
      </c>
      <c r="AL9" s="6" t="inlineStr">
        <is>
          <t>B4_Z</t>
        </is>
      </c>
      <c r="AM9" s="6" t="inlineStr">
        <is>
          <t>B5_X</t>
        </is>
      </c>
      <c r="AN9" s="6" t="inlineStr">
        <is>
          <t>B5_Y</t>
        </is>
      </c>
      <c r="AO9" s="6" t="inlineStr">
        <is>
          <t>B5_Z</t>
        </is>
      </c>
      <c r="AP9" s="6" t="inlineStr">
        <is>
          <t>M1_X</t>
        </is>
      </c>
      <c r="AQ9" s="6" t="inlineStr">
        <is>
          <t>M1_Y</t>
        </is>
      </c>
      <c r="AR9" s="6" t="inlineStr">
        <is>
          <t>M1_Z</t>
        </is>
      </c>
      <c r="AS9" s="6" t="inlineStr">
        <is>
          <t>M2_X</t>
        </is>
      </c>
      <c r="AT9" s="6" t="inlineStr">
        <is>
          <t>M2_Y</t>
        </is>
      </c>
      <c r="AU9" s="6" t="inlineStr">
        <is>
          <t>M2_Z</t>
        </is>
      </c>
      <c r="AV9" s="6" t="inlineStr">
        <is>
          <t>M3_X</t>
        </is>
      </c>
      <c r="AW9" s="6" t="inlineStr">
        <is>
          <t>M3_Y</t>
        </is>
      </c>
      <c r="AX9" s="6" t="inlineStr">
        <is>
          <t>M3_Z</t>
        </is>
      </c>
      <c r="AY9" s="6" t="inlineStr">
        <is>
          <t>M4_X</t>
        </is>
      </c>
      <c r="AZ9" s="6" t="inlineStr">
        <is>
          <t>M4_Y</t>
        </is>
      </c>
      <c r="BA9" s="6" t="inlineStr">
        <is>
          <t>M4_Z</t>
        </is>
      </c>
      <c r="BB9" s="6" t="inlineStr">
        <is>
          <t>M5_X</t>
        </is>
      </c>
      <c r="BC9" s="6" t="inlineStr">
        <is>
          <t>M5_Y</t>
        </is>
      </c>
      <c r="BD9" s="6" t="inlineStr">
        <is>
          <t>M5_Z</t>
        </is>
      </c>
      <c r="BE9" s="6" t="inlineStr">
        <is>
          <t>REF1_X</t>
        </is>
      </c>
      <c r="BF9" s="6" t="inlineStr">
        <is>
          <t>REF1_Y</t>
        </is>
      </c>
      <c r="BG9" s="6" t="inlineStr">
        <is>
          <t>REF1_Z</t>
        </is>
      </c>
      <c r="BH9" s="6" t="inlineStr">
        <is>
          <t>REF2_X</t>
        </is>
      </c>
      <c r="BI9" s="6" t="inlineStr">
        <is>
          <t>REF2_Y</t>
        </is>
      </c>
      <c r="BJ9" s="6" t="inlineStr">
        <is>
          <t>REF2_Z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(DATABASE!AV$14:$AV$968='Résultats observations'!$A10 ) * (DATABASE!$AW$14:$AW$968= C$4))-ROW(DATABASE!$AV$14)+1,C$5)),"")</f>
        <v/>
      </c>
      <c r="D10" s="44">
        <f t="array" ref="D10">IFERROR(_xlfn.SINGLE(INDEX(DATABASE!$AV$14:$BC$968,SUMPRODUCT((ROW(DATABASE!$AV$14:$AV$968)) * (DATABASE!$AV$14:AW$968='Résultats observations'!$A10 ) * (DATABASE!$AW$14:$AW$968= D$4))-ROW(DATABASE!$AV$14)+1,D$5)),"")</f>
        <v/>
      </c>
      <c r="E10" s="44">
        <f t="array" ref="E10">IFERROR(_xlfn.SINGLE(INDEX(DATABASE!$AV$14:$BC$968,SUMPRODUCT((ROW(DATABASE!$AV$14:$AV$968)) * (DATABASE!$AV$14:AX$968='Résultats observations'!$A10 ) * (DATABASE!$AW$14:$AW$968= E$4))-ROW(DATABASE!$AV$14)+1,E$5)),"")</f>
        <v/>
      </c>
      <c r="F10" s="44">
        <f t="array" ref="F10">IFERROR(_xlfn.SINGLE(INDEX(DATABASE!$AV$14:$BC$968,SUMPRODUCT((ROW(DATABASE!$AV$14:$AV$968)) * (DATABASE!$AV$14:AY$968='Résultats observations'!$A10 ) * (DATABASE!$AW$14:$AW$968= F$4))-ROW(DATABASE!$AV$14)+1,F$5)),"")</f>
        <v/>
      </c>
      <c r="G10" s="44">
        <f t="array" ref="G10">IFERROR(_xlfn.SINGLE(INDEX(DATABASE!$AV$14:$BC$968,SUMPRODUCT((ROW(DATABASE!$AV$14:$AV$968)) * (DATABASE!$AV$14:AZ$968='Résultats observations'!$A10 ) * (DATABASE!$AW$14:$AW$968= G$4))-ROW(DATABASE!$AV$14)+1,G$5)),"")</f>
        <v/>
      </c>
      <c r="H10" s="44">
        <f t="array" ref="H10">IFERROR(_xlfn.SINGLE(INDEX(DATABASE!$AV$14:$BC$968,SUMPRODUCT((ROW(DATABASE!$AV$14:$AV$968)) * (DATABASE!$AV$14:BA$968='Résultats observations'!$A10 ) * (DATABASE!$AW$14:$AW$968= H$4))-ROW(DATABASE!$AV$14)+1,H$5)),"")</f>
        <v/>
      </c>
      <c r="I10" s="44">
        <f t="array" ref="I10">IFERROR(_xlfn.SINGLE(INDEX(DATABASE!$AV$14:$BC$968,SUMPRODUCT((ROW(DATABASE!$AV$14:$AV$968)) * (DATABASE!$AV$14:BB$968='Résultats observations'!$A10 ) * (DATABASE!$AW$14:$AW$968= I$4))-ROW(DATABASE!$AV$14)+1,I$5)),"")</f>
        <v/>
      </c>
      <c r="J10" s="44">
        <f t="array" ref="J10">IFERROR(_xlfn.SINGLE(INDEX(DATABASE!$AV$14:$BC$968,SUMPRODUCT((ROW(DATABASE!$AV$14:$AV$968)) * (DATABASE!$AV$14:BC$968='Résultats observations'!$A10 ) * (DATABASE!$AW$14:$AW$968= J$4))-ROW(DATABASE!$AV$14)+1,J$5)),"")</f>
        <v/>
      </c>
      <c r="K10" s="44">
        <f t="array" ref="K10">IFERROR(_xlfn.SINGLE(INDEX(DATABASE!$AV$14:$BC$968,SUMPRODUCT((ROW(DATABASE!$AV$14:$AV$968)) * (DATABASE!$AV$14:BD$968='Résultats observations'!$A10 ) * (DATABASE!$AW$14:$AW$968= K$4))-ROW(DATABASE!$AV$14)+1,K$5)),"")</f>
        <v/>
      </c>
      <c r="L10" s="44">
        <f t="array" ref="L10">IFERROR(_xlfn.SINGLE(INDEX(DATABASE!$AV$14:$BC$968,SUMPRODUCT((ROW(DATABASE!$AV$14:$AV$968)) * (DATABASE!$AV$14:BE$968='Résultats observations'!$A10 ) * (DATABASE!$AW$14:$AW$968= L$4))-ROW(DATABASE!$AV$14)+1,L$5)),"")</f>
        <v/>
      </c>
      <c r="M10" s="44">
        <f t="array" ref="M10">IFERROR(_xlfn.SINGLE(INDEX(DATABASE!$AV$14:$BC$968,SUMPRODUCT((ROW(DATABASE!$AV$14:$AV$968)) * (DATABASE!$AV$14:BF$968='Résultats observations'!$A10 ) * (DATABASE!$AW$14:$AW$968= M$4))-ROW(DATABASE!$AV$14)+1,M$5)),"")</f>
        <v/>
      </c>
      <c r="N10" s="44">
        <f t="array" ref="N10">IFERROR(_xlfn.SINGLE(INDEX(DATABASE!$AV$14:$BC$968,SUMPRODUCT((ROW(DATABASE!$AV$14:$AV$968)) * (DATABASE!$AV$14:BG$968='Résultats observations'!$A10 ) * (DATABASE!$AW$14:$AW$968= N$4))-ROW(DATABASE!$AV$14)+1,N$5)),"")</f>
        <v/>
      </c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</row>
    <row r="11" ht="29.25" customFormat="1" customHeight="1" s="28">
      <c r="A11" s="42" t="n">
        <v>45540</v>
      </c>
      <c r="B11" s="8">
        <f>A11-A$10</f>
        <v/>
      </c>
      <c r="C11" s="44">
        <f t="array" ref="C11">IFERROR(_xlfn.SINGLE(INDEX(DATABASE!$AV$14:$BC$968,SUMPRODUCT((ROW(DATABASE!$AV$14:$AV$968)) * (DATABASE!AV$14:$AV$968='Résultats observations'!$A11 ) * (DATABASE!$AW$14:$AW$968= C$4))-ROW(DATABASE!$AV$14)+1,C$5)),"")</f>
        <v/>
      </c>
      <c r="D11" s="116">
        <f t="array" ref="D11">IFERROR(_xlfn.SINGLE(INDEX(DATABASE!$AV$14:$BC$968,SUMPRODUCT((ROW(DATABASE!$AV$14:$AV$968)) * (DATABASE!$AV$14:AW$968='Résultats observations'!$A11 ) * (DATABASE!$AW$14:$AW$968= D$4))-ROW(DATABASE!$AV$14)+1,D$5)),"")</f>
        <v/>
      </c>
      <c r="E11" s="116">
        <f t="array" ref="E11">IFERROR(_xlfn.SINGLE(INDEX(DATABASE!$AV$14:$BC$968,SUMPRODUCT((ROW(DATABASE!$AV$14:$AV$968)) * (DATABASE!$AV$14:AX$968='Résultats observations'!$A11 ) * (DATABASE!$AW$14:$AW$968= E$4))-ROW(DATABASE!$AV$14)+1,E$5)),"")</f>
        <v/>
      </c>
      <c r="F11" s="116">
        <f t="array" ref="F11">IFERROR(_xlfn.SINGLE(INDEX(DATABASE!$AV$14:$BC$968,SUMPRODUCT((ROW(DATABASE!$AV$14:$AV$968)) * (DATABASE!$AV$14:AY$968='Résultats observations'!$A11 ) * (DATABASE!$AW$14:$AW$968= F$4))-ROW(DATABASE!$AV$14)+1,F$5)),"")</f>
        <v/>
      </c>
      <c r="G11" s="116">
        <f t="array" ref="G11">IFERROR(_xlfn.SINGLE(INDEX(DATABASE!$AV$14:$BC$968,SUMPRODUCT((ROW(DATABASE!$AV$14:$AV$968)) * (DATABASE!$AV$14:AZ$968='Résultats observations'!$A11 ) * (DATABASE!$AW$14:$AW$968= G$4))-ROW(DATABASE!$AV$14)+1,G$5)),"")</f>
        <v/>
      </c>
      <c r="H11" s="116">
        <f t="array" ref="H11">IFERROR(_xlfn.SINGLE(INDEX(DATABASE!$AV$14:$BC$968,SUMPRODUCT((ROW(DATABASE!$AV$14:$AV$968)) * (DATABASE!$AV$14:BA$968='Résultats observations'!$A11 ) * (DATABASE!$AW$14:$AW$968= H$4))-ROW(DATABASE!$AV$14)+1,H$5)),"")</f>
        <v/>
      </c>
      <c r="I11" s="116">
        <f t="array" ref="I11">IFERROR(_xlfn.SINGLE(INDEX(DATABASE!$AV$14:$BC$968,SUMPRODUCT((ROW(DATABASE!$AV$14:$AV$968)) * (DATABASE!$AV$14:BB$968='Résultats observations'!$A11 ) * (DATABASE!$AW$14:$AW$968= I$4))-ROW(DATABASE!$AV$14)+1,I$5)),"")</f>
        <v/>
      </c>
      <c r="J11" s="116">
        <f t="array" ref="J11">IFERROR(_xlfn.SINGLE(INDEX(DATABASE!$AV$14:$BC$968,SUMPRODUCT((ROW(DATABASE!$AV$14:$AV$968)) * (DATABASE!$AV$14:BC$968='Résultats observations'!$A11 ) * (DATABASE!$AW$14:$AW$968= J$4))-ROW(DATABASE!$AV$14)+1,J$5)),"")</f>
        <v/>
      </c>
      <c r="K11" s="116">
        <f t="array" ref="K11">IFERROR(_xlfn.SINGLE(INDEX(DATABASE!$AV$14:$BC$968,SUMPRODUCT((ROW(DATABASE!$AV$14:$AV$968)) * (DATABASE!$AV$14:BD$968='Résultats observations'!$A11 ) * (DATABASE!$AW$14:$AW$968= K$4))-ROW(DATABASE!$AV$14)+1,K$5)),"")</f>
        <v/>
      </c>
      <c r="L11" s="116">
        <f t="array" ref="L11">IFERROR(_xlfn.SINGLE(INDEX(DATABASE!$AV$14:$BC$968,SUMPRODUCT((ROW(DATABASE!$AV$14:$AV$968)) * (DATABASE!$AV$14:BE$968='Résultats observations'!$A11 ) * (DATABASE!$AW$14:$AW$968= L$4))-ROW(DATABASE!$AV$14)+1,L$5)),"")</f>
        <v/>
      </c>
      <c r="M11" s="116">
        <f t="array" ref="M11">IFERROR(_xlfn.SINGLE(INDEX(DATABASE!$AV$14:$BC$968,SUMPRODUCT((ROW(DATABASE!$AV$14:$AV$968)) * (DATABASE!$AV$14:BF$968='Résultats observations'!$A11 ) * (DATABASE!$AW$14:$AW$968= M$4))-ROW(DATABASE!$AV$14)+1,M$5)),"")</f>
        <v/>
      </c>
      <c r="N11" s="116">
        <f t="array" ref="N11">IFERROR(_xlfn.SINGLE(INDEX(DATABASE!$AV$14:$BC$968,SUMPRODUCT((ROW(DATABASE!$AV$14:$AV$968)) * (DATABASE!$AV$14:BG$968='Résultats observations'!$A11 ) * (DATABASE!$AW$14:$AW$968= N$4))-ROW(DATABASE!$AV$14)+1,N$5)),"")</f>
        <v/>
      </c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  <c r="AL11" s="116" t="n"/>
      <c r="AM11" s="116" t="n"/>
      <c r="AN11" s="116" t="n"/>
      <c r="AO11" s="116" t="n"/>
      <c r="AP11" s="116" t="n"/>
      <c r="AQ11" s="116" t="n"/>
      <c r="AR11" s="116" t="n"/>
      <c r="AS11" s="116" t="n"/>
      <c r="AT11" s="116" t="n"/>
      <c r="AU11" s="116" t="n"/>
      <c r="AV11" s="116" t="n"/>
      <c r="AW11" s="116" t="n"/>
      <c r="AX11" s="116" t="n"/>
      <c r="AY11" s="116" t="n"/>
      <c r="AZ11" s="116" t="n"/>
      <c r="BA11" s="116" t="n"/>
      <c r="BB11" s="116" t="n"/>
      <c r="BC11" s="116" t="n"/>
      <c r="BD11" s="116" t="n"/>
      <c r="BE11" s="116" t="n"/>
      <c r="BF11" s="116" t="n"/>
      <c r="BG11" s="116" t="n"/>
      <c r="BH11" s="116" t="n"/>
      <c r="BI11" s="116" t="n"/>
      <c r="BJ11" s="116" t="n"/>
    </row>
    <row r="12" ht="29.25" customFormat="1" customHeight="1" s="28">
      <c r="A12" s="42" t="n">
        <v>45544</v>
      </c>
      <c r="B12" s="8">
        <f>A12-A$10</f>
        <v/>
      </c>
      <c r="C12" s="44">
        <f t="array" ref="C12">IFERROR(_xlfn.SINGLE(INDEX(DATABASE!$AV$14:$BC$968,SUMPRODUCT((ROW(DATABASE!$AV$14:$AV$968)) * (DATABASE!AV$14:$AV$968='Résultats observations'!$A12 ) * (DATABASE!$AW$14:$AW$968= C$4))-ROW(DATABASE!$AV$14)+1,C$5)),"")</f>
        <v/>
      </c>
      <c r="D12" s="116">
        <f t="array" ref="D12">IFERROR(_xlfn.SINGLE(INDEX(DATABASE!$AV$14:$BC$968,SUMPRODUCT((ROW(DATABASE!$AV$14:$AV$968)) * (DATABASE!$AV$14:AW$968='Résultats observations'!$A12 ) * (DATABASE!$AW$14:$AW$968= D$4))-ROW(DATABASE!$AV$14)+1,D$5)),"")</f>
        <v/>
      </c>
      <c r="E12" s="116">
        <f t="array" ref="E12">IFERROR(_xlfn.SINGLE(INDEX(DATABASE!$AV$14:$BC$968,SUMPRODUCT((ROW(DATABASE!$AV$14:$AV$968)) * (DATABASE!$AV$14:AX$968='Résultats observations'!$A12 ) * (DATABASE!$AW$14:$AW$968= E$4))-ROW(DATABASE!$AV$14)+1,E$5)),"")</f>
        <v/>
      </c>
      <c r="F12" s="116">
        <f t="array" ref="F12">IFERROR(_xlfn.SINGLE(INDEX(DATABASE!$AV$14:$BC$968,SUMPRODUCT((ROW(DATABASE!$AV$14:$AV$968)) * (DATABASE!$AV$14:AY$968='Résultats observations'!$A12 ) * (DATABASE!$AW$14:$AW$968= F$4))-ROW(DATABASE!$AV$14)+1,F$5)),"")</f>
        <v/>
      </c>
      <c r="G12" s="116">
        <f t="array" ref="G12">IFERROR(_xlfn.SINGLE(INDEX(DATABASE!$AV$14:$BC$968,SUMPRODUCT((ROW(DATABASE!$AV$14:$AV$968)) * (DATABASE!$AV$14:AZ$968='Résultats observations'!$A12 ) * (DATABASE!$AW$14:$AW$968= G$4))-ROW(DATABASE!$AV$14)+1,G$5)),"")</f>
        <v/>
      </c>
      <c r="H12" s="116">
        <f t="array" ref="H12">IFERROR(_xlfn.SINGLE(INDEX(DATABASE!$AV$14:$BC$968,SUMPRODUCT((ROW(DATABASE!$AV$14:$AV$968)) * (DATABASE!$AV$14:BA$968='Résultats observations'!$A12 ) * (DATABASE!$AW$14:$AW$968= H$4))-ROW(DATABASE!$AV$14)+1,H$5)),"")</f>
        <v/>
      </c>
      <c r="I12" s="116">
        <f t="array" ref="I12">IFERROR(_xlfn.SINGLE(INDEX(DATABASE!$AV$14:$BC$968,SUMPRODUCT((ROW(DATABASE!$AV$14:$AV$968)) * (DATABASE!$AV$14:BB$968='Résultats observations'!$A12 ) * (DATABASE!$AW$14:$AW$968= I$4))-ROW(DATABASE!$AV$14)+1,I$5)),"")</f>
        <v/>
      </c>
      <c r="J12" s="116">
        <f t="array" ref="J12">IFERROR(_xlfn.SINGLE(INDEX(DATABASE!$AV$14:$BC$968,SUMPRODUCT((ROW(DATABASE!$AV$14:$AV$968)) * (DATABASE!$AV$14:BC$968='Résultats observations'!$A12 ) * (DATABASE!$AW$14:$AW$968= J$4))-ROW(DATABASE!$AV$14)+1,J$5)),"")</f>
        <v/>
      </c>
      <c r="K12" s="116">
        <f t="array" ref="K12">IFERROR(_xlfn.SINGLE(INDEX(DATABASE!$AV$14:$BC$968,SUMPRODUCT((ROW(DATABASE!$AV$14:$AV$968)) * (DATABASE!$AV$14:BD$968='Résultats observations'!$A12 ) * (DATABASE!$AW$14:$AW$968= K$4))-ROW(DATABASE!$AV$14)+1,K$5)),"")</f>
        <v/>
      </c>
      <c r="L12" s="116">
        <f t="array" ref="L12">IFERROR(_xlfn.SINGLE(INDEX(DATABASE!$AV$14:$BC$968,SUMPRODUCT((ROW(DATABASE!$AV$14:$AV$968)) * (DATABASE!$AV$14:BE$968='Résultats observations'!$A12 ) * (DATABASE!$AW$14:$AW$968= L$4))-ROW(DATABASE!$AV$14)+1,L$5)),"")</f>
        <v/>
      </c>
      <c r="M12" s="116">
        <f t="array" ref="M12">IFERROR(_xlfn.SINGLE(INDEX(DATABASE!$AV$14:$BC$968,SUMPRODUCT((ROW(DATABASE!$AV$14:$AV$968)) * (DATABASE!$AV$14:BF$968='Résultats observations'!$A12 ) * (DATABASE!$AW$14:$AW$968= M$4))-ROW(DATABASE!$AV$14)+1,M$5)),"")</f>
        <v/>
      </c>
      <c r="N12" s="116">
        <f t="array" ref="N12">IFERROR(_xlfn.SINGLE(INDEX(DATABASE!$AV$14:$BC$968,SUMPRODUCT((ROW(DATABASE!$AV$14:$AV$968)) * (DATABASE!$AV$14:BG$968='Résultats observations'!$A12 ) * (DATABASE!$AW$14:$AW$968= N$4))-ROW(DATABASE!$AV$14)+1,N$5)),"")</f>
        <v/>
      </c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  <c r="AL12" s="116" t="n"/>
      <c r="AM12" s="116" t="n"/>
      <c r="AN12" s="116" t="n"/>
      <c r="AO12" s="116" t="n"/>
      <c r="AP12" s="116" t="n"/>
      <c r="AQ12" s="116" t="n"/>
      <c r="AR12" s="116" t="n"/>
      <c r="AS12" s="116" t="n"/>
      <c r="AT12" s="116" t="n"/>
      <c r="AU12" s="116" t="n"/>
      <c r="AV12" s="116" t="n"/>
      <c r="AW12" s="116" t="n"/>
      <c r="AX12" s="116" t="n"/>
      <c r="AY12" s="116" t="n"/>
      <c r="AZ12" s="116" t="n"/>
      <c r="BA12" s="116" t="n"/>
      <c r="BB12" s="116" t="n"/>
      <c r="BC12" s="116" t="n"/>
      <c r="BD12" s="116" t="n"/>
      <c r="BE12" s="116" t="n"/>
      <c r="BF12" s="116" t="n"/>
      <c r="BG12" s="116" t="n"/>
      <c r="BH12" s="116" t="n"/>
      <c r="BI12" s="116" t="n"/>
      <c r="BJ12" s="116" t="n"/>
    </row>
    <row r="13" ht="29.25" customFormat="1" customHeight="1" s="28">
      <c r="A13" s="42" t="n">
        <v>45548</v>
      </c>
      <c r="B13" s="8">
        <f>A13-A$10</f>
        <v/>
      </c>
      <c r="C13" s="44">
        <f t="array" ref="C13">IFERROR(_xlfn.SINGLE(INDEX(DATABASE!$AV$14:$BC$968,SUMPRODUCT((ROW(DATABASE!$AV$14:$AV$968)) * (DATABASE!AV$14:$AV$968='Résultats observations'!$A13 ) * (DATABASE!$AW$14:$AW$968= C$4))-ROW(DATABASE!$AV$14)+1,C$5)),"")</f>
        <v/>
      </c>
      <c r="D13" s="116">
        <f t="array" ref="D13">IFERROR(_xlfn.SINGLE(INDEX(DATABASE!$AV$14:$BC$968,SUMPRODUCT((ROW(DATABASE!$AV$14:$AV$968)) * (DATABASE!$AV$14:AW$968='Résultats observations'!$A13 ) * (DATABASE!$AW$14:$AW$968= D$4))-ROW(DATABASE!$AV$14)+1,D$5)),"")</f>
        <v/>
      </c>
      <c r="E13" s="116">
        <f t="array" ref="E13">IFERROR(_xlfn.SINGLE(INDEX(DATABASE!$AV$14:$BC$968,SUMPRODUCT((ROW(DATABASE!$AV$14:$AV$968)) * (DATABASE!$AV$14:AX$968='Résultats observations'!$A13 ) * (DATABASE!$AW$14:$AW$968= E$4))-ROW(DATABASE!$AV$14)+1,E$5)),"")</f>
        <v/>
      </c>
      <c r="F13" s="116">
        <f t="array" ref="F13">IFERROR(_xlfn.SINGLE(INDEX(DATABASE!$AV$14:$BC$968,SUMPRODUCT((ROW(DATABASE!$AV$14:$AV$968)) * (DATABASE!$AV$14:AY$968='Résultats observations'!$A13 ) * (DATABASE!$AW$14:$AW$968= F$4))-ROW(DATABASE!$AV$14)+1,F$5)),"")</f>
        <v/>
      </c>
      <c r="G13" s="116">
        <f t="array" ref="G13">IFERROR(_xlfn.SINGLE(INDEX(DATABASE!$AV$14:$BC$968,SUMPRODUCT((ROW(DATABASE!$AV$14:$AV$968)) * (DATABASE!$AV$14:AZ$968='Résultats observations'!$A13 ) * (DATABASE!$AW$14:$AW$968= G$4))-ROW(DATABASE!$AV$14)+1,G$5)),"")</f>
        <v/>
      </c>
      <c r="H13" s="116">
        <f t="array" ref="H13">IFERROR(_xlfn.SINGLE(INDEX(DATABASE!$AV$14:$BC$968,SUMPRODUCT((ROW(DATABASE!$AV$14:$AV$968)) * (DATABASE!$AV$14:BA$968='Résultats observations'!$A13 ) * (DATABASE!$AW$14:$AW$968= H$4))-ROW(DATABASE!$AV$14)+1,H$5)),"")</f>
        <v/>
      </c>
      <c r="I13" s="116">
        <f t="array" ref="I13">IFERROR(_xlfn.SINGLE(INDEX(DATABASE!$AV$14:$BC$968,SUMPRODUCT((ROW(DATABASE!$AV$14:$AV$968)) * (DATABASE!$AV$14:BB$968='Résultats observations'!$A13 ) * (DATABASE!$AW$14:$AW$968= I$4))-ROW(DATABASE!$AV$14)+1,I$5)),"")</f>
        <v/>
      </c>
      <c r="J13" s="116">
        <f t="array" ref="J13">IFERROR(_xlfn.SINGLE(INDEX(DATABASE!$AV$14:$BC$968,SUMPRODUCT((ROW(DATABASE!$AV$14:$AV$968)) * (DATABASE!$AV$14:BC$968='Résultats observations'!$A13 ) * (DATABASE!$AW$14:$AW$968= J$4))-ROW(DATABASE!$AV$14)+1,J$5)),"")</f>
        <v/>
      </c>
      <c r="K13" s="116">
        <f t="array" ref="K13">IFERROR(_xlfn.SINGLE(INDEX(DATABASE!$AV$14:$BC$968,SUMPRODUCT((ROW(DATABASE!$AV$14:$AV$968)) * (DATABASE!$AV$14:BD$968='Résultats observations'!$A13 ) * (DATABASE!$AW$14:$AW$968= K$4))-ROW(DATABASE!$AV$14)+1,K$5)),"")</f>
        <v/>
      </c>
      <c r="L13" s="116">
        <f t="array" ref="L13">IFERROR(_xlfn.SINGLE(INDEX(DATABASE!$AV$14:$BC$968,SUMPRODUCT((ROW(DATABASE!$AV$14:$AV$968)) * (DATABASE!$AV$14:BE$968='Résultats observations'!$A13 ) * (DATABASE!$AW$14:$AW$968= L$4))-ROW(DATABASE!$AV$14)+1,L$5)),"")</f>
        <v/>
      </c>
      <c r="M13" s="116">
        <f t="array" ref="M13">IFERROR(_xlfn.SINGLE(INDEX(DATABASE!$AV$14:$BC$968,SUMPRODUCT((ROW(DATABASE!$AV$14:$AV$968)) * (DATABASE!$AV$14:BF$968='Résultats observations'!$A13 ) * (DATABASE!$AW$14:$AW$968= M$4))-ROW(DATABASE!$AV$14)+1,M$5)),"")</f>
        <v/>
      </c>
      <c r="N13" s="116">
        <f t="array" ref="N13">IFERROR(_xlfn.SINGLE(INDEX(DATABASE!$AV$14:$BC$968,SUMPRODUCT((ROW(DATABASE!$AV$14:$AV$968)) * (DATABASE!$AV$14:BG$968='Résultats observations'!$A13 ) * (DATABASE!$AW$14:$AW$968= N$4))-ROW(DATABASE!$AV$14)+1,N$5)),"")</f>
        <v/>
      </c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  <c r="AA13" s="116" t="n"/>
      <c r="AB13" s="116" t="n"/>
      <c r="AC13" s="116" t="n"/>
      <c r="AD13" s="116" t="n"/>
      <c r="AE13" s="116" t="n"/>
      <c r="AF13" s="116" t="n"/>
      <c r="AG13" s="116" t="n"/>
      <c r="AH13" s="116" t="n"/>
      <c r="AI13" s="116" t="n"/>
      <c r="AJ13" s="116" t="n"/>
      <c r="AK13" s="116" t="n"/>
      <c r="AL13" s="116" t="n"/>
      <c r="AM13" s="116" t="n"/>
      <c r="AN13" s="116" t="n"/>
      <c r="AO13" s="116" t="n"/>
      <c r="AP13" s="116" t="n"/>
      <c r="AQ13" s="116" t="n"/>
      <c r="AR13" s="116" t="n"/>
      <c r="AS13" s="116" t="n"/>
      <c r="AT13" s="116" t="n"/>
      <c r="AU13" s="116" t="n"/>
      <c r="AV13" s="116" t="n"/>
      <c r="AW13" s="116" t="n"/>
      <c r="AX13" s="116" t="n"/>
      <c r="AY13" s="116" t="n"/>
      <c r="AZ13" s="116" t="n"/>
      <c r="BA13" s="116" t="n"/>
      <c r="BB13" s="116" t="n"/>
      <c r="BC13" s="116" t="n"/>
      <c r="BD13" s="116" t="n"/>
      <c r="BE13" s="116" t="n"/>
      <c r="BF13" s="116" t="n"/>
      <c r="BG13" s="116" t="n"/>
      <c r="BH13" s="116" t="n"/>
      <c r="BI13" s="116" t="n"/>
      <c r="BJ13" s="116" t="n"/>
    </row>
    <row r="14" ht="29.25" customFormat="1" customHeight="1" s="28">
      <c r="A14" s="42" t="n">
        <v>45552</v>
      </c>
      <c r="B14" s="8">
        <f>A14-A$10</f>
        <v/>
      </c>
      <c r="C14" s="44">
        <f t="array" ref="C14">IFERROR(_xlfn.SINGLE(INDEX(DATABASE!$AV$14:$BC$968,SUMPRODUCT((ROW(DATABASE!$AV$14:$AV$968)) * (DATABASE!AV$14:$AV$968='Résultats observations'!$A14 ) * (DATABASE!$AW$14:$AW$968= C$4))-ROW(DATABASE!$AV$14)+1,C$5)),"")</f>
        <v/>
      </c>
      <c r="D14" s="116">
        <f t="array" ref="D14">IFERROR(_xlfn.SINGLE(INDEX(DATABASE!$AV$14:$BC$968,SUMPRODUCT((ROW(DATABASE!$AV$14:$AV$968)) * (DATABASE!$AV$14:AW$968='Résultats observations'!$A14 ) * (DATABASE!$AW$14:$AW$968= D$4))-ROW(DATABASE!$AV$14)+1,D$5)),"")</f>
        <v/>
      </c>
      <c r="E14" s="116">
        <f t="array" ref="E14">IFERROR(_xlfn.SINGLE(INDEX(DATABASE!$AV$14:$BC$968,SUMPRODUCT((ROW(DATABASE!$AV$14:$AV$968)) * (DATABASE!$AV$14:AX$968='Résultats observations'!$A14 ) * (DATABASE!$AW$14:$AW$968= E$4))-ROW(DATABASE!$AV$14)+1,E$5)),"")</f>
        <v/>
      </c>
      <c r="F14" s="116">
        <f t="array" ref="F14">IFERROR(_xlfn.SINGLE(INDEX(DATABASE!$AV$14:$BC$968,SUMPRODUCT((ROW(DATABASE!$AV$14:$AV$968)) * (DATABASE!$AV$14:AY$968='Résultats observations'!$A14 ) * (DATABASE!$AW$14:$AW$968= F$4))-ROW(DATABASE!$AV$14)+1,F$5)),"")</f>
        <v/>
      </c>
      <c r="G14" s="116">
        <f t="array" ref="G14">IFERROR(_xlfn.SINGLE(INDEX(DATABASE!$AV$14:$BC$968,SUMPRODUCT((ROW(DATABASE!$AV$14:$AV$968)) * (DATABASE!$AV$14:AZ$968='Résultats observations'!$A14 ) * (DATABASE!$AW$14:$AW$968= G$4))-ROW(DATABASE!$AV$14)+1,G$5)),"")</f>
        <v/>
      </c>
      <c r="H14" s="116">
        <f t="array" ref="H14">IFERROR(_xlfn.SINGLE(INDEX(DATABASE!$AV$14:$BC$968,SUMPRODUCT((ROW(DATABASE!$AV$14:$AV$968)) * (DATABASE!$AV$14:BA$968='Résultats observations'!$A14 ) * (DATABASE!$AW$14:$AW$968= H$4))-ROW(DATABASE!$AV$14)+1,H$5)),"")</f>
        <v/>
      </c>
      <c r="I14" s="116">
        <f t="array" ref="I14">IFERROR(_xlfn.SINGLE(INDEX(DATABASE!$AV$14:$BC$968,SUMPRODUCT((ROW(DATABASE!$AV$14:$AV$968)) * (DATABASE!$AV$14:BB$968='Résultats observations'!$A14 ) * (DATABASE!$AW$14:$AW$968= I$4))-ROW(DATABASE!$AV$14)+1,I$5)),"")</f>
        <v/>
      </c>
      <c r="J14" s="116">
        <f t="array" ref="J14">IFERROR(_xlfn.SINGLE(INDEX(DATABASE!$AV$14:$BC$968,SUMPRODUCT((ROW(DATABASE!$AV$14:$AV$968)) * (DATABASE!$AV$14:BC$968='Résultats observations'!$A14 ) * (DATABASE!$AW$14:$AW$968= J$4))-ROW(DATABASE!$AV$14)+1,J$5)),"")</f>
        <v/>
      </c>
      <c r="K14" s="116">
        <f t="array" ref="K14">IFERROR(_xlfn.SINGLE(INDEX(DATABASE!$AV$14:$BC$968,SUMPRODUCT((ROW(DATABASE!$AV$14:$AV$968)) * (DATABASE!$AV$14:BD$968='Résultats observations'!$A14 ) * (DATABASE!$AW$14:$AW$968= K$4))-ROW(DATABASE!$AV$14)+1,K$5)),"")</f>
        <v/>
      </c>
      <c r="L14" s="116">
        <f t="array" ref="L14">IFERROR(_xlfn.SINGLE(INDEX(DATABASE!$AV$14:$BC$968,SUMPRODUCT((ROW(DATABASE!$AV$14:$AV$968)) * (DATABASE!$AV$14:BE$968='Résultats observations'!$A14 ) * (DATABASE!$AW$14:$AW$968= L$4))-ROW(DATABASE!$AV$14)+1,L$5)),"")</f>
        <v/>
      </c>
      <c r="M14" s="116">
        <f t="array" ref="M14">IFERROR(_xlfn.SINGLE(INDEX(DATABASE!$AV$14:$BC$968,SUMPRODUCT((ROW(DATABASE!$AV$14:$AV$968)) * (DATABASE!$AV$14:BF$968='Résultats observations'!$A14 ) * (DATABASE!$AW$14:$AW$968= M$4))-ROW(DATABASE!$AV$14)+1,M$5)),"")</f>
        <v/>
      </c>
      <c r="N14" s="116">
        <f t="array" ref="N14">IFERROR(_xlfn.SINGLE(INDEX(DATABASE!$AV$14:$BC$968,SUMPRODUCT((ROW(DATABASE!$AV$14:$AV$968)) * (DATABASE!$AV$14:BG$968='Résultats observations'!$A14 ) * (DATABASE!$AW$14:$AW$968= N$4))-ROW(DATABASE!$AV$14)+1,N$5)),"")</f>
        <v/>
      </c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6" t="n"/>
      <c r="AF14" s="116" t="n"/>
      <c r="AG14" s="116" t="n"/>
      <c r="AH14" s="116" t="n"/>
      <c r="AI14" s="116" t="n"/>
      <c r="AJ14" s="116" t="n"/>
      <c r="AK14" s="116" t="n"/>
      <c r="AL14" s="116" t="n"/>
      <c r="AM14" s="116" t="n"/>
      <c r="AN14" s="116" t="n"/>
      <c r="AO14" s="116" t="n"/>
      <c r="AP14" s="116" t="n"/>
      <c r="AQ14" s="116" t="n"/>
      <c r="AR14" s="116" t="n"/>
      <c r="AS14" s="116" t="n"/>
      <c r="AT14" s="116" t="n"/>
      <c r="AU14" s="116" t="n"/>
      <c r="AV14" s="116" t="n"/>
      <c r="AW14" s="116" t="n"/>
      <c r="AX14" s="116" t="n"/>
      <c r="AY14" s="116" t="n"/>
      <c r="AZ14" s="116" t="n"/>
      <c r="BA14" s="116" t="n"/>
      <c r="BB14" s="116" t="n"/>
      <c r="BC14" s="116" t="n"/>
      <c r="BD14" s="116" t="n"/>
      <c r="BE14" s="116" t="n"/>
      <c r="BF14" s="116" t="n"/>
      <c r="BG14" s="116" t="n"/>
      <c r="BH14" s="116" t="n"/>
      <c r="BI14" s="116" t="n"/>
      <c r="BJ14" s="116" t="n"/>
    </row>
    <row r="15" ht="29.25" customFormat="1" customHeight="1" s="28">
      <c r="A15" s="42" t="n">
        <v>45553</v>
      </c>
      <c r="B15" s="8">
        <f>A15-A$10</f>
        <v/>
      </c>
      <c r="C15" s="44">
        <f t="array" ref="C15">IFERROR(_xlfn.SINGLE(INDEX(DATABASE!$AV$14:$BC$968,SUMPRODUCT((ROW(DATABASE!$AV$14:$AV$968)) * (DATABASE!AV$14:$AV$968='Résultats observations'!$A15 ) * (DATABASE!$AW$14:$AW$968= C$4))-ROW(DATABASE!$AV$14)+1,C$5)),"")</f>
        <v/>
      </c>
      <c r="D15" s="116">
        <f t="array" ref="D15">IFERROR(_xlfn.SINGLE(INDEX(DATABASE!$AV$14:$BC$968,SUMPRODUCT((ROW(DATABASE!$AV$14:$AV$968)) * (DATABASE!$AV$14:AW$968='Résultats observations'!$A15 ) * (DATABASE!$AW$14:$AW$968= D$4))-ROW(DATABASE!$AV$14)+1,D$5)),"")</f>
        <v/>
      </c>
      <c r="E15" s="116">
        <f t="array" ref="E15">IFERROR(_xlfn.SINGLE(INDEX(DATABASE!$AV$14:$BC$968,SUMPRODUCT((ROW(DATABASE!$AV$14:$AV$968)) * (DATABASE!$AV$14:AX$968='Résultats observations'!$A15 ) * (DATABASE!$AW$14:$AW$968= E$4))-ROW(DATABASE!$AV$14)+1,E$5)),"")</f>
        <v/>
      </c>
      <c r="F15" s="116">
        <f t="array" ref="F15">IFERROR(_xlfn.SINGLE(INDEX(DATABASE!$AV$14:$BC$968,SUMPRODUCT((ROW(DATABASE!$AV$14:$AV$968)) * (DATABASE!$AV$14:AY$968='Résultats observations'!$A15 ) * (DATABASE!$AW$14:$AW$968= F$4))-ROW(DATABASE!$AV$14)+1,F$5)),"")</f>
        <v/>
      </c>
      <c r="G15" s="116">
        <f t="array" ref="G15">IFERROR(_xlfn.SINGLE(INDEX(DATABASE!$AV$14:$BC$968,SUMPRODUCT((ROW(DATABASE!$AV$14:$AV$968)) * (DATABASE!$AV$14:AZ$968='Résultats observations'!$A15 ) * (DATABASE!$AW$14:$AW$968= G$4))-ROW(DATABASE!$AV$14)+1,G$5)),"")</f>
        <v/>
      </c>
      <c r="H15" s="116">
        <f t="array" ref="H15">IFERROR(_xlfn.SINGLE(INDEX(DATABASE!$AV$14:$BC$968,SUMPRODUCT((ROW(DATABASE!$AV$14:$AV$968)) * (DATABASE!$AV$14:BA$968='Résultats observations'!$A15 ) * (DATABASE!$AW$14:$AW$968= H$4))-ROW(DATABASE!$AV$14)+1,H$5)),"")</f>
        <v/>
      </c>
      <c r="I15" s="116">
        <f t="array" ref="I15">IFERROR(_xlfn.SINGLE(INDEX(DATABASE!$AV$14:$BC$968,SUMPRODUCT((ROW(DATABASE!$AV$14:$AV$968)) * (DATABASE!$AV$14:BB$968='Résultats observations'!$A15 ) * (DATABASE!$AW$14:$AW$968= I$4))-ROW(DATABASE!$AV$14)+1,I$5)),"")</f>
        <v/>
      </c>
      <c r="J15" s="116">
        <f t="array" ref="J15">IFERROR(_xlfn.SINGLE(INDEX(DATABASE!$AV$14:$BC$968,SUMPRODUCT((ROW(DATABASE!$AV$14:$AV$968)) * (DATABASE!$AV$14:BC$968='Résultats observations'!$A15 ) * (DATABASE!$AW$14:$AW$968= J$4))-ROW(DATABASE!$AV$14)+1,J$5)),"")</f>
        <v/>
      </c>
      <c r="K15" s="116">
        <f t="array" ref="K15">IFERROR(_xlfn.SINGLE(INDEX(DATABASE!$AV$14:$BC$968,SUMPRODUCT((ROW(DATABASE!$AV$14:$AV$968)) * (DATABASE!$AV$14:BD$968='Résultats observations'!$A15 ) * (DATABASE!$AW$14:$AW$968= K$4))-ROW(DATABASE!$AV$14)+1,K$5)),"")</f>
        <v/>
      </c>
      <c r="L15" s="116">
        <f t="array" ref="L15">IFERROR(_xlfn.SINGLE(INDEX(DATABASE!$AV$14:$BC$968,SUMPRODUCT((ROW(DATABASE!$AV$14:$AV$968)) * (DATABASE!$AV$14:BE$968='Résultats observations'!$A15 ) * (DATABASE!$AW$14:$AW$968= L$4))-ROW(DATABASE!$AV$14)+1,L$5)),"")</f>
        <v/>
      </c>
      <c r="M15" s="116">
        <f t="array" ref="M15">IFERROR(_xlfn.SINGLE(INDEX(DATABASE!$AV$14:$BC$968,SUMPRODUCT((ROW(DATABASE!$AV$14:$AV$968)) * (DATABASE!$AV$14:BF$968='Résultats observations'!$A15 ) * (DATABASE!$AW$14:$AW$968= M$4))-ROW(DATABASE!$AV$14)+1,M$5)),"")</f>
        <v/>
      </c>
      <c r="N15" s="116">
        <f t="array" ref="N15">IFERROR(_xlfn.SINGLE(INDEX(DATABASE!$AV$14:$BC$968,SUMPRODUCT((ROW(DATABASE!$AV$14:$AV$968)) * (DATABASE!$AV$14:BG$968='Résultats observations'!$A15 ) * (DATABASE!$AW$14:$AW$968= N$4))-ROW(DATABASE!$AV$14)+1,N$5)),"")</f>
        <v/>
      </c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  <c r="AL15" s="116" t="n"/>
      <c r="AM15" s="116" t="n"/>
      <c r="AN15" s="116" t="n"/>
      <c r="AO15" s="116" t="n"/>
      <c r="AP15" s="116" t="n"/>
      <c r="AQ15" s="116" t="n"/>
      <c r="AR15" s="116" t="n"/>
      <c r="AS15" s="116" t="n"/>
      <c r="AT15" s="116" t="n"/>
      <c r="AU15" s="116" t="n"/>
      <c r="AV15" s="116" t="n"/>
      <c r="AW15" s="116" t="n"/>
      <c r="AX15" s="116" t="n"/>
      <c r="AY15" s="116" t="n"/>
      <c r="AZ15" s="116" t="n"/>
      <c r="BA15" s="116" t="n"/>
      <c r="BB15" s="116" t="n"/>
      <c r="BC15" s="116" t="n"/>
      <c r="BD15" s="116" t="n"/>
      <c r="BE15" s="116" t="n"/>
      <c r="BF15" s="116" t="n"/>
      <c r="BG15" s="116" t="n"/>
      <c r="BH15" s="116" t="n"/>
      <c r="BI15" s="116" t="n"/>
      <c r="BJ15" s="116" t="n"/>
    </row>
    <row r="16" ht="29.25" customFormat="1" customHeight="1" s="28">
      <c r="A16" s="42" t="n">
        <v>45554</v>
      </c>
      <c r="B16" s="8">
        <f>A16-A$10</f>
        <v/>
      </c>
      <c r="C16" s="44">
        <f t="array" ref="C16">IFERROR(_xlfn.SINGLE(INDEX(DATABASE!$AV$14:$BC$968,SUMPRODUCT((ROW(DATABASE!$AV$14:$AV$968)) * (DATABASE!AV$14:$AV$968='Résultats observations'!$A16 ) * (DATABASE!$AW$14:$AW$968= C$4))-ROW(DATABASE!$AV$14)+1,C$5)),"")</f>
        <v/>
      </c>
      <c r="D16" s="116">
        <f t="array" ref="D16">IFERROR(_xlfn.SINGLE(INDEX(DATABASE!$AV$14:$BC$968,SUMPRODUCT((ROW(DATABASE!$AV$14:$AV$968)) * (DATABASE!$AV$14:AW$968='Résultats observations'!$A16 ) * (DATABASE!$AW$14:$AW$968= D$4))-ROW(DATABASE!$AV$14)+1,D$5)),"")</f>
        <v/>
      </c>
      <c r="E16" s="116">
        <f t="array" ref="E16">IFERROR(_xlfn.SINGLE(INDEX(DATABASE!$AV$14:$BC$968,SUMPRODUCT((ROW(DATABASE!$AV$14:$AV$968)) * (DATABASE!$AV$14:AX$968='Résultats observations'!$A16 ) * (DATABASE!$AW$14:$AW$968= E$4))-ROW(DATABASE!$AV$14)+1,E$5)),"")</f>
        <v/>
      </c>
      <c r="F16" s="116">
        <f t="array" ref="F16">IFERROR(_xlfn.SINGLE(INDEX(DATABASE!$AV$14:$BC$968,SUMPRODUCT((ROW(DATABASE!$AV$14:$AV$968)) * (DATABASE!$AV$14:AY$968='Résultats observations'!$A16 ) * (DATABASE!$AW$14:$AW$968= F$4))-ROW(DATABASE!$AV$14)+1,F$5)),"")</f>
        <v/>
      </c>
      <c r="G16" s="116">
        <f t="array" ref="G16">IFERROR(_xlfn.SINGLE(INDEX(DATABASE!$AV$14:$BC$968,SUMPRODUCT((ROW(DATABASE!$AV$14:$AV$968)) * (DATABASE!$AV$14:AZ$968='Résultats observations'!$A16 ) * (DATABASE!$AW$14:$AW$968= G$4))-ROW(DATABASE!$AV$14)+1,G$5)),"")</f>
        <v/>
      </c>
      <c r="H16" s="116">
        <f t="array" ref="H16">IFERROR(_xlfn.SINGLE(INDEX(DATABASE!$AV$14:$BC$968,SUMPRODUCT((ROW(DATABASE!$AV$14:$AV$968)) * (DATABASE!$AV$14:BA$968='Résultats observations'!$A16 ) * (DATABASE!$AW$14:$AW$968= H$4))-ROW(DATABASE!$AV$14)+1,H$5)),"")</f>
        <v/>
      </c>
      <c r="I16" s="116">
        <f t="array" ref="I16">IFERROR(_xlfn.SINGLE(INDEX(DATABASE!$AV$14:$BC$968,SUMPRODUCT((ROW(DATABASE!$AV$14:$AV$968)) * (DATABASE!$AV$14:BB$968='Résultats observations'!$A16 ) * (DATABASE!$AW$14:$AW$968= I$4))-ROW(DATABASE!$AV$14)+1,I$5)),"")</f>
        <v/>
      </c>
      <c r="J16" s="116">
        <f t="array" ref="J16">IFERROR(_xlfn.SINGLE(INDEX(DATABASE!$AV$14:$BC$968,SUMPRODUCT((ROW(DATABASE!$AV$14:$AV$968)) * (DATABASE!$AV$14:BC$968='Résultats observations'!$A16 ) * (DATABASE!$AW$14:$AW$968= J$4))-ROW(DATABASE!$AV$14)+1,J$5)),"")</f>
        <v/>
      </c>
      <c r="K16" s="116">
        <f t="array" ref="K16">IFERROR(_xlfn.SINGLE(INDEX(DATABASE!$AV$14:$BC$968,SUMPRODUCT((ROW(DATABASE!$AV$14:$AV$968)) * (DATABASE!$AV$14:BD$968='Résultats observations'!$A16 ) * (DATABASE!$AW$14:$AW$968= K$4))-ROW(DATABASE!$AV$14)+1,K$5)),"")</f>
        <v/>
      </c>
      <c r="L16" s="116">
        <f t="array" ref="L16">IFERROR(_xlfn.SINGLE(INDEX(DATABASE!$AV$14:$BC$968,SUMPRODUCT((ROW(DATABASE!$AV$14:$AV$968)) * (DATABASE!$AV$14:BE$968='Résultats observations'!$A16 ) * (DATABASE!$AW$14:$AW$968= L$4))-ROW(DATABASE!$AV$14)+1,L$5)),"")</f>
        <v/>
      </c>
      <c r="M16" s="116">
        <f t="array" ref="M16">IFERROR(_xlfn.SINGLE(INDEX(DATABASE!$AV$14:$BC$968,SUMPRODUCT((ROW(DATABASE!$AV$14:$AV$968)) * (DATABASE!$AV$14:BF$968='Résultats observations'!$A16 ) * (DATABASE!$AW$14:$AW$968= M$4))-ROW(DATABASE!$AV$14)+1,M$5)),"")</f>
        <v/>
      </c>
      <c r="N16" s="116">
        <f t="array" ref="N16">IFERROR(_xlfn.SINGLE(INDEX(DATABASE!$AV$14:$BC$968,SUMPRODUCT((ROW(DATABASE!$AV$14:$AV$968)) * (DATABASE!$AV$14:BG$968='Résultats observations'!$A16 ) * (DATABASE!$AW$14:$AW$968= N$4))-ROW(DATABASE!$AV$14)+1,N$5)),"")</f>
        <v/>
      </c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  <c r="AL16" s="116" t="n"/>
      <c r="AM16" s="116" t="n"/>
      <c r="AN16" s="116" t="n"/>
      <c r="AO16" s="116" t="n"/>
      <c r="AP16" s="116" t="n"/>
      <c r="AQ16" s="116" t="n"/>
      <c r="AR16" s="116" t="n"/>
      <c r="AS16" s="116" t="n"/>
      <c r="AT16" s="116" t="n"/>
      <c r="AU16" s="116" t="n"/>
      <c r="AV16" s="116" t="n"/>
      <c r="AW16" s="116" t="n"/>
      <c r="AX16" s="116" t="n"/>
      <c r="AY16" s="116" t="n"/>
      <c r="AZ16" s="116" t="n"/>
      <c r="BA16" s="116" t="n"/>
      <c r="BB16" s="116" t="n"/>
      <c r="BC16" s="116" t="n"/>
      <c r="BD16" s="116" t="n"/>
      <c r="BE16" s="116" t="n"/>
      <c r="BF16" s="116" t="n"/>
      <c r="BG16" s="116" t="n"/>
      <c r="BH16" s="116" t="n"/>
      <c r="BI16" s="116" t="n"/>
      <c r="BJ16" s="116" t="n"/>
    </row>
    <row r="17" ht="29.25" customFormat="1" customHeight="1" s="28">
      <c r="A17" s="42" t="n">
        <v>45557</v>
      </c>
      <c r="B17" s="8">
        <f>A17-A$10</f>
        <v/>
      </c>
      <c r="C17" s="44">
        <f t="array" ref="C17">IFERROR(_xlfn.SINGLE(INDEX(DATABASE!$AV$14:$BC$968,SUMPRODUCT((ROW(DATABASE!$AV$14:$AV$968)) * (DATABASE!AV$14:$AV$968='Résultats observations'!$A17 ) * (DATABASE!$AW$14:$AW$968= C$4))-ROW(DATABASE!$AV$14)+1,C$5)),"")</f>
        <v/>
      </c>
      <c r="D17" s="116">
        <f t="array" ref="D17">IFERROR(_xlfn.SINGLE(INDEX(DATABASE!$AV$14:$BC$968,SUMPRODUCT((ROW(DATABASE!$AV$14:$AV$968)) * (DATABASE!$AV$14:AW$968='Résultats observations'!$A17 ) * (DATABASE!$AW$14:$AW$968= D$4))-ROW(DATABASE!$AV$14)+1,D$5)),"")</f>
        <v/>
      </c>
      <c r="E17" s="116">
        <f t="array" ref="E17">IFERROR(_xlfn.SINGLE(INDEX(DATABASE!$AV$14:$BC$968,SUMPRODUCT((ROW(DATABASE!$AV$14:$AV$968)) * (DATABASE!$AV$14:AX$968='Résultats observations'!$A17 ) * (DATABASE!$AW$14:$AW$968= E$4))-ROW(DATABASE!$AV$14)+1,E$5)),"")</f>
        <v/>
      </c>
      <c r="F17" s="116">
        <f t="array" ref="F17">IFERROR(_xlfn.SINGLE(INDEX(DATABASE!$AV$14:$BC$968,SUMPRODUCT((ROW(DATABASE!$AV$14:$AV$968)) * (DATABASE!$AV$14:AY$968='Résultats observations'!$A17 ) * (DATABASE!$AW$14:$AW$968= F$4))-ROW(DATABASE!$AV$14)+1,F$5)),"")</f>
        <v/>
      </c>
      <c r="G17" s="116">
        <f t="array" ref="G17">IFERROR(_xlfn.SINGLE(INDEX(DATABASE!$AV$14:$BC$968,SUMPRODUCT((ROW(DATABASE!$AV$14:$AV$968)) * (DATABASE!$AV$14:AZ$968='Résultats observations'!$A17 ) * (DATABASE!$AW$14:$AW$968= G$4))-ROW(DATABASE!$AV$14)+1,G$5)),"")</f>
        <v/>
      </c>
      <c r="H17" s="116">
        <f t="array" ref="H17">IFERROR(_xlfn.SINGLE(INDEX(DATABASE!$AV$14:$BC$968,SUMPRODUCT((ROW(DATABASE!$AV$14:$AV$968)) * (DATABASE!$AV$14:BA$968='Résultats observations'!$A17 ) * (DATABASE!$AW$14:$AW$968= H$4))-ROW(DATABASE!$AV$14)+1,H$5)),"")</f>
        <v/>
      </c>
      <c r="I17" s="116">
        <f t="array" ref="I17">IFERROR(_xlfn.SINGLE(INDEX(DATABASE!$AV$14:$BC$968,SUMPRODUCT((ROW(DATABASE!$AV$14:$AV$968)) * (DATABASE!$AV$14:BB$968='Résultats observations'!$A17 ) * (DATABASE!$AW$14:$AW$968= I$4))-ROW(DATABASE!$AV$14)+1,I$5)),"")</f>
        <v/>
      </c>
      <c r="J17" s="116">
        <f t="array" ref="J17">IFERROR(_xlfn.SINGLE(INDEX(DATABASE!$AV$14:$BC$968,SUMPRODUCT((ROW(DATABASE!$AV$14:$AV$968)) * (DATABASE!$AV$14:BC$968='Résultats observations'!$A17 ) * (DATABASE!$AW$14:$AW$968= J$4))-ROW(DATABASE!$AV$14)+1,J$5)),"")</f>
        <v/>
      </c>
      <c r="K17" s="116">
        <f t="array" ref="K17">IFERROR(_xlfn.SINGLE(INDEX(DATABASE!$AV$14:$BC$968,SUMPRODUCT((ROW(DATABASE!$AV$14:$AV$968)) * (DATABASE!$AV$14:BD$968='Résultats observations'!$A17 ) * (DATABASE!$AW$14:$AW$968= K$4))-ROW(DATABASE!$AV$14)+1,K$5)),"")</f>
        <v/>
      </c>
      <c r="L17" s="116">
        <f t="array" ref="L17">IFERROR(_xlfn.SINGLE(INDEX(DATABASE!$AV$14:$BC$968,SUMPRODUCT((ROW(DATABASE!$AV$14:$AV$968)) * (DATABASE!$AV$14:BE$968='Résultats observations'!$A17 ) * (DATABASE!$AW$14:$AW$968= L$4))-ROW(DATABASE!$AV$14)+1,L$5)),"")</f>
        <v/>
      </c>
      <c r="M17" s="116">
        <f t="array" ref="M17">IFERROR(_xlfn.SINGLE(INDEX(DATABASE!$AV$14:$BC$968,SUMPRODUCT((ROW(DATABASE!$AV$14:$AV$968)) * (DATABASE!$AV$14:BF$968='Résultats observations'!$A17 ) * (DATABASE!$AW$14:$AW$968= M$4))-ROW(DATABASE!$AV$14)+1,M$5)),"")</f>
        <v/>
      </c>
      <c r="N17" s="116">
        <f t="array" ref="N17">IFERROR(_xlfn.SINGLE(INDEX(DATABASE!$AV$14:$BC$968,SUMPRODUCT((ROW(DATABASE!$AV$14:$AV$968)) * (DATABASE!$AV$14:BG$968='Résultats observations'!$A17 ) * (DATABASE!$AW$14:$AW$968= N$4))-ROW(DATABASE!$AV$14)+1,N$5)),"")</f>
        <v/>
      </c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  <c r="AL17" s="116" t="n"/>
      <c r="AM17" s="116" t="n"/>
      <c r="AN17" s="116" t="n"/>
      <c r="AO17" s="116" t="n"/>
      <c r="AP17" s="116" t="n"/>
      <c r="AQ17" s="116" t="n"/>
      <c r="AR17" s="116" t="n"/>
      <c r="AS17" s="116" t="n"/>
      <c r="AT17" s="116" t="n"/>
      <c r="AU17" s="116" t="n"/>
      <c r="AV17" s="116" t="n"/>
      <c r="AW17" s="116" t="n"/>
      <c r="AX17" s="116" t="n"/>
      <c r="AY17" s="116" t="n"/>
      <c r="AZ17" s="116" t="n"/>
      <c r="BA17" s="116" t="n"/>
      <c r="BB17" s="116" t="n"/>
      <c r="BC17" s="116" t="n"/>
      <c r="BD17" s="116" t="n"/>
      <c r="BE17" s="116" t="n"/>
      <c r="BF17" s="116" t="n"/>
      <c r="BG17" s="116" t="n"/>
      <c r="BH17" s="116" t="n"/>
      <c r="BI17" s="116" t="n"/>
      <c r="BJ17" s="116" t="n"/>
    </row>
    <row r="18" ht="29.25" customFormat="1" customHeight="1" s="28">
      <c r="A18" s="42" t="n">
        <v>45558</v>
      </c>
      <c r="B18" s="8">
        <f>A18-A$10</f>
        <v/>
      </c>
      <c r="C18" s="44">
        <f t="array" ref="C18">IFERROR(_xlfn.SINGLE(INDEX(DATABASE!$AV$14:$BC$968,SUMPRODUCT((ROW(DATABASE!$AV$14:$AV$968)) * (DATABASE!AV$14:$AV$968='Résultats observations'!$A18 ) * (DATABASE!$AW$14:$AW$968= C$4))-ROW(DATABASE!$AV$14)+1,C$5)),"")</f>
        <v/>
      </c>
      <c r="D18" s="116">
        <f t="array" ref="D18">IFERROR(_xlfn.SINGLE(INDEX(DATABASE!$AV$14:$BC$968,SUMPRODUCT((ROW(DATABASE!$AV$14:$AV$968)) * (DATABASE!$AV$14:AW$968='Résultats observations'!$A18 ) * (DATABASE!$AW$14:$AW$968= D$4))-ROW(DATABASE!$AV$14)+1,D$5)),"")</f>
        <v/>
      </c>
      <c r="E18" s="116">
        <f t="array" ref="E18">IFERROR(_xlfn.SINGLE(INDEX(DATABASE!$AV$14:$BC$968,SUMPRODUCT((ROW(DATABASE!$AV$14:$AV$968)) * (DATABASE!$AV$14:AX$968='Résultats observations'!$A18 ) * (DATABASE!$AW$14:$AW$968= E$4))-ROW(DATABASE!$AV$14)+1,E$5)),"")</f>
        <v/>
      </c>
      <c r="F18" s="116">
        <f t="array" ref="F18">IFERROR(_xlfn.SINGLE(INDEX(DATABASE!$AV$14:$BC$968,SUMPRODUCT((ROW(DATABASE!$AV$14:$AV$968)) * (DATABASE!$AV$14:AY$968='Résultats observations'!$A18 ) * (DATABASE!$AW$14:$AW$968= F$4))-ROW(DATABASE!$AV$14)+1,F$5)),"")</f>
        <v/>
      </c>
      <c r="G18" s="116">
        <f t="array" ref="G18">IFERROR(_xlfn.SINGLE(INDEX(DATABASE!$AV$14:$BC$968,SUMPRODUCT((ROW(DATABASE!$AV$14:$AV$968)) * (DATABASE!$AV$14:AZ$968='Résultats observations'!$A18 ) * (DATABASE!$AW$14:$AW$968= G$4))-ROW(DATABASE!$AV$14)+1,G$5)),"")</f>
        <v/>
      </c>
      <c r="H18" s="116">
        <f t="array" ref="H18">IFERROR(_xlfn.SINGLE(INDEX(DATABASE!$AV$14:$BC$968,SUMPRODUCT((ROW(DATABASE!$AV$14:$AV$968)) * (DATABASE!$AV$14:BA$968='Résultats observations'!$A18 ) * (DATABASE!$AW$14:$AW$968= H$4))-ROW(DATABASE!$AV$14)+1,H$5)),"")</f>
        <v/>
      </c>
      <c r="I18" s="116">
        <f t="array" ref="I18">IFERROR(_xlfn.SINGLE(INDEX(DATABASE!$AV$14:$BC$968,SUMPRODUCT((ROW(DATABASE!$AV$14:$AV$968)) * (DATABASE!$AV$14:BB$968='Résultats observations'!$A18 ) * (DATABASE!$AW$14:$AW$968= I$4))-ROW(DATABASE!$AV$14)+1,I$5)),"")</f>
        <v/>
      </c>
      <c r="J18" s="116">
        <f t="array" ref="J18">IFERROR(_xlfn.SINGLE(INDEX(DATABASE!$AV$14:$BC$968,SUMPRODUCT((ROW(DATABASE!$AV$14:$AV$968)) * (DATABASE!$AV$14:BC$968='Résultats observations'!$A18 ) * (DATABASE!$AW$14:$AW$968= J$4))-ROW(DATABASE!$AV$14)+1,J$5)),"")</f>
        <v/>
      </c>
      <c r="K18" s="116">
        <f t="array" ref="K18">IFERROR(_xlfn.SINGLE(INDEX(DATABASE!$AV$14:$BC$968,SUMPRODUCT((ROW(DATABASE!$AV$14:$AV$968)) * (DATABASE!$AV$14:BD$968='Résultats observations'!$A18 ) * (DATABASE!$AW$14:$AW$968= K$4))-ROW(DATABASE!$AV$14)+1,K$5)),"")</f>
        <v/>
      </c>
      <c r="L18" s="116">
        <f t="array" ref="L18">IFERROR(_xlfn.SINGLE(INDEX(DATABASE!$AV$14:$BC$968,SUMPRODUCT((ROW(DATABASE!$AV$14:$AV$968)) * (DATABASE!$AV$14:BE$968='Résultats observations'!$A18 ) * (DATABASE!$AW$14:$AW$968= L$4))-ROW(DATABASE!$AV$14)+1,L$5)),"")</f>
        <v/>
      </c>
      <c r="M18" s="116">
        <f t="array" ref="M18">IFERROR(_xlfn.SINGLE(INDEX(DATABASE!$AV$14:$BC$968,SUMPRODUCT((ROW(DATABASE!$AV$14:$AV$968)) * (DATABASE!$AV$14:BF$968='Résultats observations'!$A18 ) * (DATABASE!$AW$14:$AW$968= M$4))-ROW(DATABASE!$AV$14)+1,M$5)),"")</f>
        <v/>
      </c>
      <c r="N18" s="116">
        <f t="array" ref="N18">IFERROR(_xlfn.SINGLE(INDEX(DATABASE!$AV$14:$BC$968,SUMPRODUCT((ROW(DATABASE!$AV$14:$AV$968)) * (DATABASE!$AV$14:BG$968='Résultats observations'!$A18 ) * (DATABASE!$AW$14:$AW$968= N$4))-ROW(DATABASE!$AV$14)+1,N$5)),"")</f>
        <v/>
      </c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  <c r="AL18" s="116" t="n"/>
      <c r="AM18" s="116" t="n"/>
      <c r="AN18" s="116" t="n"/>
      <c r="AO18" s="116" t="n"/>
      <c r="AP18" s="116" t="n"/>
      <c r="AQ18" s="116" t="n"/>
      <c r="AR18" s="116" t="n"/>
      <c r="AS18" s="116" t="n"/>
      <c r="AT18" s="116" t="n"/>
      <c r="AU18" s="116" t="n"/>
      <c r="AV18" s="116" t="n"/>
      <c r="AW18" s="116" t="n"/>
      <c r="AX18" s="116" t="n"/>
      <c r="AY18" s="116" t="n"/>
      <c r="AZ18" s="116" t="n"/>
      <c r="BA18" s="116" t="n"/>
      <c r="BB18" s="116" t="n"/>
      <c r="BC18" s="116" t="n"/>
      <c r="BD18" s="116" t="n"/>
      <c r="BE18" s="116" t="n"/>
      <c r="BF18" s="116" t="n"/>
      <c r="BG18" s="116" t="n"/>
      <c r="BH18" s="116" t="n"/>
      <c r="BI18" s="116" t="n"/>
      <c r="BJ18" s="116" t="n"/>
    </row>
    <row r="19" ht="29.25" customFormat="1" customHeight="1" s="28">
      <c r="A19" s="42" t="n">
        <v>45559</v>
      </c>
      <c r="B19" s="8">
        <f>A19-A$10</f>
        <v/>
      </c>
      <c r="C19" s="44">
        <f t="array" ref="C19">IFERROR(_xlfn.SINGLE(INDEX(DATABASE!$AV$14:$BC$968,SUMPRODUCT((ROW(DATABASE!$AV$14:$AV$968)) * (DATABASE!AV$14:$AV$968='Résultats observations'!$A19 ) * (DATABASE!$AW$14:$AW$968= C$4))-ROW(DATABASE!$AV$14)+1,C$5)),"")</f>
        <v/>
      </c>
      <c r="D19" s="116">
        <f t="array" ref="D19">IFERROR(_xlfn.SINGLE(INDEX(DATABASE!$AV$14:$BC$968,SUMPRODUCT((ROW(DATABASE!$AV$14:$AV$968)) * (DATABASE!$AV$14:AW$968='Résultats observations'!$A19 ) * (DATABASE!$AW$14:$AW$968= D$4))-ROW(DATABASE!$AV$14)+1,D$5)),"")</f>
        <v/>
      </c>
      <c r="E19" s="116">
        <f t="array" ref="E19">IFERROR(_xlfn.SINGLE(INDEX(DATABASE!$AV$14:$BC$968,SUMPRODUCT((ROW(DATABASE!$AV$14:$AV$968)) * (DATABASE!$AV$14:AX$968='Résultats observations'!$A19 ) * (DATABASE!$AW$14:$AW$968= E$4))-ROW(DATABASE!$AV$14)+1,E$5)),"")</f>
        <v/>
      </c>
      <c r="F19" s="116">
        <f t="array" ref="F19">IFERROR(_xlfn.SINGLE(INDEX(DATABASE!$AV$14:$BC$968,SUMPRODUCT((ROW(DATABASE!$AV$14:$AV$968)) * (DATABASE!$AV$14:AY$968='Résultats observations'!$A19 ) * (DATABASE!$AW$14:$AW$968= F$4))-ROW(DATABASE!$AV$14)+1,F$5)),"")</f>
        <v/>
      </c>
      <c r="G19" s="116">
        <f t="array" ref="G19">IFERROR(_xlfn.SINGLE(INDEX(DATABASE!$AV$14:$BC$968,SUMPRODUCT((ROW(DATABASE!$AV$14:$AV$968)) * (DATABASE!$AV$14:AZ$968='Résultats observations'!$A19 ) * (DATABASE!$AW$14:$AW$968= G$4))-ROW(DATABASE!$AV$14)+1,G$5)),"")</f>
        <v/>
      </c>
      <c r="H19" s="116">
        <f t="array" ref="H19">IFERROR(_xlfn.SINGLE(INDEX(DATABASE!$AV$14:$BC$968,SUMPRODUCT((ROW(DATABASE!$AV$14:$AV$968)) * (DATABASE!$AV$14:BA$968='Résultats observations'!$A19 ) * (DATABASE!$AW$14:$AW$968= H$4))-ROW(DATABASE!$AV$14)+1,H$5)),"")</f>
        <v/>
      </c>
      <c r="I19" s="116">
        <f t="array" ref="I19">IFERROR(_xlfn.SINGLE(INDEX(DATABASE!$AV$14:$BC$968,SUMPRODUCT((ROW(DATABASE!$AV$14:$AV$968)) * (DATABASE!$AV$14:BB$968='Résultats observations'!$A19 ) * (DATABASE!$AW$14:$AW$968= I$4))-ROW(DATABASE!$AV$14)+1,I$5)),"")</f>
        <v/>
      </c>
      <c r="J19" s="116">
        <f t="array" ref="J19">IFERROR(_xlfn.SINGLE(INDEX(DATABASE!$AV$14:$BC$968,SUMPRODUCT((ROW(DATABASE!$AV$14:$AV$968)) * (DATABASE!$AV$14:BC$968='Résultats observations'!$A19 ) * (DATABASE!$AW$14:$AW$968= J$4))-ROW(DATABASE!$AV$14)+1,J$5)),"")</f>
        <v/>
      </c>
      <c r="K19" s="116">
        <f t="array" ref="K19">IFERROR(_xlfn.SINGLE(INDEX(DATABASE!$AV$14:$BC$968,SUMPRODUCT((ROW(DATABASE!$AV$14:$AV$968)) * (DATABASE!$AV$14:BD$968='Résultats observations'!$A19 ) * (DATABASE!$AW$14:$AW$968= K$4))-ROW(DATABASE!$AV$14)+1,K$5)),"")</f>
        <v/>
      </c>
      <c r="L19" s="116">
        <f t="array" ref="L19">IFERROR(_xlfn.SINGLE(INDEX(DATABASE!$AV$14:$BC$968,SUMPRODUCT((ROW(DATABASE!$AV$14:$AV$968)) * (DATABASE!$AV$14:BE$968='Résultats observations'!$A19 ) * (DATABASE!$AW$14:$AW$968= L$4))-ROW(DATABASE!$AV$14)+1,L$5)),"")</f>
        <v/>
      </c>
      <c r="M19" s="116">
        <f t="array" ref="M19">IFERROR(_xlfn.SINGLE(INDEX(DATABASE!$AV$14:$BC$968,SUMPRODUCT((ROW(DATABASE!$AV$14:$AV$968)) * (DATABASE!$AV$14:BF$968='Résultats observations'!$A19 ) * (DATABASE!$AW$14:$AW$968= M$4))-ROW(DATABASE!$AV$14)+1,M$5)),"")</f>
        <v/>
      </c>
      <c r="N19" s="116">
        <f t="array" ref="N19">IFERROR(_xlfn.SINGLE(INDEX(DATABASE!$AV$14:$BC$968,SUMPRODUCT((ROW(DATABASE!$AV$14:$AV$968)) * (DATABASE!$AV$14:BG$968='Résultats observations'!$A19 ) * (DATABASE!$AW$14:$AW$968= N$4))-ROW(DATABASE!$AV$14)+1,N$5)),"")</f>
        <v/>
      </c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  <c r="AM19" s="116" t="n"/>
      <c r="AN19" s="116" t="n"/>
      <c r="AO19" s="116" t="n"/>
      <c r="AP19" s="116" t="n"/>
      <c r="AQ19" s="116" t="n"/>
      <c r="AR19" s="116" t="n"/>
      <c r="AS19" s="116" t="n"/>
      <c r="AT19" s="116" t="n"/>
      <c r="AU19" s="116" t="n"/>
      <c r="AV19" s="116" t="n"/>
      <c r="AW19" s="116" t="n"/>
      <c r="AX19" s="116" t="n"/>
      <c r="AY19" s="116" t="n"/>
      <c r="AZ19" s="116" t="n"/>
      <c r="BA19" s="116" t="n"/>
      <c r="BB19" s="116" t="n"/>
      <c r="BC19" s="116" t="n"/>
      <c r="BD19" s="116" t="n"/>
      <c r="BE19" s="116" t="n"/>
      <c r="BF19" s="116" t="n"/>
      <c r="BG19" s="116" t="n"/>
      <c r="BH19" s="116" t="n"/>
      <c r="BI19" s="116" t="n"/>
      <c r="BJ19" s="116" t="n"/>
    </row>
    <row r="20" ht="29.25" customFormat="1" customHeight="1" s="28">
      <c r="A20" s="42" t="n">
        <v>45560</v>
      </c>
      <c r="B20" s="8">
        <f>A20-A$10</f>
        <v/>
      </c>
      <c r="C20" s="44">
        <f t="array" ref="C20">IFERROR(_xlfn.SINGLE(INDEX(DATABASE!$AV$14:$BC$968,SUMPRODUCT((ROW(DATABASE!$AV$14:$AV$968)) * (DATABASE!AV$14:$AV$968='Résultats observations'!$A20 ) * (DATABASE!$AW$14:$AW$968= C$4))-ROW(DATABASE!$AV$14)+1,C$5)),"")</f>
        <v/>
      </c>
      <c r="D20" s="116">
        <f t="array" ref="D20">IFERROR(_xlfn.SINGLE(INDEX(DATABASE!$AV$14:$BC$968,SUMPRODUCT((ROW(DATABASE!$AV$14:$AV$968)) * (DATABASE!$AV$14:AW$968='Résultats observations'!$A20 ) * (DATABASE!$AW$14:$AW$968= D$4))-ROW(DATABASE!$AV$14)+1,D$5)),"")</f>
        <v/>
      </c>
      <c r="E20" s="116">
        <f t="array" ref="E20">IFERROR(_xlfn.SINGLE(INDEX(DATABASE!$AV$14:$BC$968,SUMPRODUCT((ROW(DATABASE!$AV$14:$AV$968)) * (DATABASE!$AV$14:AX$968='Résultats observations'!$A20 ) * (DATABASE!$AW$14:$AW$968= E$4))-ROW(DATABASE!$AV$14)+1,E$5)),"")</f>
        <v/>
      </c>
      <c r="F20" s="116">
        <f t="array" ref="F20">IFERROR(_xlfn.SINGLE(INDEX(DATABASE!$AV$14:$BC$968,SUMPRODUCT((ROW(DATABASE!$AV$14:$AV$968)) * (DATABASE!$AV$14:AY$968='Résultats observations'!$A20 ) * (DATABASE!$AW$14:$AW$968= F$4))-ROW(DATABASE!$AV$14)+1,F$5)),"")</f>
        <v/>
      </c>
      <c r="G20" s="116">
        <f t="array" ref="G20">IFERROR(_xlfn.SINGLE(INDEX(DATABASE!$AV$14:$BC$968,SUMPRODUCT((ROW(DATABASE!$AV$14:$AV$968)) * (DATABASE!$AV$14:AZ$968='Résultats observations'!$A20 ) * (DATABASE!$AW$14:$AW$968= G$4))-ROW(DATABASE!$AV$14)+1,G$5)),"")</f>
        <v/>
      </c>
      <c r="H20" s="116">
        <f t="array" ref="H20">IFERROR(_xlfn.SINGLE(INDEX(DATABASE!$AV$14:$BC$968,SUMPRODUCT((ROW(DATABASE!$AV$14:$AV$968)) * (DATABASE!$AV$14:BA$968='Résultats observations'!$A20 ) * (DATABASE!$AW$14:$AW$968= H$4))-ROW(DATABASE!$AV$14)+1,H$5)),"")</f>
        <v/>
      </c>
      <c r="I20" s="116">
        <f t="array" ref="I20">IFERROR(_xlfn.SINGLE(INDEX(DATABASE!$AV$14:$BC$968,SUMPRODUCT((ROW(DATABASE!$AV$14:$AV$968)) * (DATABASE!$AV$14:BB$968='Résultats observations'!$A20 ) * (DATABASE!$AW$14:$AW$968= I$4))-ROW(DATABASE!$AV$14)+1,I$5)),"")</f>
        <v/>
      </c>
      <c r="J20" s="116">
        <f t="array" ref="J20">IFERROR(_xlfn.SINGLE(INDEX(DATABASE!$AV$14:$BC$968,SUMPRODUCT((ROW(DATABASE!$AV$14:$AV$968)) * (DATABASE!$AV$14:BC$968='Résultats observations'!$A20 ) * (DATABASE!$AW$14:$AW$968= J$4))-ROW(DATABASE!$AV$14)+1,J$5)),"")</f>
        <v/>
      </c>
      <c r="K20" s="116">
        <f t="array" ref="K20">IFERROR(_xlfn.SINGLE(INDEX(DATABASE!$AV$14:$BC$968,SUMPRODUCT((ROW(DATABASE!$AV$14:$AV$968)) * (DATABASE!$AV$14:BD$968='Résultats observations'!$A20 ) * (DATABASE!$AW$14:$AW$968= K$4))-ROW(DATABASE!$AV$14)+1,K$5)),"")</f>
        <v/>
      </c>
      <c r="L20" s="116">
        <f t="array" ref="L20">IFERROR(_xlfn.SINGLE(INDEX(DATABASE!$AV$14:$BC$968,SUMPRODUCT((ROW(DATABASE!$AV$14:$AV$968)) * (DATABASE!$AV$14:BE$968='Résultats observations'!$A20 ) * (DATABASE!$AW$14:$AW$968= L$4))-ROW(DATABASE!$AV$14)+1,L$5)),"")</f>
        <v/>
      </c>
      <c r="M20" s="116">
        <f t="array" ref="M20">IFERROR(_xlfn.SINGLE(INDEX(DATABASE!$AV$14:$BC$968,SUMPRODUCT((ROW(DATABASE!$AV$14:$AV$968)) * (DATABASE!$AV$14:BF$968='Résultats observations'!$A20 ) * (DATABASE!$AW$14:$AW$968= M$4))-ROW(DATABASE!$AV$14)+1,M$5)),"")</f>
        <v/>
      </c>
      <c r="N20" s="116">
        <f t="array" ref="N20">IFERROR(_xlfn.SINGLE(INDEX(DATABASE!$AV$14:$BC$968,SUMPRODUCT((ROW(DATABASE!$AV$14:$AV$968)) * (DATABASE!$AV$14:BG$968='Résultats observations'!$A20 ) * (DATABASE!$AW$14:$AW$968= N$4))-ROW(DATABASE!$AV$14)+1,N$5)),"")</f>
        <v/>
      </c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  <c r="AM20" s="116" t="n"/>
      <c r="AN20" s="116" t="n"/>
      <c r="AO20" s="116" t="n"/>
      <c r="AP20" s="116" t="n"/>
      <c r="AQ20" s="116" t="n"/>
      <c r="AR20" s="116" t="n"/>
      <c r="AS20" s="116" t="n"/>
      <c r="AT20" s="116" t="n"/>
      <c r="AU20" s="116" t="n"/>
      <c r="AV20" s="116" t="n"/>
      <c r="AW20" s="116" t="n"/>
      <c r="AX20" s="116" t="n"/>
      <c r="AY20" s="116" t="n"/>
      <c r="AZ20" s="116" t="n"/>
      <c r="BA20" s="116" t="n"/>
      <c r="BB20" s="116" t="n"/>
      <c r="BC20" s="116" t="n"/>
      <c r="BD20" s="116" t="n"/>
      <c r="BE20" s="116" t="n"/>
      <c r="BF20" s="116" t="n"/>
      <c r="BG20" s="116" t="n"/>
      <c r="BH20" s="116" t="n"/>
      <c r="BI20" s="116" t="n"/>
      <c r="BJ20" s="116" t="n"/>
    </row>
    <row r="21" ht="29.25" customFormat="1" customHeight="1" s="28">
      <c r="A21" s="42" t="n">
        <v>45562</v>
      </c>
      <c r="B21" s="8">
        <f>A21-A$10</f>
        <v/>
      </c>
      <c r="C21" s="44">
        <f t="array" ref="C21">IFERROR(_xlfn.SINGLE(INDEX(DATABASE!$AV$14:$BC$968,SUMPRODUCT((ROW(DATABASE!$AV$14:$AV$968)) * (DATABASE!AV$14:$AV$968='Résultats observations'!$A21 ) * (DATABASE!$AW$14:$AW$968= C$4))-ROW(DATABASE!$AV$14)+1,C$5)),"")</f>
        <v/>
      </c>
      <c r="D21" s="116">
        <f t="array" ref="D21">IFERROR(_xlfn.SINGLE(INDEX(DATABASE!$AV$14:$BC$968,SUMPRODUCT((ROW(DATABASE!$AV$14:$AV$968)) * (DATABASE!$AV$14:AW$968='Résultats observations'!$A21 ) * (DATABASE!$AW$14:$AW$968= D$4))-ROW(DATABASE!$AV$14)+1,D$5)),"")</f>
        <v/>
      </c>
      <c r="E21" s="116">
        <f t="array" ref="E21">IFERROR(_xlfn.SINGLE(INDEX(DATABASE!$AV$14:$BC$968,SUMPRODUCT((ROW(DATABASE!$AV$14:$AV$968)) * (DATABASE!$AV$14:AX$968='Résultats observations'!$A21 ) * (DATABASE!$AW$14:$AW$968= E$4))-ROW(DATABASE!$AV$14)+1,E$5)),"")</f>
        <v/>
      </c>
      <c r="F21" s="116">
        <f t="array" ref="F21">IFERROR(_xlfn.SINGLE(INDEX(DATABASE!$AV$14:$BC$968,SUMPRODUCT((ROW(DATABASE!$AV$14:$AV$968)) * (DATABASE!$AV$14:AY$968='Résultats observations'!$A21 ) * (DATABASE!$AW$14:$AW$968= F$4))-ROW(DATABASE!$AV$14)+1,F$5)),"")</f>
        <v/>
      </c>
      <c r="G21" s="116">
        <f t="array" ref="G21">IFERROR(_xlfn.SINGLE(INDEX(DATABASE!$AV$14:$BC$968,SUMPRODUCT((ROW(DATABASE!$AV$14:$AV$968)) * (DATABASE!$AV$14:AZ$968='Résultats observations'!$A21 ) * (DATABASE!$AW$14:$AW$968= G$4))-ROW(DATABASE!$AV$14)+1,G$5)),"")</f>
        <v/>
      </c>
      <c r="H21" s="116">
        <f t="array" ref="H21">IFERROR(_xlfn.SINGLE(INDEX(DATABASE!$AV$14:$BC$968,SUMPRODUCT((ROW(DATABASE!$AV$14:$AV$968)) * (DATABASE!$AV$14:BA$968='Résultats observations'!$A21 ) * (DATABASE!$AW$14:$AW$968= H$4))-ROW(DATABASE!$AV$14)+1,H$5)),"")</f>
        <v/>
      </c>
      <c r="I21" s="116">
        <f t="array" ref="I21">IFERROR(_xlfn.SINGLE(INDEX(DATABASE!$AV$14:$BC$968,SUMPRODUCT((ROW(DATABASE!$AV$14:$AV$968)) * (DATABASE!$AV$14:BB$968='Résultats observations'!$A21 ) * (DATABASE!$AW$14:$AW$968= I$4))-ROW(DATABASE!$AV$14)+1,I$5)),"")</f>
        <v/>
      </c>
      <c r="J21" s="116">
        <f t="array" ref="J21">IFERROR(_xlfn.SINGLE(INDEX(DATABASE!$AV$14:$BC$968,SUMPRODUCT((ROW(DATABASE!$AV$14:$AV$968)) * (DATABASE!$AV$14:BC$968='Résultats observations'!$A21 ) * (DATABASE!$AW$14:$AW$968= J$4))-ROW(DATABASE!$AV$14)+1,J$5)),"")</f>
        <v/>
      </c>
      <c r="K21" s="116">
        <f t="array" ref="K21">IFERROR(_xlfn.SINGLE(INDEX(DATABASE!$AV$14:$BC$968,SUMPRODUCT((ROW(DATABASE!$AV$14:$AV$968)) * (DATABASE!$AV$14:BD$968='Résultats observations'!$A21 ) * (DATABASE!$AW$14:$AW$968= K$4))-ROW(DATABASE!$AV$14)+1,K$5)),"")</f>
        <v/>
      </c>
      <c r="L21" s="116">
        <f t="array" ref="L21">IFERROR(_xlfn.SINGLE(INDEX(DATABASE!$AV$14:$BC$968,SUMPRODUCT((ROW(DATABASE!$AV$14:$AV$968)) * (DATABASE!$AV$14:BE$968='Résultats observations'!$A21 ) * (DATABASE!$AW$14:$AW$968= L$4))-ROW(DATABASE!$AV$14)+1,L$5)),"")</f>
        <v/>
      </c>
      <c r="M21" s="116">
        <f t="array" ref="M21">IFERROR(_xlfn.SINGLE(INDEX(DATABASE!$AV$14:$BC$968,SUMPRODUCT((ROW(DATABASE!$AV$14:$AV$968)) * (DATABASE!$AV$14:BF$968='Résultats observations'!$A21 ) * (DATABASE!$AW$14:$AW$968= M$4))-ROW(DATABASE!$AV$14)+1,M$5)),"")</f>
        <v/>
      </c>
      <c r="N21" s="116">
        <f t="array" ref="N21">IFERROR(_xlfn.SINGLE(INDEX(DATABASE!$AV$14:$BC$968,SUMPRODUCT((ROW(DATABASE!$AV$14:$AV$968)) * (DATABASE!$AV$14:BG$968='Résultats observations'!$A21 ) * (DATABASE!$AW$14:$AW$968= N$4))-ROW(DATABASE!$AV$14)+1,N$5)),"")</f>
        <v/>
      </c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  <c r="AM21" s="116" t="n"/>
      <c r="AN21" s="116" t="n"/>
      <c r="AO21" s="116" t="n"/>
      <c r="AP21" s="116" t="n"/>
      <c r="AQ21" s="116" t="n"/>
      <c r="AR21" s="116" t="n"/>
      <c r="AS21" s="116" t="n"/>
      <c r="AT21" s="116" t="n"/>
      <c r="AU21" s="116" t="n"/>
      <c r="AV21" s="116" t="n"/>
      <c r="AW21" s="116" t="n"/>
      <c r="AX21" s="116" t="n"/>
      <c r="AY21" s="116" t="n"/>
      <c r="AZ21" s="116" t="n"/>
      <c r="BA21" s="116" t="n"/>
      <c r="BB21" s="116" t="n"/>
      <c r="BC21" s="116" t="n"/>
      <c r="BD21" s="116" t="n"/>
      <c r="BE21" s="116" t="n"/>
      <c r="BF21" s="116" t="n"/>
      <c r="BG21" s="116" t="n"/>
      <c r="BH21" s="116" t="n"/>
      <c r="BI21" s="116" t="n"/>
      <c r="BJ21" s="116" t="n"/>
    </row>
    <row r="22" ht="29.25" customFormat="1" customHeight="1" s="28">
      <c r="A22" s="42" t="n">
        <v>45565</v>
      </c>
      <c r="B22" s="8">
        <f>A22-A$10</f>
        <v/>
      </c>
      <c r="C22" s="44">
        <f t="array" ref="C22">IFERROR(_xlfn.SINGLE(INDEX(DATABASE!$AV$14:$BC$968,SUMPRODUCT((ROW(DATABASE!$AV$14:$AV$968)) * (DATABASE!AV$14:$AV$968='Résultats observations'!$A22 ) * (DATABASE!$AW$14:$AW$968= C$4))-ROW(DATABASE!$AV$14)+1,C$5)),"")</f>
        <v/>
      </c>
      <c r="D22" s="116">
        <f t="array" ref="D22">IFERROR(_xlfn.SINGLE(INDEX(DATABASE!$AV$14:$BC$968,SUMPRODUCT((ROW(DATABASE!$AV$14:$AV$968)) * (DATABASE!$AV$14:AW$968='Résultats observations'!$A22 ) * (DATABASE!$AW$14:$AW$968= D$4))-ROW(DATABASE!$AV$14)+1,D$5)),"")</f>
        <v/>
      </c>
      <c r="E22" s="116">
        <f t="array" ref="E22">IFERROR(_xlfn.SINGLE(INDEX(DATABASE!$AV$14:$BC$968,SUMPRODUCT((ROW(DATABASE!$AV$14:$AV$968)) * (DATABASE!$AV$14:AX$968='Résultats observations'!$A22 ) * (DATABASE!$AW$14:$AW$968= E$4))-ROW(DATABASE!$AV$14)+1,E$5)),"")</f>
        <v/>
      </c>
      <c r="F22" s="116">
        <f t="array" ref="F22">IFERROR(_xlfn.SINGLE(INDEX(DATABASE!$AV$14:$BC$968,SUMPRODUCT((ROW(DATABASE!$AV$14:$AV$968)) * (DATABASE!$AV$14:AY$968='Résultats observations'!$A22 ) * (DATABASE!$AW$14:$AW$968= F$4))-ROW(DATABASE!$AV$14)+1,F$5)),"")</f>
        <v/>
      </c>
      <c r="G22" s="116">
        <f t="array" ref="G22">IFERROR(_xlfn.SINGLE(INDEX(DATABASE!$AV$14:$BC$968,SUMPRODUCT((ROW(DATABASE!$AV$14:$AV$968)) * (DATABASE!$AV$14:AZ$968='Résultats observations'!$A22 ) * (DATABASE!$AW$14:$AW$968= G$4))-ROW(DATABASE!$AV$14)+1,G$5)),"")</f>
        <v/>
      </c>
      <c r="H22" s="116">
        <f t="array" ref="H22">IFERROR(_xlfn.SINGLE(INDEX(DATABASE!$AV$14:$BC$968,SUMPRODUCT((ROW(DATABASE!$AV$14:$AV$968)) * (DATABASE!$AV$14:BA$968='Résultats observations'!$A22 ) * (DATABASE!$AW$14:$AW$968= H$4))-ROW(DATABASE!$AV$14)+1,H$5)),"")</f>
        <v/>
      </c>
      <c r="I22" s="116">
        <f t="array" ref="I22">IFERROR(_xlfn.SINGLE(INDEX(DATABASE!$AV$14:$BC$968,SUMPRODUCT((ROW(DATABASE!$AV$14:$AV$968)) * (DATABASE!$AV$14:BB$968='Résultats observations'!$A22 ) * (DATABASE!$AW$14:$AW$968= I$4))-ROW(DATABASE!$AV$14)+1,I$5)),"")</f>
        <v/>
      </c>
      <c r="J22" s="116">
        <f t="array" ref="J22">IFERROR(_xlfn.SINGLE(INDEX(DATABASE!$AV$14:$BC$968,SUMPRODUCT((ROW(DATABASE!$AV$14:$AV$968)) * (DATABASE!$AV$14:BC$968='Résultats observations'!$A22 ) * (DATABASE!$AW$14:$AW$968= J$4))-ROW(DATABASE!$AV$14)+1,J$5)),"")</f>
        <v/>
      </c>
      <c r="K22" s="116">
        <f t="array" ref="K22">IFERROR(_xlfn.SINGLE(INDEX(DATABASE!$AV$14:$BC$968,SUMPRODUCT((ROW(DATABASE!$AV$14:$AV$968)) * (DATABASE!$AV$14:BD$968='Résultats observations'!$A22 ) * (DATABASE!$AW$14:$AW$968= K$4))-ROW(DATABASE!$AV$14)+1,K$5)),"")</f>
        <v/>
      </c>
      <c r="L22" s="116">
        <f t="array" ref="L22">IFERROR(_xlfn.SINGLE(INDEX(DATABASE!$AV$14:$BC$968,SUMPRODUCT((ROW(DATABASE!$AV$14:$AV$968)) * (DATABASE!$AV$14:BE$968='Résultats observations'!$A22 ) * (DATABASE!$AW$14:$AW$968= L$4))-ROW(DATABASE!$AV$14)+1,L$5)),"")</f>
        <v/>
      </c>
      <c r="M22" s="116">
        <f t="array" ref="M22">IFERROR(_xlfn.SINGLE(INDEX(DATABASE!$AV$14:$BC$968,SUMPRODUCT((ROW(DATABASE!$AV$14:$AV$968)) * (DATABASE!$AV$14:BF$968='Résultats observations'!$A22 ) * (DATABASE!$AW$14:$AW$968= M$4))-ROW(DATABASE!$AV$14)+1,M$5)),"")</f>
        <v/>
      </c>
      <c r="N22" s="116">
        <f t="array" ref="N22">IFERROR(_xlfn.SINGLE(INDEX(DATABASE!$AV$14:$BC$968,SUMPRODUCT((ROW(DATABASE!$AV$14:$AV$968)) * (DATABASE!$AV$14:BG$968='Résultats observations'!$A22 ) * (DATABASE!$AW$14:$AW$968= N$4))-ROW(DATABASE!$AV$14)+1,N$5)),"")</f>
        <v/>
      </c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  <c r="AM22" s="116" t="n"/>
      <c r="AN22" s="116" t="n"/>
      <c r="AO22" s="116" t="n"/>
      <c r="AP22" s="116" t="n"/>
      <c r="AQ22" s="116" t="n"/>
      <c r="AR22" s="116" t="n"/>
      <c r="AS22" s="116" t="n"/>
      <c r="AT22" s="116" t="n"/>
      <c r="AU22" s="116" t="n"/>
      <c r="AV22" s="116" t="n"/>
      <c r="AW22" s="116" t="n"/>
      <c r="AX22" s="116" t="n"/>
      <c r="AY22" s="116" t="n"/>
      <c r="AZ22" s="116" t="n"/>
      <c r="BA22" s="116" t="n"/>
      <c r="BB22" s="116" t="n"/>
      <c r="BC22" s="116" t="n"/>
      <c r="BD22" s="116" t="n"/>
      <c r="BE22" s="116" t="n"/>
      <c r="BF22" s="116" t="n"/>
      <c r="BG22" s="116" t="n"/>
      <c r="BH22" s="116" t="n"/>
      <c r="BI22" s="116" t="n"/>
      <c r="BJ22" s="116" t="n"/>
    </row>
    <row r="23" ht="29.25" customFormat="1" customHeight="1" s="28">
      <c r="A23" s="42" t="n">
        <v>45567</v>
      </c>
      <c r="B23" s="8">
        <f>A23-A$10</f>
        <v/>
      </c>
      <c r="C23" s="44">
        <f t="array" ref="C23">IFERROR(_xlfn.SINGLE(INDEX(DATABASE!$AV$14:$BC$968,SUMPRODUCT((ROW(DATABASE!$AV$14:$AV$968)) * (DATABASE!AV$14:$AV$968='Résultats observations'!$A23 ) * (DATABASE!$AW$14:$AW$968= C$4))-ROW(DATABASE!$AV$14)+1,C$5)),"")</f>
        <v/>
      </c>
      <c r="D23" s="116">
        <f t="array" ref="D23">IFERROR(_xlfn.SINGLE(INDEX(DATABASE!$AV$14:$BC$968,SUMPRODUCT((ROW(DATABASE!$AV$14:$AV$968)) * (DATABASE!$AV$14:AW$968='Résultats observations'!$A23 ) * (DATABASE!$AW$14:$AW$968= D$4))-ROW(DATABASE!$AV$14)+1,D$5)),"")</f>
        <v/>
      </c>
      <c r="E23" s="116">
        <f t="array" ref="E23">IFERROR(_xlfn.SINGLE(INDEX(DATABASE!$AV$14:$BC$968,SUMPRODUCT((ROW(DATABASE!$AV$14:$AV$968)) * (DATABASE!$AV$14:AX$968='Résultats observations'!$A23 ) * (DATABASE!$AW$14:$AW$968= E$4))-ROW(DATABASE!$AV$14)+1,E$5)),"")</f>
        <v/>
      </c>
      <c r="F23" s="116">
        <f t="array" ref="F23">IFERROR(_xlfn.SINGLE(INDEX(DATABASE!$AV$14:$BC$968,SUMPRODUCT((ROW(DATABASE!$AV$14:$AV$968)) * (DATABASE!$AV$14:AY$968='Résultats observations'!$A23 ) * (DATABASE!$AW$14:$AW$968= F$4))-ROW(DATABASE!$AV$14)+1,F$5)),"")</f>
        <v/>
      </c>
      <c r="G23" s="116">
        <f t="array" ref="G23">IFERROR(_xlfn.SINGLE(INDEX(DATABASE!$AV$14:$BC$968,SUMPRODUCT((ROW(DATABASE!$AV$14:$AV$968)) * (DATABASE!$AV$14:AZ$968='Résultats observations'!$A23 ) * (DATABASE!$AW$14:$AW$968= G$4))-ROW(DATABASE!$AV$14)+1,G$5)),"")</f>
        <v/>
      </c>
      <c r="H23" s="116">
        <f t="array" ref="H23">IFERROR(_xlfn.SINGLE(INDEX(DATABASE!$AV$14:$BC$968,SUMPRODUCT((ROW(DATABASE!$AV$14:$AV$968)) * (DATABASE!$AV$14:BA$968='Résultats observations'!$A23 ) * (DATABASE!$AW$14:$AW$968= H$4))-ROW(DATABASE!$AV$14)+1,H$5)),"")</f>
        <v/>
      </c>
      <c r="I23" s="116">
        <f t="array" ref="I23">IFERROR(_xlfn.SINGLE(INDEX(DATABASE!$AV$14:$BC$968,SUMPRODUCT((ROW(DATABASE!$AV$14:$AV$968)) * (DATABASE!$AV$14:BB$968='Résultats observations'!$A23 ) * (DATABASE!$AW$14:$AW$968= I$4))-ROW(DATABASE!$AV$14)+1,I$5)),"")</f>
        <v/>
      </c>
      <c r="J23" s="116">
        <f t="array" ref="J23">IFERROR(_xlfn.SINGLE(INDEX(DATABASE!$AV$14:$BC$968,SUMPRODUCT((ROW(DATABASE!$AV$14:$AV$968)) * (DATABASE!$AV$14:BC$968='Résultats observations'!$A23 ) * (DATABASE!$AW$14:$AW$968= J$4))-ROW(DATABASE!$AV$14)+1,J$5)),"")</f>
        <v/>
      </c>
      <c r="K23" s="116">
        <f t="array" ref="K23">IFERROR(_xlfn.SINGLE(INDEX(DATABASE!$AV$14:$BC$968,SUMPRODUCT((ROW(DATABASE!$AV$14:$AV$968)) * (DATABASE!$AV$14:BD$968='Résultats observations'!$A23 ) * (DATABASE!$AW$14:$AW$968= K$4))-ROW(DATABASE!$AV$14)+1,K$5)),"")</f>
        <v/>
      </c>
      <c r="L23" s="116">
        <f t="array" ref="L23">IFERROR(_xlfn.SINGLE(INDEX(DATABASE!$AV$14:$BC$968,SUMPRODUCT((ROW(DATABASE!$AV$14:$AV$968)) * (DATABASE!$AV$14:BE$968='Résultats observations'!$A23 ) * (DATABASE!$AW$14:$AW$968= L$4))-ROW(DATABASE!$AV$14)+1,L$5)),"")</f>
        <v/>
      </c>
      <c r="M23" s="116">
        <f t="array" ref="M23">IFERROR(_xlfn.SINGLE(INDEX(DATABASE!$AV$14:$BC$968,SUMPRODUCT((ROW(DATABASE!$AV$14:$AV$968)) * (DATABASE!$AV$14:BF$968='Résultats observations'!$A23 ) * (DATABASE!$AW$14:$AW$968= M$4))-ROW(DATABASE!$AV$14)+1,M$5)),"")</f>
        <v/>
      </c>
      <c r="N23" s="116">
        <f t="array" ref="N23">IFERROR(_xlfn.SINGLE(INDEX(DATABASE!$AV$14:$BC$968,SUMPRODUCT((ROW(DATABASE!$AV$14:$AV$968)) * (DATABASE!$AV$14:BG$968='Résultats observations'!$A23 ) * (DATABASE!$AW$14:$AW$968= N$4))-ROW(DATABASE!$AV$14)+1,N$5)),"")</f>
        <v/>
      </c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  <c r="AM23" s="116" t="n"/>
      <c r="AN23" s="116" t="n"/>
      <c r="AO23" s="116" t="n"/>
      <c r="AP23" s="116" t="n"/>
      <c r="AQ23" s="116" t="n"/>
      <c r="AR23" s="116" t="n"/>
      <c r="AS23" s="116" t="n"/>
      <c r="AT23" s="116" t="n"/>
      <c r="AU23" s="116" t="n"/>
      <c r="AV23" s="116" t="n"/>
      <c r="AW23" s="116" t="n"/>
      <c r="AX23" s="116" t="n"/>
      <c r="AY23" s="116" t="n"/>
      <c r="AZ23" s="116" t="n"/>
      <c r="BA23" s="116" t="n"/>
      <c r="BB23" s="116" t="n"/>
      <c r="BC23" s="116" t="n"/>
      <c r="BD23" s="116" t="n"/>
      <c r="BE23" s="116" t="n"/>
      <c r="BF23" s="116" t="n"/>
      <c r="BG23" s="116" t="n"/>
      <c r="BH23" s="116" t="n"/>
      <c r="BI23" s="116" t="n"/>
      <c r="BJ23" s="116" t="n"/>
    </row>
    <row r="24" ht="29.25" customFormat="1" customHeight="1" s="28">
      <c r="A24" s="42" t="n">
        <v>45569</v>
      </c>
      <c r="B24" s="8">
        <f>A24-A$10</f>
        <v/>
      </c>
      <c r="C24" s="44">
        <f t="array" ref="C24">IFERROR(_xlfn.SINGLE(INDEX(DATABASE!$AV$14:$BC$968,SUMPRODUCT((ROW(DATABASE!$AV$14:$AV$968)) * (DATABASE!AV$14:$AV$968='Résultats observations'!$A24 ) * (DATABASE!$AW$14:$AW$968= C$4))-ROW(DATABASE!$AV$14)+1,C$5)),"")</f>
        <v/>
      </c>
      <c r="D24" s="116">
        <f t="array" ref="D24">IFERROR(_xlfn.SINGLE(INDEX(DATABASE!$AV$14:$BC$968,SUMPRODUCT((ROW(DATABASE!$AV$14:$AV$968)) * (DATABASE!$AV$14:AW$968='Résultats observations'!$A24 ) * (DATABASE!$AW$14:$AW$968= D$4))-ROW(DATABASE!$AV$14)+1,D$5)),"")</f>
        <v/>
      </c>
      <c r="E24" s="116">
        <f t="array" ref="E24">IFERROR(_xlfn.SINGLE(INDEX(DATABASE!$AV$14:$BC$968,SUMPRODUCT((ROW(DATABASE!$AV$14:$AV$968)) * (DATABASE!$AV$14:AX$968='Résultats observations'!$A24 ) * (DATABASE!$AW$14:$AW$968= E$4))-ROW(DATABASE!$AV$14)+1,E$5)),"")</f>
        <v/>
      </c>
      <c r="F24" s="116">
        <f t="array" ref="F24">IFERROR(_xlfn.SINGLE(INDEX(DATABASE!$AV$14:$BC$968,SUMPRODUCT((ROW(DATABASE!$AV$14:$AV$968)) * (DATABASE!$AV$14:AY$968='Résultats observations'!$A24 ) * (DATABASE!$AW$14:$AW$968= F$4))-ROW(DATABASE!$AV$14)+1,F$5)),"")</f>
        <v/>
      </c>
      <c r="G24" s="116">
        <f t="array" ref="G24">IFERROR(_xlfn.SINGLE(INDEX(DATABASE!$AV$14:$BC$968,SUMPRODUCT((ROW(DATABASE!$AV$14:$AV$968)) * (DATABASE!$AV$14:AZ$968='Résultats observations'!$A24 ) * (DATABASE!$AW$14:$AW$968= G$4))-ROW(DATABASE!$AV$14)+1,G$5)),"")</f>
        <v/>
      </c>
      <c r="H24" s="116">
        <f t="array" ref="H24">IFERROR(_xlfn.SINGLE(INDEX(DATABASE!$AV$14:$BC$968,SUMPRODUCT((ROW(DATABASE!$AV$14:$AV$968)) * (DATABASE!$AV$14:BA$968='Résultats observations'!$A24 ) * (DATABASE!$AW$14:$AW$968= H$4))-ROW(DATABASE!$AV$14)+1,H$5)),"")</f>
        <v/>
      </c>
      <c r="I24" s="116">
        <f t="array" ref="I24">IFERROR(_xlfn.SINGLE(INDEX(DATABASE!$AV$14:$BC$968,SUMPRODUCT((ROW(DATABASE!$AV$14:$AV$968)) * (DATABASE!$AV$14:BB$968='Résultats observations'!$A24 ) * (DATABASE!$AW$14:$AW$968= I$4))-ROW(DATABASE!$AV$14)+1,I$5)),"")</f>
        <v/>
      </c>
      <c r="J24" s="116">
        <f t="array" ref="J24">IFERROR(_xlfn.SINGLE(INDEX(DATABASE!$AV$14:$BC$968,SUMPRODUCT((ROW(DATABASE!$AV$14:$AV$968)) * (DATABASE!$AV$14:BC$968='Résultats observations'!$A24 ) * (DATABASE!$AW$14:$AW$968= J$4))-ROW(DATABASE!$AV$14)+1,J$5)),"")</f>
        <v/>
      </c>
      <c r="K24" s="116">
        <f t="array" ref="K24">IFERROR(_xlfn.SINGLE(INDEX(DATABASE!$AV$14:$BC$968,SUMPRODUCT((ROW(DATABASE!$AV$14:$AV$968)) * (DATABASE!$AV$14:BD$968='Résultats observations'!$A24 ) * (DATABASE!$AW$14:$AW$968= K$4))-ROW(DATABASE!$AV$14)+1,K$5)),"")</f>
        <v/>
      </c>
      <c r="L24" s="116">
        <f t="array" ref="L24">IFERROR(_xlfn.SINGLE(INDEX(DATABASE!$AV$14:$BC$968,SUMPRODUCT((ROW(DATABASE!$AV$14:$AV$968)) * (DATABASE!$AV$14:BE$968='Résultats observations'!$A24 ) * (DATABASE!$AW$14:$AW$968= L$4))-ROW(DATABASE!$AV$14)+1,L$5)),"")</f>
        <v/>
      </c>
      <c r="M24" s="116">
        <f t="array" ref="M24">IFERROR(_xlfn.SINGLE(INDEX(DATABASE!$AV$14:$BC$968,SUMPRODUCT((ROW(DATABASE!$AV$14:$AV$968)) * (DATABASE!$AV$14:BF$968='Résultats observations'!$A24 ) * (DATABASE!$AW$14:$AW$968= M$4))-ROW(DATABASE!$AV$14)+1,M$5)),"")</f>
        <v/>
      </c>
      <c r="N24" s="116">
        <f t="array" ref="N24">IFERROR(_xlfn.SINGLE(INDEX(DATABASE!$AV$14:$BC$968,SUMPRODUCT((ROW(DATABASE!$AV$14:$AV$968)) * (DATABASE!$AV$14:BG$968='Résultats observations'!$A24 ) * (DATABASE!$AW$14:$AW$968= N$4))-ROW(DATABASE!$AV$14)+1,N$5)),"")</f>
        <v/>
      </c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  <c r="AM24" s="116" t="n"/>
      <c r="AN24" s="116" t="n"/>
      <c r="AO24" s="116" t="n"/>
      <c r="AP24" s="116" t="n"/>
      <c r="AQ24" s="116" t="n"/>
      <c r="AR24" s="116" t="n"/>
      <c r="AS24" s="116" t="n"/>
      <c r="AT24" s="116" t="n"/>
      <c r="AU24" s="116" t="n"/>
      <c r="AV24" s="116" t="n"/>
      <c r="AW24" s="116" t="n"/>
      <c r="AX24" s="116" t="n"/>
      <c r="AY24" s="116" t="n"/>
      <c r="AZ24" s="116" t="n"/>
      <c r="BA24" s="116" t="n"/>
      <c r="BB24" s="116" t="n"/>
      <c r="BC24" s="116" t="n"/>
      <c r="BD24" s="116" t="n"/>
      <c r="BE24" s="116" t="n"/>
      <c r="BF24" s="116" t="n"/>
      <c r="BG24" s="116" t="n"/>
      <c r="BH24" s="116" t="n"/>
      <c r="BI24" s="116" t="n"/>
      <c r="BJ24" s="116" t="n"/>
    </row>
    <row r="25" ht="29.25" customFormat="1" customHeight="1" s="28">
      <c r="A25" s="42" t="n">
        <v>45572</v>
      </c>
      <c r="B25" s="8">
        <f>A25-A$10</f>
        <v/>
      </c>
      <c r="C25" s="44">
        <f t="array" ref="C25">IFERROR(_xlfn.SINGLE(INDEX(DATABASE!$AV$14:$BC$968,SUMPRODUCT((ROW(DATABASE!$AV$14:$AV$968)) * (DATABASE!AV$14:$AV$968='Résultats observations'!$A25 ) * (DATABASE!$AW$14:$AW$968= C$4))-ROW(DATABASE!$AV$14)+1,C$5)),"")</f>
        <v/>
      </c>
      <c r="D25" s="116">
        <f t="array" ref="D25">IFERROR(_xlfn.SINGLE(INDEX(DATABASE!$AV$14:$BC$968,SUMPRODUCT((ROW(DATABASE!$AV$14:$AV$968)) * (DATABASE!$AV$14:AW$968='Résultats observations'!$A25 ) * (DATABASE!$AW$14:$AW$968= D$4))-ROW(DATABASE!$AV$14)+1,D$5)),"")</f>
        <v/>
      </c>
      <c r="E25" s="116">
        <f t="array" ref="E25">IFERROR(_xlfn.SINGLE(INDEX(DATABASE!$AV$14:$BC$968,SUMPRODUCT((ROW(DATABASE!$AV$14:$AV$968)) * (DATABASE!$AV$14:AX$968='Résultats observations'!$A25 ) * (DATABASE!$AW$14:$AW$968= E$4))-ROW(DATABASE!$AV$14)+1,E$5)),"")</f>
        <v/>
      </c>
      <c r="F25" s="116">
        <f t="array" ref="F25">IFERROR(_xlfn.SINGLE(INDEX(DATABASE!$AV$14:$BC$968,SUMPRODUCT((ROW(DATABASE!$AV$14:$AV$968)) * (DATABASE!$AV$14:AY$968='Résultats observations'!$A25 ) * (DATABASE!$AW$14:$AW$968= F$4))-ROW(DATABASE!$AV$14)+1,F$5)),"")</f>
        <v/>
      </c>
      <c r="G25" s="116">
        <f t="array" ref="G25">IFERROR(_xlfn.SINGLE(INDEX(DATABASE!$AV$14:$BC$968,SUMPRODUCT((ROW(DATABASE!$AV$14:$AV$968)) * (DATABASE!$AV$14:AZ$968='Résultats observations'!$A25 ) * (DATABASE!$AW$14:$AW$968= G$4))-ROW(DATABASE!$AV$14)+1,G$5)),"")</f>
        <v/>
      </c>
      <c r="H25" s="116">
        <f t="array" ref="H25">IFERROR(_xlfn.SINGLE(INDEX(DATABASE!$AV$14:$BC$968,SUMPRODUCT((ROW(DATABASE!$AV$14:$AV$968)) * (DATABASE!$AV$14:BA$968='Résultats observations'!$A25 ) * (DATABASE!$AW$14:$AW$968= H$4))-ROW(DATABASE!$AV$14)+1,H$5)),"")</f>
        <v/>
      </c>
      <c r="I25" s="116">
        <f t="array" ref="I25">IFERROR(_xlfn.SINGLE(INDEX(DATABASE!$AV$14:$BC$968,SUMPRODUCT((ROW(DATABASE!$AV$14:$AV$968)) * (DATABASE!$AV$14:BB$968='Résultats observations'!$A25 ) * (DATABASE!$AW$14:$AW$968= I$4))-ROW(DATABASE!$AV$14)+1,I$5)),"")</f>
        <v/>
      </c>
      <c r="J25" s="116">
        <f t="array" ref="J25">IFERROR(_xlfn.SINGLE(INDEX(DATABASE!$AV$14:$BC$968,SUMPRODUCT((ROW(DATABASE!$AV$14:$AV$968)) * (DATABASE!$AV$14:BC$968='Résultats observations'!$A25 ) * (DATABASE!$AW$14:$AW$968= J$4))-ROW(DATABASE!$AV$14)+1,J$5)),"")</f>
        <v/>
      </c>
      <c r="K25" s="116">
        <f t="array" ref="K25">IFERROR(_xlfn.SINGLE(INDEX(DATABASE!$AV$14:$BC$968,SUMPRODUCT((ROW(DATABASE!$AV$14:$AV$968)) * (DATABASE!$AV$14:BD$968='Résultats observations'!$A25 ) * (DATABASE!$AW$14:$AW$968= K$4))-ROW(DATABASE!$AV$14)+1,K$5)),"")</f>
        <v/>
      </c>
      <c r="L25" s="116">
        <f t="array" ref="L25">IFERROR(_xlfn.SINGLE(INDEX(DATABASE!$AV$14:$BC$968,SUMPRODUCT((ROW(DATABASE!$AV$14:$AV$968)) * (DATABASE!$AV$14:BE$968='Résultats observations'!$A25 ) * (DATABASE!$AW$14:$AW$968= L$4))-ROW(DATABASE!$AV$14)+1,L$5)),"")</f>
        <v/>
      </c>
      <c r="M25" s="116">
        <f t="array" ref="M25">IFERROR(_xlfn.SINGLE(INDEX(DATABASE!$AV$14:$BC$968,SUMPRODUCT((ROW(DATABASE!$AV$14:$AV$968)) * (DATABASE!$AV$14:BF$968='Résultats observations'!$A25 ) * (DATABASE!$AW$14:$AW$968= M$4))-ROW(DATABASE!$AV$14)+1,M$5)),"")</f>
        <v/>
      </c>
      <c r="N25" s="116">
        <f t="array" ref="N25">IFERROR(_xlfn.SINGLE(INDEX(DATABASE!$AV$14:$BC$968,SUMPRODUCT((ROW(DATABASE!$AV$14:$AV$968)) * (DATABASE!$AV$14:BG$968='Résultats observations'!$A25 ) * (DATABASE!$AW$14:$AW$968= N$4))-ROW(DATABASE!$AV$14)+1,N$5)),"")</f>
        <v/>
      </c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  <c r="AM25" s="116" t="n"/>
      <c r="AN25" s="116" t="n"/>
      <c r="AO25" s="116" t="n"/>
      <c r="AP25" s="116" t="n"/>
      <c r="AQ25" s="116" t="n"/>
      <c r="AR25" s="116" t="n"/>
      <c r="AS25" s="116" t="n"/>
      <c r="AT25" s="116" t="n"/>
      <c r="AU25" s="116" t="n"/>
      <c r="AV25" s="116" t="n"/>
      <c r="AW25" s="116" t="n"/>
      <c r="AX25" s="116" t="n"/>
      <c r="AY25" s="116" t="n"/>
      <c r="AZ25" s="116" t="n"/>
      <c r="BA25" s="116" t="n"/>
      <c r="BB25" s="116" t="n"/>
      <c r="BC25" s="116" t="n"/>
      <c r="BD25" s="116" t="n"/>
      <c r="BE25" s="116" t="n"/>
      <c r="BF25" s="116" t="n"/>
      <c r="BG25" s="116" t="n"/>
      <c r="BH25" s="116" t="n"/>
      <c r="BI25" s="116" t="n"/>
      <c r="BJ25" s="116" t="n"/>
    </row>
    <row r="26" ht="29.25" customFormat="1" customHeight="1" s="28">
      <c r="A26" s="42" t="n">
        <v>45579</v>
      </c>
      <c r="B26" s="8">
        <f>A26-A$10</f>
        <v/>
      </c>
      <c r="C26" s="44">
        <f t="array" ref="C26">IFERROR(_xlfn.SINGLE(INDEX(DATABASE!$AV$14:$BC$968,SUMPRODUCT((ROW(DATABASE!$AV$14:$AV$968)) * (DATABASE!AV$14:$AV$968='Résultats observations'!$A26 ) * (DATABASE!$AW$14:$AW$968= C$4))-ROW(DATABASE!$AV$14)+1,C$5)),"")</f>
        <v/>
      </c>
      <c r="D26" s="116">
        <f t="array" ref="D26">IFERROR(_xlfn.SINGLE(INDEX(DATABASE!$AV$14:$BC$968,SUMPRODUCT((ROW(DATABASE!$AV$14:$AV$968)) * (DATABASE!$AV$14:AW$968='Résultats observations'!$A26 ) * (DATABASE!$AW$14:$AW$968= D$4))-ROW(DATABASE!$AV$14)+1,D$5)),"")</f>
        <v/>
      </c>
      <c r="E26" s="116">
        <f t="array" ref="E26">IFERROR(_xlfn.SINGLE(INDEX(DATABASE!$AV$14:$BC$968,SUMPRODUCT((ROW(DATABASE!$AV$14:$AV$968)) * (DATABASE!$AV$14:AX$968='Résultats observations'!$A26 ) * (DATABASE!$AW$14:$AW$968= E$4))-ROW(DATABASE!$AV$14)+1,E$5)),"")</f>
        <v/>
      </c>
      <c r="F26" s="116">
        <f t="array" ref="F26">IFERROR(_xlfn.SINGLE(INDEX(DATABASE!$AV$14:$BC$968,SUMPRODUCT((ROW(DATABASE!$AV$14:$AV$968)) * (DATABASE!$AV$14:AY$968='Résultats observations'!$A26 ) * (DATABASE!$AW$14:$AW$968= F$4))-ROW(DATABASE!$AV$14)+1,F$5)),"")</f>
        <v/>
      </c>
      <c r="G26" s="116">
        <f t="array" ref="G26">IFERROR(_xlfn.SINGLE(INDEX(DATABASE!$AV$14:$BC$968,SUMPRODUCT((ROW(DATABASE!$AV$14:$AV$968)) * (DATABASE!$AV$14:AZ$968='Résultats observations'!$A26 ) * (DATABASE!$AW$14:$AW$968= G$4))-ROW(DATABASE!$AV$14)+1,G$5)),"")</f>
        <v/>
      </c>
      <c r="H26" s="116">
        <f t="array" ref="H26">IFERROR(_xlfn.SINGLE(INDEX(DATABASE!$AV$14:$BC$968,SUMPRODUCT((ROW(DATABASE!$AV$14:$AV$968)) * (DATABASE!$AV$14:BA$968='Résultats observations'!$A26 ) * (DATABASE!$AW$14:$AW$968= H$4))-ROW(DATABASE!$AV$14)+1,H$5)),"")</f>
        <v/>
      </c>
      <c r="I26" s="116">
        <f t="array" ref="I26">IFERROR(_xlfn.SINGLE(INDEX(DATABASE!$AV$14:$BC$968,SUMPRODUCT((ROW(DATABASE!$AV$14:$AV$968)) * (DATABASE!$AV$14:BB$968='Résultats observations'!$A26 ) * (DATABASE!$AW$14:$AW$968= I$4))-ROW(DATABASE!$AV$14)+1,I$5)),"")</f>
        <v/>
      </c>
      <c r="J26" s="116">
        <f t="array" ref="J26">IFERROR(_xlfn.SINGLE(INDEX(DATABASE!$AV$14:$BC$968,SUMPRODUCT((ROW(DATABASE!$AV$14:$AV$968)) * (DATABASE!$AV$14:BC$968='Résultats observations'!$A26 ) * (DATABASE!$AW$14:$AW$968= J$4))-ROW(DATABASE!$AV$14)+1,J$5)),"")</f>
        <v/>
      </c>
      <c r="K26" s="116">
        <f t="array" ref="K26">IFERROR(_xlfn.SINGLE(INDEX(DATABASE!$AV$14:$BC$968,SUMPRODUCT((ROW(DATABASE!$AV$14:$AV$968)) * (DATABASE!$AV$14:BD$968='Résultats observations'!$A26 ) * (DATABASE!$AW$14:$AW$968= K$4))-ROW(DATABASE!$AV$14)+1,K$5)),"")</f>
        <v/>
      </c>
      <c r="L26" s="116">
        <f t="array" ref="L26">IFERROR(_xlfn.SINGLE(INDEX(DATABASE!$AV$14:$BC$968,SUMPRODUCT((ROW(DATABASE!$AV$14:$AV$968)) * (DATABASE!$AV$14:BE$968='Résultats observations'!$A26 ) * (DATABASE!$AW$14:$AW$968= L$4))-ROW(DATABASE!$AV$14)+1,L$5)),"")</f>
        <v/>
      </c>
      <c r="M26" s="116">
        <f t="array" ref="M26">IFERROR(_xlfn.SINGLE(INDEX(DATABASE!$AV$14:$BC$968,SUMPRODUCT((ROW(DATABASE!$AV$14:$AV$968)) * (DATABASE!$AV$14:BF$968='Résultats observations'!$A26 ) * (DATABASE!$AW$14:$AW$968= M$4))-ROW(DATABASE!$AV$14)+1,M$5)),"")</f>
        <v/>
      </c>
      <c r="N26" s="116">
        <f t="array" ref="N26">IFERROR(_xlfn.SINGLE(INDEX(DATABASE!$AV$14:$BC$968,SUMPRODUCT((ROW(DATABASE!$AV$14:$AV$968)) * (DATABASE!$AV$14:BG$968='Résultats observations'!$A26 ) * (DATABASE!$AW$14:$AW$968= N$4))-ROW(DATABASE!$AV$14)+1,N$5)),"")</f>
        <v/>
      </c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  <c r="AM26" s="116" t="n"/>
      <c r="AN26" s="116" t="n"/>
      <c r="AO26" s="116" t="n"/>
      <c r="AP26" s="116" t="n"/>
      <c r="AQ26" s="116" t="n"/>
      <c r="AR26" s="116" t="n"/>
      <c r="AS26" s="116" t="n"/>
      <c r="AT26" s="116" t="n"/>
      <c r="AU26" s="116" t="n"/>
      <c r="AV26" s="116" t="n"/>
      <c r="AW26" s="116" t="n"/>
      <c r="AX26" s="116" t="n"/>
      <c r="AY26" s="116" t="n"/>
      <c r="AZ26" s="116" t="n"/>
      <c r="BA26" s="116" t="n"/>
      <c r="BB26" s="116" t="n"/>
      <c r="BC26" s="116" t="n"/>
      <c r="BD26" s="116" t="n"/>
      <c r="BE26" s="116" t="n"/>
      <c r="BF26" s="116" t="n"/>
      <c r="BG26" s="116" t="n"/>
      <c r="BH26" s="116" t="n"/>
      <c r="BI26" s="116" t="n"/>
      <c r="BJ26" s="116" t="n"/>
    </row>
    <row r="27" ht="29.25" customFormat="1" customHeight="1" s="28">
      <c r="A27" s="42" t="n">
        <v>45586</v>
      </c>
      <c r="B27" s="8">
        <f>A27-A$10</f>
        <v/>
      </c>
      <c r="C27" s="44">
        <f t="array" ref="C27">IFERROR(_xlfn.SINGLE(INDEX(DATABASE!$AV$14:$BC$968,SUMPRODUCT((ROW(DATABASE!$AV$14:$AV$968)) * (DATABASE!AV$14:$AV$968='Résultats observations'!$A27 ) * (DATABASE!$AW$14:$AW$968= C$4))-ROW(DATABASE!$AV$14)+1,C$5)),"")</f>
        <v/>
      </c>
      <c r="D27" s="116">
        <f t="array" ref="D27">IFERROR(_xlfn.SINGLE(INDEX(DATABASE!$AV$14:$BC$968,SUMPRODUCT((ROW(DATABASE!$AV$14:$AV$968)) * (DATABASE!$AV$14:AW$968='Résultats observations'!$A27 ) * (DATABASE!$AW$14:$AW$968= D$4))-ROW(DATABASE!$AV$14)+1,D$5)),"")</f>
        <v/>
      </c>
      <c r="E27" s="116">
        <f t="array" ref="E27">IFERROR(_xlfn.SINGLE(INDEX(DATABASE!$AV$14:$BC$968,SUMPRODUCT((ROW(DATABASE!$AV$14:$AV$968)) * (DATABASE!$AV$14:AX$968='Résultats observations'!$A27 ) * (DATABASE!$AW$14:$AW$968= E$4))-ROW(DATABASE!$AV$14)+1,E$5)),"")</f>
        <v/>
      </c>
      <c r="F27" s="116">
        <f t="array" ref="F27">IFERROR(_xlfn.SINGLE(INDEX(DATABASE!$AV$14:$BC$968,SUMPRODUCT((ROW(DATABASE!$AV$14:$AV$968)) * (DATABASE!$AV$14:AY$968='Résultats observations'!$A27 ) * (DATABASE!$AW$14:$AW$968= F$4))-ROW(DATABASE!$AV$14)+1,F$5)),"")</f>
        <v/>
      </c>
      <c r="G27" s="116">
        <f t="array" ref="G27">IFERROR(_xlfn.SINGLE(INDEX(DATABASE!$AV$14:$BC$968,SUMPRODUCT((ROW(DATABASE!$AV$14:$AV$968)) * (DATABASE!$AV$14:AZ$968='Résultats observations'!$A27 ) * (DATABASE!$AW$14:$AW$968= G$4))-ROW(DATABASE!$AV$14)+1,G$5)),"")</f>
        <v/>
      </c>
      <c r="H27" s="116">
        <f t="array" ref="H27">IFERROR(_xlfn.SINGLE(INDEX(DATABASE!$AV$14:$BC$968,SUMPRODUCT((ROW(DATABASE!$AV$14:$AV$968)) * (DATABASE!$AV$14:BA$968='Résultats observations'!$A27 ) * (DATABASE!$AW$14:$AW$968= H$4))-ROW(DATABASE!$AV$14)+1,H$5)),"")</f>
        <v/>
      </c>
      <c r="I27" s="116">
        <f t="array" ref="I27">IFERROR(_xlfn.SINGLE(INDEX(DATABASE!$AV$14:$BC$968,SUMPRODUCT((ROW(DATABASE!$AV$14:$AV$968)) * (DATABASE!$AV$14:BB$968='Résultats observations'!$A27 ) * (DATABASE!$AW$14:$AW$968= I$4))-ROW(DATABASE!$AV$14)+1,I$5)),"")</f>
        <v/>
      </c>
      <c r="J27" s="116">
        <f t="array" ref="J27">IFERROR(_xlfn.SINGLE(INDEX(DATABASE!$AV$14:$BC$968,SUMPRODUCT((ROW(DATABASE!$AV$14:$AV$968)) * (DATABASE!$AV$14:BC$968='Résultats observations'!$A27 ) * (DATABASE!$AW$14:$AW$968= J$4))-ROW(DATABASE!$AV$14)+1,J$5)),"")</f>
        <v/>
      </c>
      <c r="K27" s="116">
        <f t="array" ref="K27">IFERROR(_xlfn.SINGLE(INDEX(DATABASE!$AV$14:$BC$968,SUMPRODUCT((ROW(DATABASE!$AV$14:$AV$968)) * (DATABASE!$AV$14:BD$968='Résultats observations'!$A27 ) * (DATABASE!$AW$14:$AW$968= K$4))-ROW(DATABASE!$AV$14)+1,K$5)),"")</f>
        <v/>
      </c>
      <c r="L27" s="116">
        <f t="array" ref="L27">IFERROR(_xlfn.SINGLE(INDEX(DATABASE!$AV$14:$BC$968,SUMPRODUCT((ROW(DATABASE!$AV$14:$AV$968)) * (DATABASE!$AV$14:BE$968='Résultats observations'!$A27 ) * (DATABASE!$AW$14:$AW$968= L$4))-ROW(DATABASE!$AV$14)+1,L$5)),"")</f>
        <v/>
      </c>
      <c r="M27" s="116">
        <f t="array" ref="M27">IFERROR(_xlfn.SINGLE(INDEX(DATABASE!$AV$14:$BC$968,SUMPRODUCT((ROW(DATABASE!$AV$14:$AV$968)) * (DATABASE!$AV$14:BF$968='Résultats observations'!$A27 ) * (DATABASE!$AW$14:$AW$968= M$4))-ROW(DATABASE!$AV$14)+1,M$5)),"")</f>
        <v/>
      </c>
      <c r="N27" s="116">
        <f t="array" ref="N27">IFERROR(_xlfn.SINGLE(INDEX(DATABASE!$AV$14:$BC$968,SUMPRODUCT((ROW(DATABASE!$AV$14:$AV$968)) * (DATABASE!$AV$14:BG$968='Résultats observations'!$A27 ) * (DATABASE!$AW$14:$AW$968= N$4))-ROW(DATABASE!$AV$14)+1,N$5)),"")</f>
        <v/>
      </c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  <c r="AM27" s="116" t="n"/>
      <c r="AN27" s="116" t="n"/>
      <c r="AO27" s="116" t="n"/>
      <c r="AP27" s="116" t="n"/>
      <c r="AQ27" s="116" t="n"/>
      <c r="AR27" s="116" t="n"/>
      <c r="AS27" s="116" t="n"/>
      <c r="AT27" s="116" t="n"/>
      <c r="AU27" s="116" t="n"/>
      <c r="AV27" s="116" t="n"/>
      <c r="AW27" s="116" t="n"/>
      <c r="AX27" s="116" t="n"/>
      <c r="AY27" s="116" t="n"/>
      <c r="AZ27" s="116" t="n"/>
      <c r="BA27" s="116" t="n"/>
      <c r="BB27" s="116" t="n"/>
      <c r="BC27" s="116" t="n"/>
      <c r="BD27" s="116" t="n"/>
      <c r="BE27" s="116" t="n"/>
      <c r="BF27" s="116" t="n"/>
      <c r="BG27" s="116" t="n"/>
      <c r="BH27" s="116" t="n"/>
      <c r="BI27" s="116" t="n"/>
      <c r="BJ27" s="116" t="n"/>
    </row>
    <row r="28" ht="29.25" customFormat="1" customHeight="1" s="28">
      <c r="A28" s="42" t="n">
        <v>45593</v>
      </c>
      <c r="B28" s="8">
        <f>A28-A$10</f>
        <v/>
      </c>
      <c r="C28" s="44">
        <f t="array" ref="C28">IFERROR(_xlfn.SINGLE(INDEX(DATABASE!$AV$14:$BC$968,SUMPRODUCT((ROW(DATABASE!$AV$14:$AV$968)) * (DATABASE!AV$14:$AV$968='Résultats observations'!$A28 ) * (DATABASE!$AW$14:$AW$968= C$4))-ROW(DATABASE!$AV$14)+1,C$5)),"")</f>
        <v/>
      </c>
      <c r="D28" s="116">
        <f t="array" ref="D28">IFERROR(_xlfn.SINGLE(INDEX(DATABASE!$AV$14:$BC$968,SUMPRODUCT((ROW(DATABASE!$AV$14:$AV$968)) * (DATABASE!$AV$14:AW$968='Résultats observations'!$A28 ) * (DATABASE!$AW$14:$AW$968= D$4))-ROW(DATABASE!$AV$14)+1,D$5)),"")</f>
        <v/>
      </c>
      <c r="E28" s="116">
        <f t="array" ref="E28">IFERROR(_xlfn.SINGLE(INDEX(DATABASE!$AV$14:$BC$968,SUMPRODUCT((ROW(DATABASE!$AV$14:$AV$968)) * (DATABASE!$AV$14:AX$968='Résultats observations'!$A28 ) * (DATABASE!$AW$14:$AW$968= E$4))-ROW(DATABASE!$AV$14)+1,E$5)),"")</f>
        <v/>
      </c>
      <c r="F28" s="116">
        <f t="array" ref="F28">IFERROR(_xlfn.SINGLE(INDEX(DATABASE!$AV$14:$BC$968,SUMPRODUCT((ROW(DATABASE!$AV$14:$AV$968)) * (DATABASE!$AV$14:AY$968='Résultats observations'!$A28 ) * (DATABASE!$AW$14:$AW$968= F$4))-ROW(DATABASE!$AV$14)+1,F$5)),"")</f>
        <v/>
      </c>
      <c r="G28" s="116">
        <f t="array" ref="G28">IFERROR(_xlfn.SINGLE(INDEX(DATABASE!$AV$14:$BC$968,SUMPRODUCT((ROW(DATABASE!$AV$14:$AV$968)) * (DATABASE!$AV$14:AZ$968='Résultats observations'!$A28 ) * (DATABASE!$AW$14:$AW$968= G$4))-ROW(DATABASE!$AV$14)+1,G$5)),"")</f>
        <v/>
      </c>
      <c r="H28" s="116">
        <f t="array" ref="H28">IFERROR(_xlfn.SINGLE(INDEX(DATABASE!$AV$14:$BC$968,SUMPRODUCT((ROW(DATABASE!$AV$14:$AV$968)) * (DATABASE!$AV$14:BA$968='Résultats observations'!$A28 ) * (DATABASE!$AW$14:$AW$968= H$4))-ROW(DATABASE!$AV$14)+1,H$5)),"")</f>
        <v/>
      </c>
      <c r="I28" s="116">
        <f t="array" ref="I28">IFERROR(_xlfn.SINGLE(INDEX(DATABASE!$AV$14:$BC$968,SUMPRODUCT((ROW(DATABASE!$AV$14:$AV$968)) * (DATABASE!$AV$14:BB$968='Résultats observations'!$A28 ) * (DATABASE!$AW$14:$AW$968= I$4))-ROW(DATABASE!$AV$14)+1,I$5)),"")</f>
        <v/>
      </c>
      <c r="J28" s="116">
        <f t="array" ref="J28">IFERROR(_xlfn.SINGLE(INDEX(DATABASE!$AV$14:$BC$968,SUMPRODUCT((ROW(DATABASE!$AV$14:$AV$968)) * (DATABASE!$AV$14:BC$968='Résultats observations'!$A28 ) * (DATABASE!$AW$14:$AW$968= J$4))-ROW(DATABASE!$AV$14)+1,J$5)),"")</f>
        <v/>
      </c>
      <c r="K28" s="116">
        <f t="array" ref="K28">IFERROR(_xlfn.SINGLE(INDEX(DATABASE!$AV$14:$BC$968,SUMPRODUCT((ROW(DATABASE!$AV$14:$AV$968)) * (DATABASE!$AV$14:BD$968='Résultats observations'!$A28 ) * (DATABASE!$AW$14:$AW$968= K$4))-ROW(DATABASE!$AV$14)+1,K$5)),"")</f>
        <v/>
      </c>
      <c r="L28" s="116">
        <f t="array" ref="L28">IFERROR(_xlfn.SINGLE(INDEX(DATABASE!$AV$14:$BC$968,SUMPRODUCT((ROW(DATABASE!$AV$14:$AV$968)) * (DATABASE!$AV$14:BE$968='Résultats observations'!$A28 ) * (DATABASE!$AW$14:$AW$968= L$4))-ROW(DATABASE!$AV$14)+1,L$5)),"")</f>
        <v/>
      </c>
      <c r="M28" s="116">
        <f t="array" ref="M28">IFERROR(_xlfn.SINGLE(INDEX(DATABASE!$AV$14:$BC$968,SUMPRODUCT((ROW(DATABASE!$AV$14:$AV$968)) * (DATABASE!$AV$14:BF$968='Résultats observations'!$A28 ) * (DATABASE!$AW$14:$AW$968= M$4))-ROW(DATABASE!$AV$14)+1,M$5)),"")</f>
        <v/>
      </c>
      <c r="N28" s="116">
        <f t="array" ref="N28">IFERROR(_xlfn.SINGLE(INDEX(DATABASE!$AV$14:$BC$968,SUMPRODUCT((ROW(DATABASE!$AV$14:$AV$968)) * (DATABASE!$AV$14:BG$968='Résultats observations'!$A28 ) * (DATABASE!$AW$14:$AW$968= N$4))-ROW(DATABASE!$AV$14)+1,N$5)),"")</f>
        <v/>
      </c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  <c r="AM28" s="116" t="n"/>
      <c r="AN28" s="116" t="n"/>
      <c r="AO28" s="116" t="n"/>
      <c r="AP28" s="116" t="n"/>
      <c r="AQ28" s="116" t="n"/>
      <c r="AR28" s="116" t="n"/>
      <c r="AS28" s="116" t="n"/>
      <c r="AT28" s="116" t="n"/>
      <c r="AU28" s="116" t="n"/>
      <c r="AV28" s="116" t="n"/>
      <c r="AW28" s="116" t="n"/>
      <c r="AX28" s="116" t="n"/>
      <c r="AY28" s="116" t="n"/>
      <c r="AZ28" s="116" t="n"/>
      <c r="BA28" s="116" t="n"/>
      <c r="BB28" s="116" t="n"/>
      <c r="BC28" s="116" t="n"/>
      <c r="BD28" s="116" t="n"/>
      <c r="BE28" s="116" t="n"/>
      <c r="BF28" s="116" t="n"/>
      <c r="BG28" s="116" t="n"/>
      <c r="BH28" s="116" t="n"/>
      <c r="BI28" s="116" t="n"/>
      <c r="BJ28" s="116" t="n"/>
    </row>
    <row r="29" ht="29.25" customFormat="1" customHeight="1" s="28">
      <c r="A29" s="124" t="n">
        <v>45601</v>
      </c>
      <c r="B29" s="8">
        <f>A29-A$10</f>
        <v/>
      </c>
      <c r="C29" s="44">
        <f t="array" ref="C29">IFERROR(_xlfn.SINGLE(INDEX(DATABASE!$AV$14:$BC$968,SUMPRODUCT((ROW(DATABASE!$AV$14:$AV$968)) * (DATABASE!AV$14:$AV$968='Résultats observations'!$A29 ) * (DATABASE!$AW$14:$AW$968= C$4))-ROW(DATABASE!$AV$14)+1,C$5)),"")</f>
        <v/>
      </c>
      <c r="D29" s="116">
        <f t="array" ref="D29">IFERROR(_xlfn.SINGLE(INDEX(DATABASE!$AV$14:$BC$968,SUMPRODUCT((ROW(DATABASE!$AV$14:$AV$968)) * (DATABASE!$AV$14:AW$968='Résultats observations'!$A29 ) * (DATABASE!$AW$14:$AW$968= D$4))-ROW(DATABASE!$AV$14)+1,D$5)),"")</f>
        <v/>
      </c>
      <c r="E29" s="116">
        <f t="array" ref="E29">IFERROR(_xlfn.SINGLE(INDEX(DATABASE!$AV$14:$BC$968,SUMPRODUCT((ROW(DATABASE!$AV$14:$AV$968)) * (DATABASE!$AV$14:AX$968='Résultats observations'!$A29 ) * (DATABASE!$AW$14:$AW$968= E$4))-ROW(DATABASE!$AV$14)+1,E$5)),"")</f>
        <v/>
      </c>
      <c r="F29" s="116">
        <f t="array" ref="F29">IFERROR(_xlfn.SINGLE(INDEX(DATABASE!$AV$14:$BC$968,SUMPRODUCT((ROW(DATABASE!$AV$14:$AV$968)) * (DATABASE!$AV$14:AY$968='Résultats observations'!$A29 ) * (DATABASE!$AW$14:$AW$968= F$4))-ROW(DATABASE!$AV$14)+1,F$5)),"")</f>
        <v/>
      </c>
      <c r="G29" s="116">
        <f t="array" ref="G29">IFERROR(_xlfn.SINGLE(INDEX(DATABASE!$AV$14:$BC$968,SUMPRODUCT((ROW(DATABASE!$AV$14:$AV$968)) * (DATABASE!$AV$14:AZ$968='Résultats observations'!$A29 ) * (DATABASE!$AW$14:$AW$968= G$4))-ROW(DATABASE!$AV$14)+1,G$5)),"")</f>
        <v/>
      </c>
      <c r="H29" s="116">
        <f t="array" ref="H29">IFERROR(_xlfn.SINGLE(INDEX(DATABASE!$AV$14:$BC$968,SUMPRODUCT((ROW(DATABASE!$AV$14:$AV$968)) * (DATABASE!$AV$14:BA$968='Résultats observations'!$A29 ) * (DATABASE!$AW$14:$AW$968= H$4))-ROW(DATABASE!$AV$14)+1,H$5)),"")</f>
        <v/>
      </c>
      <c r="I29" s="116">
        <f t="array" ref="I29">IFERROR(_xlfn.SINGLE(INDEX(DATABASE!$AV$14:$BC$968,SUMPRODUCT((ROW(DATABASE!$AV$14:$AV$968)) * (DATABASE!$AV$14:BB$968='Résultats observations'!$A29 ) * (DATABASE!$AW$14:$AW$968= I$4))-ROW(DATABASE!$AV$14)+1,I$5)),"")</f>
        <v/>
      </c>
      <c r="J29" s="116">
        <f t="array" ref="J29">IFERROR(_xlfn.SINGLE(INDEX(DATABASE!$AV$14:$BC$968,SUMPRODUCT((ROW(DATABASE!$AV$14:$AV$968)) * (DATABASE!$AV$14:BC$968='Résultats observations'!$A29 ) * (DATABASE!$AW$14:$AW$968= J$4))-ROW(DATABASE!$AV$14)+1,J$5)),"")</f>
        <v/>
      </c>
      <c r="K29" s="116">
        <f t="array" ref="K29">IFERROR(_xlfn.SINGLE(INDEX(DATABASE!$AV$14:$BC$968,SUMPRODUCT((ROW(DATABASE!$AV$14:$AV$968)) * (DATABASE!$AV$14:BD$968='Résultats observations'!$A29 ) * (DATABASE!$AW$14:$AW$968= K$4))-ROW(DATABASE!$AV$14)+1,K$5)),"")</f>
        <v/>
      </c>
      <c r="L29" s="116">
        <f t="array" ref="L29">IFERROR(_xlfn.SINGLE(INDEX(DATABASE!$AV$14:$BC$968,SUMPRODUCT((ROW(DATABASE!$AV$14:$AV$968)) * (DATABASE!$AV$14:BE$968='Résultats observations'!$A29 ) * (DATABASE!$AW$14:$AW$968= L$4))-ROW(DATABASE!$AV$14)+1,L$5)),"")</f>
        <v/>
      </c>
      <c r="M29" s="116">
        <f t="array" ref="M29">IFERROR(_xlfn.SINGLE(INDEX(DATABASE!$AV$14:$BC$968,SUMPRODUCT((ROW(DATABASE!$AV$14:$AV$968)) * (DATABASE!$AV$14:BF$968='Résultats observations'!$A29 ) * (DATABASE!$AW$14:$AW$968= M$4))-ROW(DATABASE!$AV$14)+1,M$5)),"")</f>
        <v/>
      </c>
      <c r="N29" s="116">
        <f t="array" ref="N29">IFERROR(_xlfn.SINGLE(INDEX(DATABASE!$AV$14:$BC$968,SUMPRODUCT((ROW(DATABASE!$AV$14:$AV$968)) * (DATABASE!$AV$14:BG$968='Résultats observations'!$A29 ) * (DATABASE!$AW$14:$AW$968= N$4))-ROW(DATABASE!$AV$14)+1,N$5)),"")</f>
        <v/>
      </c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  <c r="AA29" s="116" t="n"/>
      <c r="AB29" s="116" t="n"/>
      <c r="AC29" s="116" t="n"/>
      <c r="AD29" s="116" t="n"/>
      <c r="AE29" s="116" t="n"/>
      <c r="AF29" s="116" t="n"/>
      <c r="AG29" s="116" t="n"/>
      <c r="AH29" s="116" t="n"/>
      <c r="AI29" s="116" t="n"/>
      <c r="AJ29" s="116" t="n"/>
      <c r="AK29" s="116" t="n"/>
      <c r="AL29" s="116" t="n"/>
      <c r="AM29" s="116" t="n"/>
      <c r="AN29" s="116" t="n"/>
      <c r="AO29" s="116" t="n"/>
      <c r="AP29" s="116" t="n"/>
      <c r="AQ29" s="116" t="n"/>
      <c r="AR29" s="116" t="n"/>
      <c r="AS29" s="116" t="n"/>
      <c r="AT29" s="116" t="n"/>
      <c r="AU29" s="116" t="n"/>
      <c r="AV29" s="116" t="n"/>
      <c r="AW29" s="116" t="n"/>
      <c r="AX29" s="116" t="n"/>
      <c r="AY29" s="116" t="n"/>
      <c r="AZ29" s="116" t="n"/>
      <c r="BA29" s="116" t="n"/>
      <c r="BB29" s="116" t="n"/>
      <c r="BC29" s="116" t="n"/>
      <c r="BD29" s="116" t="n"/>
      <c r="BE29" s="116" t="n"/>
      <c r="BF29" s="116" t="n"/>
      <c r="BG29" s="116" t="n"/>
      <c r="BH29" s="116" t="n"/>
      <c r="BI29" s="116" t="n"/>
      <c r="BJ29" s="116" t="n"/>
    </row>
    <row r="30" ht="29.25" customFormat="1" customHeight="1" s="28">
      <c r="A30" s="124" t="n">
        <v>45609</v>
      </c>
      <c r="B30" s="8">
        <f>A30-A$10</f>
        <v/>
      </c>
      <c r="C30" s="44">
        <f t="array" ref="C30">IFERROR(_xlfn.SINGLE(INDEX(DATABASE!$AV$14:$BC$968,SUMPRODUCT((ROW(DATABASE!$AV$14:$AV$968)) * (DATABASE!AV$14:$AV$968='Résultats observations'!$A30 ) * (DATABASE!$AW$14:$AW$968= C$4))-ROW(DATABASE!$AV$14)+1,C$5)),"")</f>
        <v/>
      </c>
      <c r="D30" s="116">
        <f t="array" ref="D30">IFERROR(_xlfn.SINGLE(INDEX(DATABASE!$AV$14:$BC$968,SUMPRODUCT((ROW(DATABASE!$AV$14:$AV$968)) * (DATABASE!$AV$14:AW$968='Résultats observations'!$A30 ) * (DATABASE!$AW$14:$AW$968= D$4))-ROW(DATABASE!$AV$14)+1,D$5)),"")</f>
        <v/>
      </c>
      <c r="E30" s="116">
        <f t="array" ref="E30">IFERROR(_xlfn.SINGLE(INDEX(DATABASE!$AV$14:$BC$968,SUMPRODUCT((ROW(DATABASE!$AV$14:$AV$968)) * (DATABASE!$AV$14:AX$968='Résultats observations'!$A30 ) * (DATABASE!$AW$14:$AW$968= E$4))-ROW(DATABASE!$AV$14)+1,E$5)),"")</f>
        <v/>
      </c>
      <c r="F30" s="116">
        <f t="array" ref="F30">IFERROR(_xlfn.SINGLE(INDEX(DATABASE!$AV$14:$BC$968,SUMPRODUCT((ROW(DATABASE!$AV$14:$AV$968)) * (DATABASE!$AV$14:AY$968='Résultats observations'!$A30 ) * (DATABASE!$AW$14:$AW$968= F$4))-ROW(DATABASE!$AV$14)+1,F$5)),"")</f>
        <v/>
      </c>
      <c r="G30" s="116">
        <f t="array" ref="G30">IFERROR(_xlfn.SINGLE(INDEX(DATABASE!$AV$14:$BC$968,SUMPRODUCT((ROW(DATABASE!$AV$14:$AV$968)) * (DATABASE!$AV$14:AZ$968='Résultats observations'!$A30 ) * (DATABASE!$AW$14:$AW$968= G$4))-ROW(DATABASE!$AV$14)+1,G$5)),"")</f>
        <v/>
      </c>
      <c r="H30" s="116">
        <f t="array" ref="H30">IFERROR(_xlfn.SINGLE(INDEX(DATABASE!$AV$14:$BC$968,SUMPRODUCT((ROW(DATABASE!$AV$14:$AV$968)) * (DATABASE!$AV$14:BA$968='Résultats observations'!$A30 ) * (DATABASE!$AW$14:$AW$968= H$4))-ROW(DATABASE!$AV$14)+1,H$5)),"")</f>
        <v/>
      </c>
      <c r="I30" s="116">
        <f t="array" ref="I30">IFERROR(_xlfn.SINGLE(INDEX(DATABASE!$AV$14:$BC$968,SUMPRODUCT((ROW(DATABASE!$AV$14:$AV$968)) * (DATABASE!$AV$14:BB$968='Résultats observations'!$A30 ) * (DATABASE!$AW$14:$AW$968= I$4))-ROW(DATABASE!$AV$14)+1,I$5)),"")</f>
        <v/>
      </c>
      <c r="J30" s="116">
        <f t="array" ref="J30">IFERROR(_xlfn.SINGLE(INDEX(DATABASE!$AV$14:$BC$968,SUMPRODUCT((ROW(DATABASE!$AV$14:$AV$968)) * (DATABASE!$AV$14:BC$968='Résultats observations'!$A30 ) * (DATABASE!$AW$14:$AW$968= J$4))-ROW(DATABASE!$AV$14)+1,J$5)),"")</f>
        <v/>
      </c>
      <c r="K30" s="116">
        <f t="array" ref="K30">IFERROR(_xlfn.SINGLE(INDEX(DATABASE!$AV$14:$BC$968,SUMPRODUCT((ROW(DATABASE!$AV$14:$AV$968)) * (DATABASE!$AV$14:BD$968='Résultats observations'!$A30 ) * (DATABASE!$AW$14:$AW$968= K$4))-ROW(DATABASE!$AV$14)+1,K$5)),"")</f>
        <v/>
      </c>
      <c r="L30" s="116">
        <f t="array" ref="L30">IFERROR(_xlfn.SINGLE(INDEX(DATABASE!$AV$14:$BC$968,SUMPRODUCT((ROW(DATABASE!$AV$14:$AV$968)) * (DATABASE!$AV$14:BE$968='Résultats observations'!$A30 ) * (DATABASE!$AW$14:$AW$968= L$4))-ROW(DATABASE!$AV$14)+1,L$5)),"")</f>
        <v/>
      </c>
      <c r="M30" s="116">
        <f t="array" ref="M30">IFERROR(_xlfn.SINGLE(INDEX(DATABASE!$AV$14:$BC$968,SUMPRODUCT((ROW(DATABASE!$AV$14:$AV$968)) * (DATABASE!$AV$14:BF$968='Résultats observations'!$A30 ) * (DATABASE!$AW$14:$AW$968= M$4))-ROW(DATABASE!$AV$14)+1,M$5)),"")</f>
        <v/>
      </c>
      <c r="N30" s="116">
        <f t="array" ref="N30">IFERROR(_xlfn.SINGLE(INDEX(DATABASE!$AV$14:$BC$968,SUMPRODUCT((ROW(DATABASE!$AV$14:$AV$968)) * (DATABASE!$AV$14:BG$968='Résultats observations'!$A30 ) * (DATABASE!$AW$14:$AW$968= N$4))-ROW(DATABASE!$AV$14)+1,N$5)),"")</f>
        <v/>
      </c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  <c r="AD30" s="116" t="n"/>
      <c r="AE30" s="116" t="n"/>
      <c r="AF30" s="116" t="n"/>
      <c r="AG30" s="116" t="n"/>
      <c r="AH30" s="116" t="n"/>
      <c r="AI30" s="116" t="n"/>
      <c r="AJ30" s="116" t="n"/>
      <c r="AK30" s="116" t="n"/>
      <c r="AL30" s="116" t="n"/>
      <c r="AM30" s="116" t="n"/>
      <c r="AN30" s="116" t="n"/>
      <c r="AO30" s="116" t="n"/>
      <c r="AP30" s="116" t="n"/>
      <c r="AQ30" s="116" t="n"/>
      <c r="AR30" s="116" t="n"/>
      <c r="AS30" s="116" t="n"/>
      <c r="AT30" s="116" t="n"/>
      <c r="AU30" s="116" t="n"/>
      <c r="AV30" s="116" t="n"/>
      <c r="AW30" s="116" t="n"/>
      <c r="AX30" s="116" t="n"/>
      <c r="AY30" s="116" t="n"/>
      <c r="AZ30" s="116" t="n"/>
      <c r="BA30" s="116" t="n"/>
      <c r="BB30" s="116" t="n"/>
      <c r="BC30" s="116" t="n"/>
      <c r="BD30" s="116" t="n"/>
      <c r="BE30" s="116" t="n"/>
      <c r="BF30" s="116" t="n"/>
      <c r="BG30" s="116" t="n"/>
      <c r="BH30" s="116" t="n"/>
      <c r="BI30" s="116" t="n"/>
      <c r="BJ30" s="116" t="n"/>
    </row>
    <row r="31" ht="29.25" customFormat="1" customHeight="1" s="28">
      <c r="A31" s="124" t="n">
        <v>45622</v>
      </c>
      <c r="B31" s="8">
        <f>A31-A$10</f>
        <v/>
      </c>
      <c r="C31" s="44">
        <f t="array" ref="C31">IFERROR(_xlfn.SINGLE(INDEX(DATABASE!$AV$14:$BC$968,SUMPRODUCT((ROW(DATABASE!$AV$14:$AV$968)) * (DATABASE!AV$14:$AV$968='Résultats observations'!$A31 ) * (DATABASE!$AW$14:$AW$968= C$4))-ROW(DATABASE!$AV$14)+1,C$5)),"")</f>
        <v/>
      </c>
      <c r="D31" s="116">
        <f t="array" ref="D31">IFERROR(_xlfn.SINGLE(INDEX(DATABASE!$AV$14:$BC$968,SUMPRODUCT((ROW(DATABASE!$AV$14:$AV$968)) * (DATABASE!$AV$14:AW$968='Résultats observations'!$A31 ) * (DATABASE!$AW$14:$AW$968= D$4))-ROW(DATABASE!$AV$14)+1,D$5)),"")</f>
        <v/>
      </c>
      <c r="E31" s="116">
        <f t="array" ref="E31">IFERROR(_xlfn.SINGLE(INDEX(DATABASE!$AV$14:$BC$968,SUMPRODUCT((ROW(DATABASE!$AV$14:$AV$968)) * (DATABASE!$AV$14:AX$968='Résultats observations'!$A31 ) * (DATABASE!$AW$14:$AW$968= E$4))-ROW(DATABASE!$AV$14)+1,E$5)),"")</f>
        <v/>
      </c>
      <c r="F31" s="116">
        <f t="array" ref="F31">IFERROR(_xlfn.SINGLE(INDEX(DATABASE!$AV$14:$BC$968,SUMPRODUCT((ROW(DATABASE!$AV$14:$AV$968)) * (DATABASE!$AV$14:AY$968='Résultats observations'!$A31 ) * (DATABASE!$AW$14:$AW$968= F$4))-ROW(DATABASE!$AV$14)+1,F$5)),"")</f>
        <v/>
      </c>
      <c r="G31" s="116">
        <f t="array" ref="G31">IFERROR(_xlfn.SINGLE(INDEX(DATABASE!$AV$14:$BC$968,SUMPRODUCT((ROW(DATABASE!$AV$14:$AV$968)) * (DATABASE!$AV$14:AZ$968='Résultats observations'!$A31 ) * (DATABASE!$AW$14:$AW$968= G$4))-ROW(DATABASE!$AV$14)+1,G$5)),"")</f>
        <v/>
      </c>
      <c r="H31" s="116">
        <f t="array" ref="H31">IFERROR(_xlfn.SINGLE(INDEX(DATABASE!$AV$14:$BC$968,SUMPRODUCT((ROW(DATABASE!$AV$14:$AV$968)) * (DATABASE!$AV$14:BA$968='Résultats observations'!$A31 ) * (DATABASE!$AW$14:$AW$968= H$4))-ROW(DATABASE!$AV$14)+1,H$5)),"")</f>
        <v/>
      </c>
      <c r="I31" s="116">
        <f t="array" ref="I31">IFERROR(_xlfn.SINGLE(INDEX(DATABASE!$AV$14:$BC$968,SUMPRODUCT((ROW(DATABASE!$AV$14:$AV$968)) * (DATABASE!$AV$14:BB$968='Résultats observations'!$A31 ) * (DATABASE!$AW$14:$AW$968= I$4))-ROW(DATABASE!$AV$14)+1,I$5)),"")</f>
        <v/>
      </c>
      <c r="J31" s="116">
        <f t="array" ref="J31">IFERROR(_xlfn.SINGLE(INDEX(DATABASE!$AV$14:$BC$968,SUMPRODUCT((ROW(DATABASE!$AV$14:$AV$968)) * (DATABASE!$AV$14:BC$968='Résultats observations'!$A31 ) * (DATABASE!$AW$14:$AW$968= J$4))-ROW(DATABASE!$AV$14)+1,J$5)),"")</f>
        <v/>
      </c>
      <c r="K31" s="116">
        <f t="array" ref="K31">IFERROR(_xlfn.SINGLE(INDEX(DATABASE!$AV$14:$BC$968,SUMPRODUCT((ROW(DATABASE!$AV$14:$AV$968)) * (DATABASE!$AV$14:BD$968='Résultats observations'!$A31 ) * (DATABASE!$AW$14:$AW$968= K$4))-ROW(DATABASE!$AV$14)+1,K$5)),"")</f>
        <v/>
      </c>
      <c r="L31" s="116">
        <f t="array" ref="L31">IFERROR(_xlfn.SINGLE(INDEX(DATABASE!$AV$14:$BC$968,SUMPRODUCT((ROW(DATABASE!$AV$14:$AV$968)) * (DATABASE!$AV$14:BE$968='Résultats observations'!$A31 ) * (DATABASE!$AW$14:$AW$968= L$4))-ROW(DATABASE!$AV$14)+1,L$5)),"")</f>
        <v/>
      </c>
      <c r="M31" s="116">
        <f t="array" ref="M31">IFERROR(_xlfn.SINGLE(INDEX(DATABASE!$AV$14:$BC$968,SUMPRODUCT((ROW(DATABASE!$AV$14:$AV$968)) * (DATABASE!$AV$14:BF$968='Résultats observations'!$A31 ) * (DATABASE!$AW$14:$AW$968= M$4))-ROW(DATABASE!$AV$14)+1,M$5)),"")</f>
        <v/>
      </c>
      <c r="N31" s="116">
        <f t="array" ref="N31">IFERROR(_xlfn.SINGLE(INDEX(DATABASE!$AV$14:$BC$968,SUMPRODUCT((ROW(DATABASE!$AV$14:$AV$968)) * (DATABASE!$AV$14:BG$968='Résultats observations'!$A31 ) * (DATABASE!$AW$14:$AW$968= N$4))-ROW(DATABASE!$AV$14)+1,N$5)),"")</f>
        <v/>
      </c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  <c r="AL31" s="116" t="n"/>
      <c r="AM31" s="116" t="n"/>
      <c r="AN31" s="116" t="n"/>
      <c r="AO31" s="116" t="n"/>
      <c r="AP31" s="116" t="n"/>
      <c r="AQ31" s="116" t="n"/>
      <c r="AR31" s="116" t="n"/>
      <c r="AS31" s="116" t="n"/>
      <c r="AT31" s="116" t="n"/>
      <c r="AU31" s="116" t="n"/>
      <c r="AV31" s="116" t="n"/>
      <c r="AW31" s="116" t="n"/>
      <c r="AX31" s="116" t="n"/>
      <c r="AY31" s="116" t="n"/>
      <c r="AZ31" s="116" t="n"/>
      <c r="BA31" s="116" t="n"/>
      <c r="BB31" s="116" t="n"/>
      <c r="BC31" s="116" t="n"/>
      <c r="BD31" s="116" t="n"/>
      <c r="BE31" s="116" t="n"/>
      <c r="BF31" s="116" t="n"/>
      <c r="BG31" s="116" t="n"/>
      <c r="BH31" s="116" t="n"/>
      <c r="BI31" s="116" t="n"/>
      <c r="BJ31" s="116" t="n"/>
    </row>
    <row r="32" ht="29.25" customFormat="1" customHeight="1" s="28">
      <c r="A32" s="124" t="n">
        <v>45644</v>
      </c>
      <c r="B32" s="8">
        <f>A32-A$10</f>
        <v/>
      </c>
      <c r="C32" s="44">
        <f t="array" ref="C32">IFERROR(_xlfn.SINGLE(INDEX(DATABASE!$AV$14:$BC$968,SUMPRODUCT((ROW(DATABASE!$AV$14:$AV$968)) * (DATABASE!AV$14:$AV$968='Résultats observations'!$A32 ) * (DATABASE!$AW$14:$AW$968= C$4))-ROW(DATABASE!$AV$14)+1,C$5)),"")</f>
        <v/>
      </c>
      <c r="D32" s="116">
        <f t="array" ref="D32">IFERROR(_xlfn.SINGLE(INDEX(DATABASE!$AV$14:$BC$968,SUMPRODUCT((ROW(DATABASE!$AV$14:$AV$968)) * (DATABASE!$AV$14:AW$968='Résultats observations'!$A32 ) * (DATABASE!$AW$14:$AW$968= D$4))-ROW(DATABASE!$AV$14)+1,D$5)),"")</f>
        <v/>
      </c>
      <c r="E32" s="116">
        <f t="array" ref="E32">IFERROR(_xlfn.SINGLE(INDEX(DATABASE!$AV$14:$BC$968,SUMPRODUCT((ROW(DATABASE!$AV$14:$AV$968)) * (DATABASE!$AV$14:AX$968='Résultats observations'!$A32 ) * (DATABASE!$AW$14:$AW$968= E$4))-ROW(DATABASE!$AV$14)+1,E$5)),"")</f>
        <v/>
      </c>
      <c r="F32" s="116">
        <f t="array" ref="F32">IFERROR(_xlfn.SINGLE(INDEX(DATABASE!$AV$14:$BC$968,SUMPRODUCT((ROW(DATABASE!$AV$14:$AV$968)) * (DATABASE!$AV$14:AY$968='Résultats observations'!$A32 ) * (DATABASE!$AW$14:$AW$968= F$4))-ROW(DATABASE!$AV$14)+1,F$5)),"")</f>
        <v/>
      </c>
      <c r="G32" s="116">
        <f t="array" ref="G32">IFERROR(_xlfn.SINGLE(INDEX(DATABASE!$AV$14:$BC$968,SUMPRODUCT((ROW(DATABASE!$AV$14:$AV$968)) * (DATABASE!$AV$14:AZ$968='Résultats observations'!$A32 ) * (DATABASE!$AW$14:$AW$968= G$4))-ROW(DATABASE!$AV$14)+1,G$5)),"")</f>
        <v/>
      </c>
      <c r="H32" s="116">
        <f t="array" ref="H32">IFERROR(_xlfn.SINGLE(INDEX(DATABASE!$AV$14:$BC$968,SUMPRODUCT((ROW(DATABASE!$AV$14:$AV$968)) * (DATABASE!$AV$14:BA$968='Résultats observations'!$A32 ) * (DATABASE!$AW$14:$AW$968= H$4))-ROW(DATABASE!$AV$14)+1,H$5)),"")</f>
        <v/>
      </c>
      <c r="I32" s="116">
        <f t="array" ref="I32">IFERROR(_xlfn.SINGLE(INDEX(DATABASE!$AV$14:$BC$968,SUMPRODUCT((ROW(DATABASE!$AV$14:$AV$968)) * (DATABASE!$AV$14:BB$968='Résultats observations'!$A32 ) * (DATABASE!$AW$14:$AW$968= I$4))-ROW(DATABASE!$AV$14)+1,I$5)),"")</f>
        <v/>
      </c>
      <c r="J32" s="116">
        <f t="array" ref="J32">IFERROR(_xlfn.SINGLE(INDEX(DATABASE!$AV$14:$BC$968,SUMPRODUCT((ROW(DATABASE!$AV$14:$AV$968)) * (DATABASE!$AV$14:BC$968='Résultats observations'!$A32 ) * (DATABASE!$AW$14:$AW$968= J$4))-ROW(DATABASE!$AV$14)+1,J$5)),"")</f>
        <v/>
      </c>
      <c r="K32" s="116">
        <f t="array" ref="K32">IFERROR(_xlfn.SINGLE(INDEX(DATABASE!$AV$14:$BC$968,SUMPRODUCT((ROW(DATABASE!$AV$14:$AV$968)) * (DATABASE!$AV$14:BD$968='Résultats observations'!$A32 ) * (DATABASE!$AW$14:$AW$968= K$4))-ROW(DATABASE!$AV$14)+1,K$5)),"")</f>
        <v/>
      </c>
      <c r="L32" s="116">
        <f t="array" ref="L32">IFERROR(_xlfn.SINGLE(INDEX(DATABASE!$AV$14:$BC$968,SUMPRODUCT((ROW(DATABASE!$AV$14:$AV$968)) * (DATABASE!$AV$14:BE$968='Résultats observations'!$A32 ) * (DATABASE!$AW$14:$AW$968= L$4))-ROW(DATABASE!$AV$14)+1,L$5)),"")</f>
        <v/>
      </c>
      <c r="M32" s="116">
        <f t="array" ref="M32">IFERROR(_xlfn.SINGLE(INDEX(DATABASE!$AV$14:$BC$968,SUMPRODUCT((ROW(DATABASE!$AV$14:$AV$968)) * (DATABASE!$AV$14:BF$968='Résultats observations'!$A32 ) * (DATABASE!$AW$14:$AW$968= M$4))-ROW(DATABASE!$AV$14)+1,M$5)),"")</f>
        <v/>
      </c>
      <c r="N32" s="116">
        <f t="array" ref="N32">IFERROR(_xlfn.SINGLE(INDEX(DATABASE!$AV$14:$BC$968,SUMPRODUCT((ROW(DATABASE!$AV$14:$AV$968)) * (DATABASE!$AV$14:BG$968='Résultats observations'!$A32 ) * (DATABASE!$AW$14:$AW$968= N$4))-ROW(DATABASE!$AV$14)+1,N$5)),"")</f>
        <v/>
      </c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  <c r="AL32" s="116" t="n"/>
      <c r="AM32" s="116" t="n"/>
      <c r="AN32" s="116" t="n"/>
      <c r="AO32" s="116" t="n"/>
      <c r="AP32" s="116" t="n"/>
      <c r="AQ32" s="116" t="n"/>
      <c r="AR32" s="116" t="n"/>
      <c r="AS32" s="116" t="n"/>
      <c r="AT32" s="116" t="n"/>
      <c r="AU32" s="116" t="n"/>
      <c r="AV32" s="116" t="n"/>
      <c r="AW32" s="116" t="n"/>
      <c r="AX32" s="116" t="n"/>
      <c r="AY32" s="116" t="n"/>
      <c r="AZ32" s="116" t="n"/>
      <c r="BA32" s="116" t="n"/>
      <c r="BB32" s="116" t="n"/>
      <c r="BC32" s="116" t="n"/>
      <c r="BD32" s="116" t="n"/>
      <c r="BE32" s="116" t="n"/>
      <c r="BF32" s="116" t="n"/>
      <c r="BG32" s="116" t="n"/>
      <c r="BH32" s="116" t="n"/>
      <c r="BI32" s="116" t="n"/>
      <c r="BJ32" s="116" t="n"/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(DATABASE!AV$14:$AV$968='Résultats observations'!$A33 ) * (DATABASE!$AW$14:$AW$968= C$4))-ROW(DATABASE!$AV$14)+1,C$5)),"")</f>
        <v/>
      </c>
      <c r="D33" s="116">
        <f t="array" ref="D33">IFERROR(_xlfn.SINGLE(INDEX(DATABASE!$AV$14:$BC$968,SUMPRODUCT((ROW(DATABASE!$AV$14:$AV$968)) * (DATABASE!$AV$14:AW$968='Résultats observations'!$A33 ) * (DATABASE!$AW$14:$AW$968= D$4))-ROW(DATABASE!$AV$14)+1,D$5)),"")</f>
        <v/>
      </c>
      <c r="E33" s="116">
        <f t="array" ref="E33">IFERROR(_xlfn.SINGLE(INDEX(DATABASE!$AV$14:$BC$968,SUMPRODUCT((ROW(DATABASE!$AV$14:$AV$968)) * (DATABASE!$AV$14:AX$968='Résultats observations'!$A33 ) * (DATABASE!$AW$14:$AW$968= E$4))-ROW(DATABASE!$AV$14)+1,E$5)),"")</f>
        <v/>
      </c>
      <c r="F33" s="116">
        <f t="array" ref="F33">IFERROR(_xlfn.SINGLE(INDEX(DATABASE!$AV$14:$BC$968,SUMPRODUCT((ROW(DATABASE!$AV$14:$AV$968)) * (DATABASE!$AV$14:AY$968='Résultats observations'!$A33 ) * (DATABASE!$AW$14:$AW$968= F$4))-ROW(DATABASE!$AV$14)+1,F$5)),"")</f>
        <v/>
      </c>
      <c r="G33" s="116">
        <f t="array" ref="G33">IFERROR(_xlfn.SINGLE(INDEX(DATABASE!$AV$14:$BC$968,SUMPRODUCT((ROW(DATABASE!$AV$14:$AV$968)) * (DATABASE!$AV$14:AZ$968='Résultats observations'!$A33 ) * (DATABASE!$AW$14:$AW$968= G$4))-ROW(DATABASE!$AV$14)+1,G$5)),"")</f>
        <v/>
      </c>
      <c r="H33" s="116">
        <f t="array" ref="H33">IFERROR(_xlfn.SINGLE(INDEX(DATABASE!$AV$14:$BC$968,SUMPRODUCT((ROW(DATABASE!$AV$14:$AV$968)) * (DATABASE!$AV$14:BA$968='Résultats observations'!$A33 ) * (DATABASE!$AW$14:$AW$968= H$4))-ROW(DATABASE!$AV$14)+1,H$5)),"")</f>
        <v/>
      </c>
      <c r="I33" s="116">
        <f t="array" ref="I33">IFERROR(_xlfn.SINGLE(INDEX(DATABASE!$AV$14:$BC$968,SUMPRODUCT((ROW(DATABASE!$AV$14:$AV$968)) * (DATABASE!$AV$14:BB$968='Résultats observations'!$A33 ) * (DATABASE!$AW$14:$AW$968= I$4))-ROW(DATABASE!$AV$14)+1,I$5)),"")</f>
        <v/>
      </c>
      <c r="J33" s="116">
        <f t="array" ref="J33">IFERROR(_xlfn.SINGLE(INDEX(DATABASE!$AV$14:$BC$968,SUMPRODUCT((ROW(DATABASE!$AV$14:$AV$968)) * (DATABASE!$AV$14:BC$968='Résultats observations'!$A33 ) * (DATABASE!$AW$14:$AW$968= J$4))-ROW(DATABASE!$AV$14)+1,J$5)),"")</f>
        <v/>
      </c>
      <c r="K33" s="116">
        <f t="array" ref="K33">IFERROR(_xlfn.SINGLE(INDEX(DATABASE!$AV$14:$BC$968,SUMPRODUCT((ROW(DATABASE!$AV$14:$AV$968)) * (DATABASE!$AV$14:BD$968='Résultats observations'!$A33 ) * (DATABASE!$AW$14:$AW$968= K$4))-ROW(DATABASE!$AV$14)+1,K$5)),"")</f>
        <v/>
      </c>
      <c r="L33" s="116">
        <f t="array" ref="L33">IFERROR(_xlfn.SINGLE(INDEX(DATABASE!$AV$14:$BC$968,SUMPRODUCT((ROW(DATABASE!$AV$14:$AV$968)) * (DATABASE!$AV$14:BE$968='Résultats observations'!$A33 ) * (DATABASE!$AW$14:$AW$968= L$4))-ROW(DATABASE!$AV$14)+1,L$5)),"")</f>
        <v/>
      </c>
      <c r="M33" s="116">
        <f t="array" ref="M33">IFERROR(_xlfn.SINGLE(INDEX(DATABASE!$AV$14:$BC$968,SUMPRODUCT((ROW(DATABASE!$AV$14:$AV$968)) * (DATABASE!$AV$14:BF$968='Résultats observations'!$A33 ) * (DATABASE!$AW$14:$AW$968= M$4))-ROW(DATABASE!$AV$14)+1,M$5)),"")</f>
        <v/>
      </c>
      <c r="N33" s="116">
        <f t="array" ref="N33">IFERROR(_xlfn.SINGLE(INDEX(DATABASE!$AV$14:$BC$968,SUMPRODUCT((ROW(DATABASE!$AV$14:$AV$968)) * (DATABASE!$AV$14:BG$968='Résultats observations'!$A33 ) * (DATABASE!$AW$14:$AW$968= N$4))-ROW(DATABASE!$AV$14)+1,N$5)),"")</f>
        <v/>
      </c>
      <c r="O33" s="116">
        <f t="array" ref="O33">IFERROR(_xlfn.SINGLE(INDEX(DATABASE!$AV$14:$BC$968,SUMPRODUCT((ROW(DATABASE!$AV$14:$AV$968)) * (DATABASE!$AV$14:BH$968='Résultats observations'!$A33 ) * (DATABASE!$AW$14:$AW$968= O$4))-ROW(DATABASE!$AV$14)+1,O$5)),"")</f>
        <v/>
      </c>
      <c r="P33" s="116">
        <f t="array" ref="P33">IFERROR(_xlfn.SINGLE(INDEX(DATABASE!$AV$14:$BC$968,SUMPRODUCT((ROW(DATABASE!$AV$14:$AV$968)) * (DATABASE!$AV$14:BI$968='Résultats observations'!$A33 ) * (DATABASE!$AW$14:$AW$968= P$4))-ROW(DATABASE!$AV$14)+1,P$5)),"")</f>
        <v/>
      </c>
      <c r="Q33" s="116">
        <f t="array" ref="Q33">IFERROR(_xlfn.SINGLE(INDEX(DATABASE!$AV$14:$BC$968,SUMPRODUCT((ROW(DATABASE!$AV$14:$AV$968)) * (DATABASE!$AV$14:BJ$968='Résultats observations'!$A33 ) * (DATABASE!$AW$14:$AW$968= Q$4))-ROW(DATABASE!$AV$14)+1,Q$5)),"")</f>
        <v/>
      </c>
      <c r="R33" s="116">
        <f t="array" ref="R33">IFERROR(_xlfn.SINGLE(INDEX(DATABASE!$AV$14:$BC$968,SUMPRODUCT((ROW(DATABASE!$AV$14:$AV$968)) * (DATABASE!$AV$14:BK$968='Résultats observations'!$A33 ) * (DATABASE!$AW$14:$AW$968= R$4))-ROW(DATABASE!$AV$14)+1,R$5)),"")</f>
        <v/>
      </c>
      <c r="S33" s="116">
        <f t="array" ref="S33">IFERROR(_xlfn.SINGLE(INDEX(DATABASE!$AV$14:$BC$968,SUMPRODUCT((ROW(DATABASE!$AV$14:$AV$968)) * (DATABASE!$AV$14:BL$968='Résultats observations'!$A33 ) * (DATABASE!$AW$14:$AW$968= S$4))-ROW(DATABASE!$AV$14)+1,S$5)),"")</f>
        <v/>
      </c>
      <c r="T33" s="116">
        <f t="array" ref="T33">IFERROR(_xlfn.SINGLE(INDEX(DATABASE!$AV$14:$BC$968,SUMPRODUCT((ROW(DATABASE!$AV$14:$AV$968)) * (DATABASE!$AV$14:BM$968='Résultats observations'!$A33 ) * (DATABASE!$AW$14:$AW$968= T$4))-ROW(DATABASE!$AV$14)+1,T$5)),"")</f>
        <v/>
      </c>
      <c r="U33" s="116">
        <f t="array" ref="U33">IFERROR(_xlfn.SINGLE(INDEX(DATABASE!$AV$14:$BC$968,SUMPRODUCT((ROW(DATABASE!$AV$14:$AV$968)) * (DATABASE!$AV$14:BN$968='Résultats observations'!$A33 ) * (DATABASE!$AW$14:$AW$968= U$4))-ROW(DATABASE!$AV$14)+1,U$5)),"")</f>
        <v/>
      </c>
      <c r="V33" s="116">
        <f t="array" ref="V33">IFERROR(_xlfn.SINGLE(INDEX(DATABASE!$AV$14:$BC$968,SUMPRODUCT((ROW(DATABASE!$AV$14:$AV$968)) * (DATABASE!$AV$14:BO$968='Résultats observations'!$A33 ) * (DATABASE!$AW$14:$AW$968= V$4))-ROW(DATABASE!$AV$14)+1,V$5)),"")</f>
        <v/>
      </c>
      <c r="W33" s="116">
        <f t="array" ref="W33">IFERROR(_xlfn.SINGLE(INDEX(DATABASE!$AV$14:$BC$968,SUMPRODUCT((ROW(DATABASE!$AV$14:$AV$968)) * (DATABASE!$AV$14:BP$968='Résultats observations'!$A33 ) * (DATABASE!$AW$14:$AW$968= W$4))-ROW(DATABASE!$AV$14)+1,W$5)),"")</f>
        <v/>
      </c>
      <c r="X33" s="116">
        <f t="array" ref="X33">IFERROR(_xlfn.SINGLE(INDEX(DATABASE!$AV$14:$BC$968,SUMPRODUCT((ROW(DATABASE!$AV$14:$AV$968)) * (DATABASE!$AV$14:BQ$968='Résultats observations'!$A33 ) * (DATABASE!$AW$14:$AW$968= X$4))-ROW(DATABASE!$AV$14)+1,X$5)),"")</f>
        <v/>
      </c>
      <c r="Y33" s="116">
        <f t="array" ref="Y33">IFERROR(_xlfn.SINGLE(INDEX(DATABASE!$AV$14:$BC$968,SUMPRODUCT((ROW(DATABASE!$AV$14:$AV$968)) * (DATABASE!$AV$14:BR$968='Résultats observations'!$A33 ) * (DATABASE!$AW$14:$AW$968= Y$4))-ROW(DATABASE!$AV$14)+1,Y$5)),"")</f>
        <v/>
      </c>
      <c r="Z33" s="116">
        <f t="array" ref="Z33">IFERROR(_xlfn.SINGLE(INDEX(DATABASE!$AV$14:$BC$968,SUMPRODUCT((ROW(DATABASE!$AV$14:$AV$968)) * (DATABASE!$AV$14:BS$968='Résultats observations'!$A33 ) * (DATABASE!$AW$14:$AW$968= Z$4))-ROW(DATABASE!$AV$14)+1,Z$5)),"")</f>
        <v/>
      </c>
      <c r="AA33" s="116">
        <f t="array" ref="AA33">IFERROR(_xlfn.SINGLE(INDEX(DATABASE!$AV$14:$BC$968,SUMPRODUCT((ROW(DATABASE!$AV$14:$AV$968)) * (DATABASE!$AV$14:BT$968='Résultats observations'!$A33 ) * (DATABASE!$AW$14:$AW$968= AA$4))-ROW(DATABASE!$AV$14)+1,AA$5)),"")</f>
        <v/>
      </c>
      <c r="AB33" s="116">
        <f t="array" ref="AB33">IFERROR(_xlfn.SINGLE(INDEX(DATABASE!$AV$14:$BC$968,SUMPRODUCT((ROW(DATABASE!$AV$14:$AV$968)) * (DATABASE!$AV$14:BU$968='Résultats observations'!$A33 ) * (DATABASE!$AW$14:$AW$968= AB$4))-ROW(DATABASE!$AV$14)+1,AB$5)),"")</f>
        <v/>
      </c>
      <c r="AC33" s="116">
        <f t="array" ref="AC33">IFERROR(_xlfn.SINGLE(INDEX(DATABASE!$AV$14:$BC$968,SUMPRODUCT((ROW(DATABASE!$AV$14:$AV$968)) * (DATABASE!$AV$14:BV$968='Résultats observations'!$A33 ) * (DATABASE!$AW$14:$AW$968= AC$4))-ROW(DATABASE!$AV$14)+1,AC$5)),"")</f>
        <v/>
      </c>
      <c r="AD33" s="116">
        <f t="array" ref="AD33">IFERROR(_xlfn.SINGLE(INDEX(DATABASE!$AV$14:$BC$968,SUMPRODUCT((ROW(DATABASE!$AV$14:$AV$968)) * (DATABASE!$AV$14:BW$968='Résultats observations'!$A33 ) * (DATABASE!$AW$14:$AW$968= AD$4))-ROW(DATABASE!$AV$14)+1,AD$5)),"")</f>
        <v/>
      </c>
      <c r="AE33" s="116">
        <f t="array" ref="AE33">IFERROR(_xlfn.SINGLE(INDEX(DATABASE!$AV$14:$BC$968,SUMPRODUCT((ROW(DATABASE!$AV$14:$AV$968)) * (DATABASE!$AV$14:BX$968='Résultats observations'!$A33 ) * (DATABASE!$AW$14:$AW$968= AE$4))-ROW(DATABASE!$AV$14)+1,AE$5)),"")</f>
        <v/>
      </c>
      <c r="AF33" s="116">
        <f t="array" ref="AF33">IFERROR(_xlfn.SINGLE(INDEX(DATABASE!$AV$14:$BC$968,SUMPRODUCT((ROW(DATABASE!$AV$14:$AV$968)) * (DATABASE!$AV$14:BY$968='Résultats observations'!$A33 ) * (DATABASE!$AW$14:$AW$968= AF$4))-ROW(DATABASE!$AV$14)+1,AF$5)),"")</f>
        <v/>
      </c>
      <c r="AG33" s="116">
        <f t="array" ref="AG33">IFERROR(_xlfn.SINGLE(INDEX(DATABASE!$AV$14:$BC$968,SUMPRODUCT((ROW(DATABASE!$AV$14:$AV$968)) * (DATABASE!$AV$14:BZ$968='Résultats observations'!$A33 ) * (DATABASE!$AW$14:$AW$968= AG$4))-ROW(DATABASE!$AV$14)+1,AG$5)),"")</f>
        <v/>
      </c>
      <c r="AH33" s="116">
        <f t="array" ref="AH33">IFERROR(_xlfn.SINGLE(INDEX(DATABASE!$AV$14:$BC$968,SUMPRODUCT((ROW(DATABASE!$AV$14:$AV$968)) * (DATABASE!$AV$14:CA$968='Résultats observations'!$A33 ) * (DATABASE!$AW$14:$AW$968= AH$4))-ROW(DATABASE!$AV$14)+1,AH$5)),"")</f>
        <v/>
      </c>
      <c r="AI33" s="116">
        <f t="array" ref="AI33">IFERROR(_xlfn.SINGLE(INDEX(DATABASE!$AV$14:$BC$968,SUMPRODUCT((ROW(DATABASE!$AV$14:$AV$968)) * (DATABASE!$AV$14:CB$968='Résultats observations'!$A33 ) * (DATABASE!$AW$14:$AW$968= AI$4))-ROW(DATABASE!$AV$14)+1,AI$5)),"")</f>
        <v/>
      </c>
      <c r="AJ33" s="116">
        <f t="array" ref="AJ33">IFERROR(_xlfn.SINGLE(INDEX(DATABASE!$AV$14:$BC$968,SUMPRODUCT((ROW(DATABASE!$AV$14:$AV$968)) * (DATABASE!$AV$14:CC$968='Résultats observations'!$A33 ) * (DATABASE!$AW$14:$AW$968= AJ$4))-ROW(DATABASE!$AV$14)+1,AJ$5)),"")</f>
        <v/>
      </c>
      <c r="AK33" s="116">
        <f t="array" ref="AK33">IFERROR(_xlfn.SINGLE(INDEX(DATABASE!$AV$14:$BC$968,SUMPRODUCT((ROW(DATABASE!$AV$14:$AV$968)) * (DATABASE!$AV$14:CD$968='Résultats observations'!$A33 ) * (DATABASE!$AW$14:$AW$968= AK$4))-ROW(DATABASE!$AV$14)+1,AK$5)),"")</f>
        <v/>
      </c>
      <c r="AL33" s="116">
        <f t="array" ref="AL33">IFERROR(_xlfn.SINGLE(INDEX(DATABASE!$AV$14:$BC$968,SUMPRODUCT((ROW(DATABASE!$AV$14:$AV$968)) * (DATABASE!$AV$14:CE$968='Résultats observations'!$A33 ) * (DATABASE!$AW$14:$AW$968= AL$4))-ROW(DATABASE!$AV$14)+1,AL$5)),"")</f>
        <v/>
      </c>
      <c r="AM33" s="116">
        <f t="array" ref="AM33">IFERROR(_xlfn.SINGLE(INDEX(DATABASE!$AV$14:$BC$968,SUMPRODUCT((ROW(DATABASE!$AV$14:$AV$968)) * (DATABASE!$AV$14:CF$968='Résultats observations'!$A33 ) * (DATABASE!$AW$14:$AW$968= AM$4))-ROW(DATABASE!$AV$14)+1,AM$5)),"")</f>
        <v/>
      </c>
      <c r="AN33" s="116">
        <f t="array" ref="AN33">IFERROR(_xlfn.SINGLE(INDEX(DATABASE!$AV$14:$BC$968,SUMPRODUCT((ROW(DATABASE!$AV$14:$AV$968)) * (DATABASE!$AV$14:CG$968='Résultats observations'!$A33 ) * (DATABASE!$AW$14:$AW$968= AN$4))-ROW(DATABASE!$AV$14)+1,AN$5)),"")</f>
        <v/>
      </c>
      <c r="AO33" s="116">
        <f t="array" ref="AO33">IFERROR(_xlfn.SINGLE(INDEX(DATABASE!$AV$14:$BC$968,SUMPRODUCT((ROW(DATABASE!$AV$14:$AV$968)) * (DATABASE!$AV$14:CH$968='Résultats observations'!$A33 ) * (DATABASE!$AW$14:$AW$968= AO$4))-ROW(DATABASE!$AV$14)+1,AO$5)),"")</f>
        <v/>
      </c>
      <c r="AP33" s="116">
        <f t="array" ref="AP33">IFERROR(_xlfn.SINGLE(INDEX(DATABASE!$AV$14:$BC$968,SUMPRODUCT((ROW(DATABASE!$AV$14:$AV$968)) * (DATABASE!$AV$14:CI$968='Résultats observations'!$A33 ) * (DATABASE!$AW$14:$AW$968= AP$4))-ROW(DATABASE!$AV$14)+1,AP$5)),"")</f>
        <v/>
      </c>
      <c r="AQ33" s="116">
        <f t="array" ref="AQ33">IFERROR(_xlfn.SINGLE(INDEX(DATABASE!$AV$14:$BC$968,SUMPRODUCT((ROW(DATABASE!$AV$14:$AV$968)) * (DATABASE!$AV$14:CJ$968='Résultats observations'!$A33 ) * (DATABASE!$AW$14:$AW$968= AQ$4))-ROW(DATABASE!$AV$14)+1,AQ$5)),"")</f>
        <v/>
      </c>
      <c r="AR33" s="116">
        <f t="array" ref="AR33">IFERROR(_xlfn.SINGLE(INDEX(DATABASE!$AV$14:$BC$968,SUMPRODUCT((ROW(DATABASE!$AV$14:$AV$968)) * (DATABASE!$AV$14:CK$968='Résultats observations'!$A33 ) * (DATABASE!$AW$14:$AW$968= AR$4))-ROW(DATABASE!$AV$14)+1,AR$5)),"")</f>
        <v/>
      </c>
      <c r="AS33" s="116">
        <f t="array" ref="AS33">IFERROR(_xlfn.SINGLE(INDEX(DATABASE!$AV$14:$BC$968,SUMPRODUCT((ROW(DATABASE!$AV$14:$AV$968)) * (DATABASE!$AV$14:CL$968='Résultats observations'!$A33 ) * (DATABASE!$AW$14:$AW$968= AS$4))-ROW(DATABASE!$AV$14)+1,AS$5)),"")</f>
        <v/>
      </c>
      <c r="AT33" s="116">
        <f t="array" ref="AT33">IFERROR(_xlfn.SINGLE(INDEX(DATABASE!$AV$14:$BC$968,SUMPRODUCT((ROW(DATABASE!$AV$14:$AV$968)) * (DATABASE!$AV$14:CM$968='Résultats observations'!$A33 ) * (DATABASE!$AW$14:$AW$968= AT$4))-ROW(DATABASE!$AV$14)+1,AT$5)),"")</f>
        <v/>
      </c>
      <c r="AU33" s="116">
        <f t="array" ref="AU33">IFERROR(_xlfn.SINGLE(INDEX(DATABASE!$AV$14:$BC$968,SUMPRODUCT((ROW(DATABASE!$AV$14:$AV$968)) * (DATABASE!$AV$14:CN$968='Résultats observations'!$A33 ) * (DATABASE!$AW$14:$AW$968= AU$4))-ROW(DATABASE!$AV$14)+1,AU$5)),"")</f>
        <v/>
      </c>
      <c r="AV33" s="116">
        <f t="array" ref="AV33">IFERROR(_xlfn.SINGLE(INDEX(DATABASE!$AV$14:$BC$968,SUMPRODUCT((ROW(DATABASE!$AV$14:$AV$968)) * (DATABASE!$AV$14:CO$968='Résultats observations'!$A33 ) * (DATABASE!$AW$14:$AW$968= AV$4))-ROW(DATABASE!$AV$14)+1,AV$5)),"")</f>
        <v/>
      </c>
      <c r="AW33" s="116">
        <f t="array" ref="AW33">IFERROR(_xlfn.SINGLE(INDEX(DATABASE!$AV$14:$BC$968,SUMPRODUCT((ROW(DATABASE!$AV$14:$AV$968)) * (DATABASE!$AV$14:CP$968='Résultats observations'!$A33 ) * (DATABASE!$AW$14:$AW$968= AW$4))-ROW(DATABASE!$AV$14)+1,AW$5)),"")</f>
        <v/>
      </c>
      <c r="AX33" s="116">
        <f t="array" ref="AX33">IFERROR(_xlfn.SINGLE(INDEX(DATABASE!$AV$14:$BC$968,SUMPRODUCT((ROW(DATABASE!$AV$14:$AV$968)) * (DATABASE!$AV$14:CQ$968='Résultats observations'!$A33 ) * (DATABASE!$AW$14:$AW$968= AX$4))-ROW(DATABASE!$AV$14)+1,AX$5)),"")</f>
        <v/>
      </c>
      <c r="AY33" s="116">
        <f t="array" ref="AY33">IFERROR(_xlfn.SINGLE(INDEX(DATABASE!$AV$14:$BC$968,SUMPRODUCT((ROW(DATABASE!$AV$14:$AV$968)) * (DATABASE!$AV$14:CR$968='Résultats observations'!$A33 ) * (DATABASE!$AW$14:$AW$968= AY$4))-ROW(DATABASE!$AV$14)+1,AY$5)),"")</f>
        <v/>
      </c>
      <c r="AZ33" s="116">
        <f t="array" ref="AZ33">IFERROR(_xlfn.SINGLE(INDEX(DATABASE!$AV$14:$BC$968,SUMPRODUCT((ROW(DATABASE!$AV$14:$AV$968)) * (DATABASE!$AV$14:CS$968='Résultats observations'!$A33 ) * (DATABASE!$AW$14:$AW$968= AZ$4))-ROW(DATABASE!$AV$14)+1,AZ$5)),"")</f>
        <v/>
      </c>
      <c r="BA33" s="116">
        <f t="array" ref="BA33">IFERROR(_xlfn.SINGLE(INDEX(DATABASE!$AV$14:$BC$968,SUMPRODUCT((ROW(DATABASE!$AV$14:$AV$968)) * (DATABASE!$AV$14:CT$968='Résultats observations'!$A33 ) * (DATABASE!$AW$14:$AW$968= BA$4))-ROW(DATABASE!$AV$14)+1,BA$5)),"")</f>
        <v/>
      </c>
      <c r="BB33" s="116">
        <f t="array" ref="BB33">IFERROR(_xlfn.SINGLE(INDEX(DATABASE!$AV$14:$BC$968,SUMPRODUCT((ROW(DATABASE!$AV$14:$AV$968)) * (DATABASE!$AV$14:CU$968='Résultats observations'!$A33 ) * (DATABASE!$AW$14:$AW$968= BB$4))-ROW(DATABASE!$AV$14)+1,BB$5)),"")</f>
        <v/>
      </c>
      <c r="BC33" s="116">
        <f t="array" ref="BC33">IFERROR(_xlfn.SINGLE(INDEX(DATABASE!$AV$14:$BC$968,SUMPRODUCT((ROW(DATABASE!$AV$14:$AV$968)) * (DATABASE!$AV$14:CV$968='Résultats observations'!$A33 ) * (DATABASE!$AW$14:$AW$968= BC$4))-ROW(DATABASE!$AV$14)+1,BC$5)),"")</f>
        <v/>
      </c>
      <c r="BD33" s="116">
        <f t="array" ref="BD33">IFERROR(_xlfn.SINGLE(INDEX(DATABASE!$AV$14:$BC$968,SUMPRODUCT((ROW(DATABASE!$AV$14:$AV$968)) * (DATABASE!$AV$14:CW$968='Résultats observations'!$A33 ) * (DATABASE!$AW$14:$AW$968= BD$4))-ROW(DATABASE!$AV$14)+1,BD$5)),"")</f>
        <v/>
      </c>
      <c r="BE33" s="116">
        <f t="array" ref="BE33">IFERROR(_xlfn.SINGLE(INDEX(DATABASE!$AV$14:$BC$968,SUMPRODUCT((ROW(DATABASE!$AV$14:$AV$968)) * (DATABASE!$AV$14:CX$968='Résultats observations'!$A33 ) * (DATABASE!$AW$14:$AW$968= BE$4))-ROW(DATABASE!$AV$14)+1,BE$5)),"")</f>
        <v/>
      </c>
      <c r="BF33" s="116">
        <f t="array" ref="BF33">IFERROR(_xlfn.SINGLE(INDEX(DATABASE!$AV$14:$BC$968,SUMPRODUCT((ROW(DATABASE!$AV$14:$AV$968)) * (DATABASE!$AV$14:CY$968='Résultats observations'!$A33 ) * (DATABASE!$AW$14:$AW$968= BF$4))-ROW(DATABASE!$AV$14)+1,BF$5)),"")</f>
        <v/>
      </c>
      <c r="BG33" s="116">
        <f t="array" ref="BG33">IFERROR(_xlfn.SINGLE(INDEX(DATABASE!$AV$14:$BC$968,SUMPRODUCT((ROW(DATABASE!$AV$14:$AV$968)) * (DATABASE!$AV$14:CZ$968='Résultats observations'!$A33 ) * (DATABASE!$AW$14:$AW$968= BG$4))-ROW(DATABASE!$AV$14)+1,BG$5)),"")</f>
        <v/>
      </c>
      <c r="BH33" s="116">
        <f t="array" ref="BH33">IFERROR(_xlfn.SINGLE(INDEX(DATABASE!$AV$14:$BC$968,SUMPRODUCT((ROW(DATABASE!$AV$14:$AV$968)) * (DATABASE!$AV$14:DA$968='Résultats observations'!$A33 ) * (DATABASE!$AW$14:$AW$968= BH$4))-ROW(DATABASE!$AV$14)+1,BH$5)),"")</f>
        <v/>
      </c>
      <c r="BI33" s="116">
        <f t="array" ref="BI33">IFERROR(_xlfn.SINGLE(INDEX(DATABASE!$AV$14:$BC$968,SUMPRODUCT((ROW(DATABASE!$AV$14:$AV$968)) * (DATABASE!$AV$14:DB$968='Résultats observations'!$A33 ) * (DATABASE!$AW$14:$AW$968= BI$4))-ROW(DATABASE!$AV$14)+1,BI$5)),"")</f>
        <v/>
      </c>
      <c r="BJ33" s="116">
        <f t="array" ref="BJ33">IFERROR(_xlfn.SINGLE(INDEX(DATABASE!$AV$14:$BC$968,SUMPRODUCT((ROW(DATABASE!$AV$14:$AV$968)) * (DATABASE!$AV$14:DC$968='Résultats observations'!$A33 ) * (DATABASE!$AW$14:$AW$968= BJ$4))-ROW(DATABASE!$AV$14)+1,BJ$5)),"")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(DATABASE!AV$14:$AV$968='Résultats observations'!$A34 ) * (DATABASE!$AW$14:$AW$968= C$4))-ROW(DATABASE!$AV$14)+1,C$5)),"")</f>
        <v/>
      </c>
      <c r="D34" s="116">
        <f t="array" ref="D34">IFERROR(_xlfn.SINGLE(INDEX(DATABASE!$AV$14:$BC$968,SUMPRODUCT((ROW(DATABASE!$AV$14:$AV$968)) * (DATABASE!$AV$14:AW$968='Résultats observations'!$A34 ) * (DATABASE!$AW$14:$AW$968= D$4))-ROW(DATABASE!$AV$14)+1,D$5)),"")</f>
        <v/>
      </c>
      <c r="E34" s="116">
        <f t="array" ref="E34">IFERROR(_xlfn.SINGLE(INDEX(DATABASE!$AV$14:$BC$968,SUMPRODUCT((ROW(DATABASE!$AV$14:$AV$968)) * (DATABASE!$AV$14:AX$968='Résultats observations'!$A34 ) * (DATABASE!$AW$14:$AW$968= E$4))-ROW(DATABASE!$AV$14)+1,E$5)),"")</f>
        <v/>
      </c>
      <c r="F34" s="116">
        <f t="array" ref="F34">IFERROR(_xlfn.SINGLE(INDEX(DATABASE!$AV$14:$BC$968,SUMPRODUCT((ROW(DATABASE!$AV$14:$AV$968)) * (DATABASE!$AV$14:AY$968='Résultats observations'!$A34 ) * (DATABASE!$AW$14:$AW$968= F$4))-ROW(DATABASE!$AV$14)+1,F$5)),"")</f>
        <v/>
      </c>
      <c r="G34" s="116">
        <f t="array" ref="G34">IFERROR(_xlfn.SINGLE(INDEX(DATABASE!$AV$14:$BC$968,SUMPRODUCT((ROW(DATABASE!$AV$14:$AV$968)) * (DATABASE!$AV$14:AZ$968='Résultats observations'!$A34 ) * (DATABASE!$AW$14:$AW$968= G$4))-ROW(DATABASE!$AV$14)+1,G$5)),"")</f>
        <v/>
      </c>
      <c r="H34" s="116">
        <f t="array" ref="H34">IFERROR(_xlfn.SINGLE(INDEX(DATABASE!$AV$14:$BC$968,SUMPRODUCT((ROW(DATABASE!$AV$14:$AV$968)) * (DATABASE!$AV$14:BA$968='Résultats observations'!$A34 ) * (DATABASE!$AW$14:$AW$968= H$4))-ROW(DATABASE!$AV$14)+1,H$5)),"")</f>
        <v/>
      </c>
      <c r="I34" s="116">
        <f t="array" ref="I34">IFERROR(_xlfn.SINGLE(INDEX(DATABASE!$AV$14:$BC$968,SUMPRODUCT((ROW(DATABASE!$AV$14:$AV$968)) * (DATABASE!$AV$14:BB$968='Résultats observations'!$A34 ) * (DATABASE!$AW$14:$AW$968= I$4))-ROW(DATABASE!$AV$14)+1,I$5)),"")</f>
        <v/>
      </c>
      <c r="J34" s="116">
        <f t="array" ref="J34">IFERROR(_xlfn.SINGLE(INDEX(DATABASE!$AV$14:$BC$968,SUMPRODUCT((ROW(DATABASE!$AV$14:$AV$968)) * (DATABASE!$AV$14:BC$968='Résultats observations'!$A34 ) * (DATABASE!$AW$14:$AW$968= J$4))-ROW(DATABASE!$AV$14)+1,J$5)),"")</f>
        <v/>
      </c>
      <c r="K34" s="116">
        <f t="array" ref="K34">IFERROR(_xlfn.SINGLE(INDEX(DATABASE!$AV$14:$BC$968,SUMPRODUCT((ROW(DATABASE!$AV$14:$AV$968)) * (DATABASE!$AV$14:BD$968='Résultats observations'!$A34 ) * (DATABASE!$AW$14:$AW$968= K$4))-ROW(DATABASE!$AV$14)+1,K$5)),"")</f>
        <v/>
      </c>
      <c r="L34" s="116">
        <f t="array" ref="L34">IFERROR(_xlfn.SINGLE(INDEX(DATABASE!$AV$14:$BC$968,SUMPRODUCT((ROW(DATABASE!$AV$14:$AV$968)) * (DATABASE!$AV$14:BE$968='Résultats observations'!$A34 ) * (DATABASE!$AW$14:$AW$968= L$4))-ROW(DATABASE!$AV$14)+1,L$5)),"")</f>
        <v/>
      </c>
      <c r="M34" s="116">
        <f t="array" ref="M34">IFERROR(_xlfn.SINGLE(INDEX(DATABASE!$AV$14:$BC$968,SUMPRODUCT((ROW(DATABASE!$AV$14:$AV$968)) * (DATABASE!$AV$14:BF$968='Résultats observations'!$A34 ) * (DATABASE!$AW$14:$AW$968= M$4))-ROW(DATABASE!$AV$14)+1,M$5)),"")</f>
        <v/>
      </c>
      <c r="N34" s="116">
        <f t="array" ref="N34">IFERROR(_xlfn.SINGLE(INDEX(DATABASE!$AV$14:$BC$968,SUMPRODUCT((ROW(DATABASE!$AV$14:$AV$968)) * (DATABASE!$AV$14:BG$968='Résultats observations'!$A34 ) * (DATABASE!$AW$14:$AW$968= N$4))-ROW(DATABASE!$AV$14)+1,N$5)),"")</f>
        <v/>
      </c>
      <c r="O34" s="116">
        <f t="array" ref="O34">IFERROR(_xlfn.SINGLE(INDEX(DATABASE!$AV$14:$BC$968,SUMPRODUCT((ROW(DATABASE!$AV$14:$AV$968)) * (DATABASE!$AV$14:BH$968='Résultats observations'!$A34 ) * (DATABASE!$AW$14:$AW$968= O$4))-ROW(DATABASE!$AV$14)+1,O$5)),"")</f>
        <v/>
      </c>
      <c r="P34" s="116">
        <f t="array" ref="P34">IFERROR(_xlfn.SINGLE(INDEX(DATABASE!$AV$14:$BC$968,SUMPRODUCT((ROW(DATABASE!$AV$14:$AV$968)) * (DATABASE!$AV$14:BI$968='Résultats observations'!$A34 ) * (DATABASE!$AW$14:$AW$968= P$4))-ROW(DATABASE!$AV$14)+1,P$5)),"")</f>
        <v/>
      </c>
      <c r="Q34" s="116">
        <f t="array" ref="Q34">IFERROR(_xlfn.SINGLE(INDEX(DATABASE!$AV$14:$BC$968,SUMPRODUCT((ROW(DATABASE!$AV$14:$AV$968)) * (DATABASE!$AV$14:BJ$968='Résultats observations'!$A34 ) * (DATABASE!$AW$14:$AW$968= Q$4))-ROW(DATABASE!$AV$14)+1,Q$5)),"")</f>
        <v/>
      </c>
      <c r="R34" s="116">
        <f t="array" ref="R34">IFERROR(_xlfn.SINGLE(INDEX(DATABASE!$AV$14:$BC$968,SUMPRODUCT((ROW(DATABASE!$AV$14:$AV$968)) * (DATABASE!$AV$14:BK$968='Résultats observations'!$A34 ) * (DATABASE!$AW$14:$AW$968= R$4))-ROW(DATABASE!$AV$14)+1,R$5)),"")</f>
        <v/>
      </c>
      <c r="S34" s="116">
        <f t="array" ref="S34">IFERROR(_xlfn.SINGLE(INDEX(DATABASE!$AV$14:$BC$968,SUMPRODUCT((ROW(DATABASE!$AV$14:$AV$968)) * (DATABASE!$AV$14:BL$968='Résultats observations'!$A34 ) * (DATABASE!$AW$14:$AW$968= S$4))-ROW(DATABASE!$AV$14)+1,S$5)),"")</f>
        <v/>
      </c>
      <c r="T34" s="116">
        <f t="array" ref="T34">IFERROR(_xlfn.SINGLE(INDEX(DATABASE!$AV$14:$BC$968,SUMPRODUCT((ROW(DATABASE!$AV$14:$AV$968)) * (DATABASE!$AV$14:BM$968='Résultats observations'!$A34 ) * (DATABASE!$AW$14:$AW$968= T$4))-ROW(DATABASE!$AV$14)+1,T$5)),"")</f>
        <v/>
      </c>
      <c r="U34" s="116">
        <f t="array" ref="U34">IFERROR(_xlfn.SINGLE(INDEX(DATABASE!$AV$14:$BC$968,SUMPRODUCT((ROW(DATABASE!$AV$14:$AV$968)) * (DATABASE!$AV$14:BN$968='Résultats observations'!$A34 ) * (DATABASE!$AW$14:$AW$968= U$4))-ROW(DATABASE!$AV$14)+1,U$5)),"")</f>
        <v/>
      </c>
      <c r="V34" s="116">
        <f t="array" ref="V34">IFERROR(_xlfn.SINGLE(INDEX(DATABASE!$AV$14:$BC$968,SUMPRODUCT((ROW(DATABASE!$AV$14:$AV$968)) * (DATABASE!$AV$14:BO$968='Résultats observations'!$A34 ) * (DATABASE!$AW$14:$AW$968= V$4))-ROW(DATABASE!$AV$14)+1,V$5)),"")</f>
        <v/>
      </c>
      <c r="W34" s="116">
        <f t="array" ref="W34">IFERROR(_xlfn.SINGLE(INDEX(DATABASE!$AV$14:$BC$968,SUMPRODUCT((ROW(DATABASE!$AV$14:$AV$968)) * (DATABASE!$AV$14:BP$968='Résultats observations'!$A34 ) * (DATABASE!$AW$14:$AW$968= W$4))-ROW(DATABASE!$AV$14)+1,W$5)),"")</f>
        <v/>
      </c>
      <c r="X34" s="116">
        <f t="array" ref="X34">IFERROR(_xlfn.SINGLE(INDEX(DATABASE!$AV$14:$BC$968,SUMPRODUCT((ROW(DATABASE!$AV$14:$AV$968)) * (DATABASE!$AV$14:BQ$968='Résultats observations'!$A34 ) * (DATABASE!$AW$14:$AW$968= X$4))-ROW(DATABASE!$AV$14)+1,X$5)),"")</f>
        <v/>
      </c>
      <c r="Y34" s="116">
        <f t="array" ref="Y34">IFERROR(_xlfn.SINGLE(INDEX(DATABASE!$AV$14:$BC$968,SUMPRODUCT((ROW(DATABASE!$AV$14:$AV$968)) * (DATABASE!$AV$14:BR$968='Résultats observations'!$A34 ) * (DATABASE!$AW$14:$AW$968= Y$4))-ROW(DATABASE!$AV$14)+1,Y$5)),"")</f>
        <v/>
      </c>
      <c r="Z34" s="116">
        <f t="array" ref="Z34">IFERROR(_xlfn.SINGLE(INDEX(DATABASE!$AV$14:$BC$968,SUMPRODUCT((ROW(DATABASE!$AV$14:$AV$968)) * (DATABASE!$AV$14:BS$968='Résultats observations'!$A34 ) * (DATABASE!$AW$14:$AW$968= Z$4))-ROW(DATABASE!$AV$14)+1,Z$5)),"")</f>
        <v/>
      </c>
      <c r="AA34" s="116">
        <f t="array" ref="AA34">IFERROR(_xlfn.SINGLE(INDEX(DATABASE!$AV$14:$BC$968,SUMPRODUCT((ROW(DATABASE!$AV$14:$AV$968)) * (DATABASE!$AV$14:BT$968='Résultats observations'!$A34 ) * (DATABASE!$AW$14:$AW$968= AA$4))-ROW(DATABASE!$AV$14)+1,AA$5)),"")</f>
        <v/>
      </c>
      <c r="AB34" s="116">
        <f t="array" ref="AB34">IFERROR(_xlfn.SINGLE(INDEX(DATABASE!$AV$14:$BC$968,SUMPRODUCT((ROW(DATABASE!$AV$14:$AV$968)) * (DATABASE!$AV$14:BU$968='Résultats observations'!$A34 ) * (DATABASE!$AW$14:$AW$968= AB$4))-ROW(DATABASE!$AV$14)+1,AB$5)),"")</f>
        <v/>
      </c>
      <c r="AC34" s="116">
        <f t="array" ref="AC34">IFERROR(_xlfn.SINGLE(INDEX(DATABASE!$AV$14:$BC$968,SUMPRODUCT((ROW(DATABASE!$AV$14:$AV$968)) * (DATABASE!$AV$14:BV$968='Résultats observations'!$A34 ) * (DATABASE!$AW$14:$AW$968= AC$4))-ROW(DATABASE!$AV$14)+1,AC$5)),"")</f>
        <v/>
      </c>
      <c r="AD34" s="116">
        <f t="array" ref="AD34">IFERROR(_xlfn.SINGLE(INDEX(DATABASE!$AV$14:$BC$968,SUMPRODUCT((ROW(DATABASE!$AV$14:$AV$968)) * (DATABASE!$AV$14:BW$968='Résultats observations'!$A34 ) * (DATABASE!$AW$14:$AW$968= AD$4))-ROW(DATABASE!$AV$14)+1,AD$5)),"")</f>
        <v/>
      </c>
      <c r="AE34" s="116">
        <f t="array" ref="AE34">IFERROR(_xlfn.SINGLE(INDEX(DATABASE!$AV$14:$BC$968,SUMPRODUCT((ROW(DATABASE!$AV$14:$AV$968)) * (DATABASE!$AV$14:BX$968='Résultats observations'!$A34 ) * (DATABASE!$AW$14:$AW$968= AE$4))-ROW(DATABASE!$AV$14)+1,AE$5)),"")</f>
        <v/>
      </c>
      <c r="AF34" s="116">
        <f t="array" ref="AF34">IFERROR(_xlfn.SINGLE(INDEX(DATABASE!$AV$14:$BC$968,SUMPRODUCT((ROW(DATABASE!$AV$14:$AV$968)) * (DATABASE!$AV$14:BY$968='Résultats observations'!$A34 ) * (DATABASE!$AW$14:$AW$968= AF$4))-ROW(DATABASE!$AV$14)+1,AF$5)),"")</f>
        <v/>
      </c>
      <c r="AG34" s="116">
        <f t="array" ref="AG34">IFERROR(_xlfn.SINGLE(INDEX(DATABASE!$AV$14:$BC$968,SUMPRODUCT((ROW(DATABASE!$AV$14:$AV$968)) * (DATABASE!$AV$14:BZ$968='Résultats observations'!$A34 ) * (DATABASE!$AW$14:$AW$968= AG$4))-ROW(DATABASE!$AV$14)+1,AG$5)),"")</f>
        <v/>
      </c>
      <c r="AH34" s="116">
        <f t="array" ref="AH34">IFERROR(_xlfn.SINGLE(INDEX(DATABASE!$AV$14:$BC$968,SUMPRODUCT((ROW(DATABASE!$AV$14:$AV$968)) * (DATABASE!$AV$14:CA$968='Résultats observations'!$A34 ) * (DATABASE!$AW$14:$AW$968= AH$4))-ROW(DATABASE!$AV$14)+1,AH$5)),"")</f>
        <v/>
      </c>
      <c r="AI34" s="116">
        <f t="array" ref="AI34">IFERROR(_xlfn.SINGLE(INDEX(DATABASE!$AV$14:$BC$968,SUMPRODUCT((ROW(DATABASE!$AV$14:$AV$968)) * (DATABASE!$AV$14:CB$968='Résultats observations'!$A34 ) * (DATABASE!$AW$14:$AW$968= AI$4))-ROW(DATABASE!$AV$14)+1,AI$5)),"")</f>
        <v/>
      </c>
      <c r="AJ34" s="116">
        <f t="array" ref="AJ34">IFERROR(_xlfn.SINGLE(INDEX(DATABASE!$AV$14:$BC$968,SUMPRODUCT((ROW(DATABASE!$AV$14:$AV$968)) * (DATABASE!$AV$14:CC$968='Résultats observations'!$A34 ) * (DATABASE!$AW$14:$AW$968= AJ$4))-ROW(DATABASE!$AV$14)+1,AJ$5)),"")</f>
        <v/>
      </c>
      <c r="AK34" s="116">
        <f t="array" ref="AK34">IFERROR(_xlfn.SINGLE(INDEX(DATABASE!$AV$14:$BC$968,SUMPRODUCT((ROW(DATABASE!$AV$14:$AV$968)) * (DATABASE!$AV$14:CD$968='Résultats observations'!$A34 ) * (DATABASE!$AW$14:$AW$968= AK$4))-ROW(DATABASE!$AV$14)+1,AK$5)),"")</f>
        <v/>
      </c>
      <c r="AL34" s="116">
        <f t="array" ref="AL34">IFERROR(_xlfn.SINGLE(INDEX(DATABASE!$AV$14:$BC$968,SUMPRODUCT((ROW(DATABASE!$AV$14:$AV$968)) * (DATABASE!$AV$14:CE$968='Résultats observations'!$A34 ) * (DATABASE!$AW$14:$AW$968= AL$4))-ROW(DATABASE!$AV$14)+1,AL$5)),"")</f>
        <v/>
      </c>
      <c r="AM34" s="116">
        <f t="array" ref="AM34">IFERROR(_xlfn.SINGLE(INDEX(DATABASE!$AV$14:$BC$968,SUMPRODUCT((ROW(DATABASE!$AV$14:$AV$968)) * (DATABASE!$AV$14:CF$968='Résultats observations'!$A34 ) * (DATABASE!$AW$14:$AW$968= AM$4))-ROW(DATABASE!$AV$14)+1,AM$5)),"")</f>
        <v/>
      </c>
      <c r="AN34" s="116">
        <f t="array" ref="AN34">IFERROR(_xlfn.SINGLE(INDEX(DATABASE!$AV$14:$BC$968,SUMPRODUCT((ROW(DATABASE!$AV$14:$AV$968)) * (DATABASE!$AV$14:CG$968='Résultats observations'!$A34 ) * (DATABASE!$AW$14:$AW$968= AN$4))-ROW(DATABASE!$AV$14)+1,AN$5)),"")</f>
        <v/>
      </c>
      <c r="AO34" s="116">
        <f t="array" ref="AO34">IFERROR(_xlfn.SINGLE(INDEX(DATABASE!$AV$14:$BC$968,SUMPRODUCT((ROW(DATABASE!$AV$14:$AV$968)) * (DATABASE!$AV$14:CH$968='Résultats observations'!$A34 ) * (DATABASE!$AW$14:$AW$968= AO$4))-ROW(DATABASE!$AV$14)+1,AO$5)),"")</f>
        <v/>
      </c>
      <c r="AP34" s="116">
        <f t="array" ref="AP34">IFERROR(_xlfn.SINGLE(INDEX(DATABASE!$AV$14:$BC$968,SUMPRODUCT((ROW(DATABASE!$AV$14:$AV$968)) * (DATABASE!$AV$14:CI$968='Résultats observations'!$A34 ) * (DATABASE!$AW$14:$AW$968= AP$4))-ROW(DATABASE!$AV$14)+1,AP$5)),"")</f>
        <v/>
      </c>
      <c r="AQ34" s="116">
        <f t="array" ref="AQ34">IFERROR(_xlfn.SINGLE(INDEX(DATABASE!$AV$14:$BC$968,SUMPRODUCT((ROW(DATABASE!$AV$14:$AV$968)) * (DATABASE!$AV$14:CJ$968='Résultats observations'!$A34 ) * (DATABASE!$AW$14:$AW$968= AQ$4))-ROW(DATABASE!$AV$14)+1,AQ$5)),"")</f>
        <v/>
      </c>
      <c r="AR34" s="116">
        <f t="array" ref="AR34">IFERROR(_xlfn.SINGLE(INDEX(DATABASE!$AV$14:$BC$968,SUMPRODUCT((ROW(DATABASE!$AV$14:$AV$968)) * (DATABASE!$AV$14:CK$968='Résultats observations'!$A34 ) * (DATABASE!$AW$14:$AW$968= AR$4))-ROW(DATABASE!$AV$14)+1,AR$5)),"")</f>
        <v/>
      </c>
      <c r="AS34" s="116">
        <f t="array" ref="AS34">IFERROR(_xlfn.SINGLE(INDEX(DATABASE!$AV$14:$BC$968,SUMPRODUCT((ROW(DATABASE!$AV$14:$AV$968)) * (DATABASE!$AV$14:CL$968='Résultats observations'!$A34 ) * (DATABASE!$AW$14:$AW$968= AS$4))-ROW(DATABASE!$AV$14)+1,AS$5)),"")</f>
        <v/>
      </c>
      <c r="AT34" s="116">
        <f t="array" ref="AT34">IFERROR(_xlfn.SINGLE(INDEX(DATABASE!$AV$14:$BC$968,SUMPRODUCT((ROW(DATABASE!$AV$14:$AV$968)) * (DATABASE!$AV$14:CM$968='Résultats observations'!$A34 ) * (DATABASE!$AW$14:$AW$968= AT$4))-ROW(DATABASE!$AV$14)+1,AT$5)),"")</f>
        <v/>
      </c>
      <c r="AU34" s="116">
        <f t="array" ref="AU34">IFERROR(_xlfn.SINGLE(INDEX(DATABASE!$AV$14:$BC$968,SUMPRODUCT((ROW(DATABASE!$AV$14:$AV$968)) * (DATABASE!$AV$14:CN$968='Résultats observations'!$A34 ) * (DATABASE!$AW$14:$AW$968= AU$4))-ROW(DATABASE!$AV$14)+1,AU$5)),"")</f>
        <v/>
      </c>
      <c r="AV34" s="116">
        <f t="array" ref="AV34">IFERROR(_xlfn.SINGLE(INDEX(DATABASE!$AV$14:$BC$968,SUMPRODUCT((ROW(DATABASE!$AV$14:$AV$968)) * (DATABASE!$AV$14:CO$968='Résultats observations'!$A34 ) * (DATABASE!$AW$14:$AW$968= AV$4))-ROW(DATABASE!$AV$14)+1,AV$5)),"")</f>
        <v/>
      </c>
      <c r="AW34" s="116">
        <f t="array" ref="AW34">IFERROR(_xlfn.SINGLE(INDEX(DATABASE!$AV$14:$BC$968,SUMPRODUCT((ROW(DATABASE!$AV$14:$AV$968)) * (DATABASE!$AV$14:CP$968='Résultats observations'!$A34 ) * (DATABASE!$AW$14:$AW$968= AW$4))-ROW(DATABASE!$AV$14)+1,AW$5)),"")</f>
        <v/>
      </c>
      <c r="AX34" s="116">
        <f t="array" ref="AX34">IFERROR(_xlfn.SINGLE(INDEX(DATABASE!$AV$14:$BC$968,SUMPRODUCT((ROW(DATABASE!$AV$14:$AV$968)) * (DATABASE!$AV$14:CQ$968='Résultats observations'!$A34 ) * (DATABASE!$AW$14:$AW$968= AX$4))-ROW(DATABASE!$AV$14)+1,AX$5)),"")</f>
        <v/>
      </c>
      <c r="AY34" s="116">
        <f t="array" ref="AY34">IFERROR(_xlfn.SINGLE(INDEX(DATABASE!$AV$14:$BC$968,SUMPRODUCT((ROW(DATABASE!$AV$14:$AV$968)) * (DATABASE!$AV$14:CR$968='Résultats observations'!$A34 ) * (DATABASE!$AW$14:$AW$968= AY$4))-ROW(DATABASE!$AV$14)+1,AY$5)),"")</f>
        <v/>
      </c>
      <c r="AZ34" s="116">
        <f t="array" ref="AZ34">IFERROR(_xlfn.SINGLE(INDEX(DATABASE!$AV$14:$BC$968,SUMPRODUCT((ROW(DATABASE!$AV$14:$AV$968)) * (DATABASE!$AV$14:CS$968='Résultats observations'!$A34 ) * (DATABASE!$AW$14:$AW$968= AZ$4))-ROW(DATABASE!$AV$14)+1,AZ$5)),"")</f>
        <v/>
      </c>
      <c r="BA34" s="116">
        <f t="array" ref="BA34">IFERROR(_xlfn.SINGLE(INDEX(DATABASE!$AV$14:$BC$968,SUMPRODUCT((ROW(DATABASE!$AV$14:$AV$968)) * (DATABASE!$AV$14:CT$968='Résultats observations'!$A34 ) * (DATABASE!$AW$14:$AW$968= BA$4))-ROW(DATABASE!$AV$14)+1,BA$5)),"")</f>
        <v/>
      </c>
      <c r="BB34" s="116">
        <f t="array" ref="BB34">IFERROR(_xlfn.SINGLE(INDEX(DATABASE!$AV$14:$BC$968,SUMPRODUCT((ROW(DATABASE!$AV$14:$AV$968)) * (DATABASE!$AV$14:CU$968='Résultats observations'!$A34 ) * (DATABASE!$AW$14:$AW$968= BB$4))-ROW(DATABASE!$AV$14)+1,BB$5)),"")</f>
        <v/>
      </c>
      <c r="BC34" s="116">
        <f t="array" ref="BC34">IFERROR(_xlfn.SINGLE(INDEX(DATABASE!$AV$14:$BC$968,SUMPRODUCT((ROW(DATABASE!$AV$14:$AV$968)) * (DATABASE!$AV$14:CV$968='Résultats observations'!$A34 ) * (DATABASE!$AW$14:$AW$968= BC$4))-ROW(DATABASE!$AV$14)+1,BC$5)),"")</f>
        <v/>
      </c>
      <c r="BD34" s="116">
        <f t="array" ref="BD34">IFERROR(_xlfn.SINGLE(INDEX(DATABASE!$AV$14:$BC$968,SUMPRODUCT((ROW(DATABASE!$AV$14:$AV$968)) * (DATABASE!$AV$14:CW$968='Résultats observations'!$A34 ) * (DATABASE!$AW$14:$AW$968= BD$4))-ROW(DATABASE!$AV$14)+1,BD$5)),"")</f>
        <v/>
      </c>
      <c r="BE34" s="116">
        <f t="array" ref="BE34">IFERROR(_xlfn.SINGLE(INDEX(DATABASE!$AV$14:$BC$968,SUMPRODUCT((ROW(DATABASE!$AV$14:$AV$968)) * (DATABASE!$AV$14:CX$968='Résultats observations'!$A34 ) * (DATABASE!$AW$14:$AW$968= BE$4))-ROW(DATABASE!$AV$14)+1,BE$5)),"")</f>
        <v/>
      </c>
      <c r="BF34" s="116">
        <f t="array" ref="BF34">IFERROR(_xlfn.SINGLE(INDEX(DATABASE!$AV$14:$BC$968,SUMPRODUCT((ROW(DATABASE!$AV$14:$AV$968)) * (DATABASE!$AV$14:CY$968='Résultats observations'!$A34 ) * (DATABASE!$AW$14:$AW$968= BF$4))-ROW(DATABASE!$AV$14)+1,BF$5)),"")</f>
        <v/>
      </c>
      <c r="BG34" s="116">
        <f t="array" ref="BG34">IFERROR(_xlfn.SINGLE(INDEX(DATABASE!$AV$14:$BC$968,SUMPRODUCT((ROW(DATABASE!$AV$14:$AV$968)) * (DATABASE!$AV$14:CZ$968='Résultats observations'!$A34 ) * (DATABASE!$AW$14:$AW$968= BG$4))-ROW(DATABASE!$AV$14)+1,BG$5)),"")</f>
        <v/>
      </c>
      <c r="BH34" s="116">
        <f t="array" ref="BH34">IFERROR(_xlfn.SINGLE(INDEX(DATABASE!$AV$14:$BC$968,SUMPRODUCT((ROW(DATABASE!$AV$14:$AV$968)) * (DATABASE!$AV$14:DA$968='Résultats observations'!$A34 ) * (DATABASE!$AW$14:$AW$968= BH$4))-ROW(DATABASE!$AV$14)+1,BH$5)),"")</f>
        <v/>
      </c>
      <c r="BI34" s="116">
        <f t="array" ref="BI34">IFERROR(_xlfn.SINGLE(INDEX(DATABASE!$AV$14:$BC$968,SUMPRODUCT((ROW(DATABASE!$AV$14:$AV$968)) * (DATABASE!$AV$14:DB$968='Résultats observations'!$A34 ) * (DATABASE!$AW$14:$AW$968= BI$4))-ROW(DATABASE!$AV$14)+1,BI$5)),"")</f>
        <v/>
      </c>
      <c r="BJ34" s="116">
        <f t="array" ref="BJ34">IFERROR(_xlfn.SINGLE(INDEX(DATABASE!$AV$14:$BC$968,SUMPRODUCT((ROW(DATABASE!$AV$14:$AV$968)) * (DATABASE!$AV$14:DC$968='Résultats observations'!$A34 ) * (DATABASE!$AW$14:$AW$968= BJ$4))-ROW(DATABASE!$AV$14)+1,BJ$5)),"")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(DATABASE!AV$14:$AV$968='Résultats observations'!$A35 ) * (DATABASE!$AW$14:$AW$968= C$4))-ROW(DATABASE!$AV$14)+1,C$5)),"")</f>
        <v/>
      </c>
      <c r="D35" s="116">
        <f t="array" ref="D35">IFERROR(_xlfn.SINGLE(INDEX(DATABASE!$AV$14:$BC$968,SUMPRODUCT((ROW(DATABASE!$AV$14:$AV$968)) * (DATABASE!$AV$14:AW$968='Résultats observations'!$A35 ) * (DATABASE!$AW$14:$AW$968= D$4))-ROW(DATABASE!$AV$14)+1,D$5)),"")</f>
        <v/>
      </c>
      <c r="E35" s="116">
        <f t="array" ref="E35">IFERROR(_xlfn.SINGLE(INDEX(DATABASE!$AV$14:$BC$968,SUMPRODUCT((ROW(DATABASE!$AV$14:$AV$968)) * (DATABASE!$AV$14:AX$968='Résultats observations'!$A35 ) * (DATABASE!$AW$14:$AW$968= E$4))-ROW(DATABASE!$AV$14)+1,E$5)),"")</f>
        <v/>
      </c>
      <c r="F35" s="116">
        <f t="array" ref="F35">IFERROR(_xlfn.SINGLE(INDEX(DATABASE!$AV$14:$BC$968,SUMPRODUCT((ROW(DATABASE!$AV$14:$AV$968)) * (DATABASE!$AV$14:AY$968='Résultats observations'!$A35 ) * (DATABASE!$AW$14:$AW$968= F$4))-ROW(DATABASE!$AV$14)+1,F$5)),"")</f>
        <v/>
      </c>
      <c r="G35" s="116">
        <f t="array" ref="G35">IFERROR(_xlfn.SINGLE(INDEX(DATABASE!$AV$14:$BC$968,SUMPRODUCT((ROW(DATABASE!$AV$14:$AV$968)) * (DATABASE!$AV$14:AZ$968='Résultats observations'!$A35 ) * (DATABASE!$AW$14:$AW$968= G$4))-ROW(DATABASE!$AV$14)+1,G$5)),"")</f>
        <v/>
      </c>
      <c r="H35" s="116">
        <f t="array" ref="H35">IFERROR(_xlfn.SINGLE(INDEX(DATABASE!$AV$14:$BC$968,SUMPRODUCT((ROW(DATABASE!$AV$14:$AV$968)) * (DATABASE!$AV$14:BA$968='Résultats observations'!$A35 ) * (DATABASE!$AW$14:$AW$968= H$4))-ROW(DATABASE!$AV$14)+1,H$5)),"")</f>
        <v/>
      </c>
      <c r="I35" s="116">
        <f t="array" ref="I35">IFERROR(_xlfn.SINGLE(INDEX(DATABASE!$AV$14:$BC$968,SUMPRODUCT((ROW(DATABASE!$AV$14:$AV$968)) * (DATABASE!$AV$14:BB$968='Résultats observations'!$A35 ) * (DATABASE!$AW$14:$AW$968= I$4))-ROW(DATABASE!$AV$14)+1,I$5)),"")</f>
        <v/>
      </c>
      <c r="J35" s="116">
        <f t="array" ref="J35">IFERROR(_xlfn.SINGLE(INDEX(DATABASE!$AV$14:$BC$968,SUMPRODUCT((ROW(DATABASE!$AV$14:$AV$968)) * (DATABASE!$AV$14:BC$968='Résultats observations'!$A35 ) * (DATABASE!$AW$14:$AW$968= J$4))-ROW(DATABASE!$AV$14)+1,J$5)),"")</f>
        <v/>
      </c>
      <c r="K35" s="116">
        <f t="array" ref="K35">IFERROR(_xlfn.SINGLE(INDEX(DATABASE!$AV$14:$BC$968,SUMPRODUCT((ROW(DATABASE!$AV$14:$AV$968)) * (DATABASE!$AV$14:BD$968='Résultats observations'!$A35 ) * (DATABASE!$AW$14:$AW$968= K$4))-ROW(DATABASE!$AV$14)+1,K$5)),"")</f>
        <v/>
      </c>
      <c r="L35" s="116">
        <f t="array" ref="L35">IFERROR(_xlfn.SINGLE(INDEX(DATABASE!$AV$14:$BC$968,SUMPRODUCT((ROW(DATABASE!$AV$14:$AV$968)) * (DATABASE!$AV$14:BE$968='Résultats observations'!$A35 ) * (DATABASE!$AW$14:$AW$968= L$4))-ROW(DATABASE!$AV$14)+1,L$5)),"")</f>
        <v/>
      </c>
      <c r="M35" s="116">
        <f t="array" ref="M35">IFERROR(_xlfn.SINGLE(INDEX(DATABASE!$AV$14:$BC$968,SUMPRODUCT((ROW(DATABASE!$AV$14:$AV$968)) * (DATABASE!$AV$14:BF$968='Résultats observations'!$A35 ) * (DATABASE!$AW$14:$AW$968= M$4))-ROW(DATABASE!$AV$14)+1,M$5)),"")</f>
        <v/>
      </c>
      <c r="N35" s="116">
        <f t="array" ref="N35">IFERROR(_xlfn.SINGLE(INDEX(DATABASE!$AV$14:$BC$968,SUMPRODUCT((ROW(DATABASE!$AV$14:$AV$968)) * (DATABASE!$AV$14:BG$968='Résultats observations'!$A35 ) * (DATABASE!$AW$14:$AW$968= N$4))-ROW(DATABASE!$AV$14)+1,N$5)),"")</f>
        <v/>
      </c>
      <c r="O35" s="116">
        <f t="array" ref="O35">IFERROR(_xlfn.SINGLE(INDEX(DATABASE!$AV$14:$BC$968,SUMPRODUCT((ROW(DATABASE!$AV$14:$AV$968)) * (DATABASE!$AV$14:BH$968='Résultats observations'!$A35 ) * (DATABASE!$AW$14:$AW$968= O$4))-ROW(DATABASE!$AV$14)+1,O$5)),"")</f>
        <v/>
      </c>
      <c r="P35" s="116">
        <f t="array" ref="P35">IFERROR(_xlfn.SINGLE(INDEX(DATABASE!$AV$14:$BC$968,SUMPRODUCT((ROW(DATABASE!$AV$14:$AV$968)) * (DATABASE!$AV$14:BI$968='Résultats observations'!$A35 ) * (DATABASE!$AW$14:$AW$968= P$4))-ROW(DATABASE!$AV$14)+1,P$5)),"")</f>
        <v/>
      </c>
      <c r="Q35" s="116">
        <f t="array" ref="Q35">IFERROR(_xlfn.SINGLE(INDEX(DATABASE!$AV$14:$BC$968,SUMPRODUCT((ROW(DATABASE!$AV$14:$AV$968)) * (DATABASE!$AV$14:BJ$968='Résultats observations'!$A35 ) * (DATABASE!$AW$14:$AW$968= Q$4))-ROW(DATABASE!$AV$14)+1,Q$5)),"")</f>
        <v/>
      </c>
      <c r="R35" s="116">
        <f t="array" ref="R35">IFERROR(_xlfn.SINGLE(INDEX(DATABASE!$AV$14:$BC$968,SUMPRODUCT((ROW(DATABASE!$AV$14:$AV$968)) * (DATABASE!$AV$14:BK$968='Résultats observations'!$A35 ) * (DATABASE!$AW$14:$AW$968= R$4))-ROW(DATABASE!$AV$14)+1,R$5)),"")</f>
        <v/>
      </c>
      <c r="S35" s="116">
        <f t="array" ref="S35">IFERROR(_xlfn.SINGLE(INDEX(DATABASE!$AV$14:$BC$968,SUMPRODUCT((ROW(DATABASE!$AV$14:$AV$968)) * (DATABASE!$AV$14:BL$968='Résultats observations'!$A35 ) * (DATABASE!$AW$14:$AW$968= S$4))-ROW(DATABASE!$AV$14)+1,S$5)),"")</f>
        <v/>
      </c>
      <c r="T35" s="116">
        <f t="array" ref="T35">IFERROR(_xlfn.SINGLE(INDEX(DATABASE!$AV$14:$BC$968,SUMPRODUCT((ROW(DATABASE!$AV$14:$AV$968)) * (DATABASE!$AV$14:BM$968='Résultats observations'!$A35 ) * (DATABASE!$AW$14:$AW$968= T$4))-ROW(DATABASE!$AV$14)+1,T$5)),"")</f>
        <v/>
      </c>
      <c r="U35" s="116">
        <f t="array" ref="U35">IFERROR(_xlfn.SINGLE(INDEX(DATABASE!$AV$14:$BC$968,SUMPRODUCT((ROW(DATABASE!$AV$14:$AV$968)) * (DATABASE!$AV$14:BN$968='Résultats observations'!$A35 ) * (DATABASE!$AW$14:$AW$968= U$4))-ROW(DATABASE!$AV$14)+1,U$5)),"")</f>
        <v/>
      </c>
      <c r="V35" s="116">
        <f t="array" ref="V35">IFERROR(_xlfn.SINGLE(INDEX(DATABASE!$AV$14:$BC$968,SUMPRODUCT((ROW(DATABASE!$AV$14:$AV$968)) * (DATABASE!$AV$14:BO$968='Résultats observations'!$A35 ) * (DATABASE!$AW$14:$AW$968= V$4))-ROW(DATABASE!$AV$14)+1,V$5)),"")</f>
        <v/>
      </c>
      <c r="W35" s="116">
        <f t="array" ref="W35">IFERROR(_xlfn.SINGLE(INDEX(DATABASE!$AV$14:$BC$968,SUMPRODUCT((ROW(DATABASE!$AV$14:$AV$968)) * (DATABASE!$AV$14:BP$968='Résultats observations'!$A35 ) * (DATABASE!$AW$14:$AW$968= W$4))-ROW(DATABASE!$AV$14)+1,W$5)),"")</f>
        <v/>
      </c>
      <c r="X35" s="116">
        <f t="array" ref="X35">IFERROR(_xlfn.SINGLE(INDEX(DATABASE!$AV$14:$BC$968,SUMPRODUCT((ROW(DATABASE!$AV$14:$AV$968)) * (DATABASE!$AV$14:BQ$968='Résultats observations'!$A35 ) * (DATABASE!$AW$14:$AW$968= X$4))-ROW(DATABASE!$AV$14)+1,X$5)),"")</f>
        <v/>
      </c>
      <c r="Y35" s="116">
        <f t="array" ref="Y35">IFERROR(_xlfn.SINGLE(INDEX(DATABASE!$AV$14:$BC$968,SUMPRODUCT((ROW(DATABASE!$AV$14:$AV$968)) * (DATABASE!$AV$14:BR$968='Résultats observations'!$A35 ) * (DATABASE!$AW$14:$AW$968= Y$4))-ROW(DATABASE!$AV$14)+1,Y$5)),"")</f>
        <v/>
      </c>
      <c r="Z35" s="116">
        <f t="array" ref="Z35">IFERROR(_xlfn.SINGLE(INDEX(DATABASE!$AV$14:$BC$968,SUMPRODUCT((ROW(DATABASE!$AV$14:$AV$968)) * (DATABASE!$AV$14:BS$968='Résultats observations'!$A35 ) * (DATABASE!$AW$14:$AW$968= Z$4))-ROW(DATABASE!$AV$14)+1,Z$5)),"")</f>
        <v/>
      </c>
      <c r="AA35" s="116">
        <f t="array" ref="AA35">IFERROR(_xlfn.SINGLE(INDEX(DATABASE!$AV$14:$BC$968,SUMPRODUCT((ROW(DATABASE!$AV$14:$AV$968)) * (DATABASE!$AV$14:BT$968='Résultats observations'!$A35 ) * (DATABASE!$AW$14:$AW$968= AA$4))-ROW(DATABASE!$AV$14)+1,AA$5)),"")</f>
        <v/>
      </c>
      <c r="AB35" s="116">
        <f t="array" ref="AB35">IFERROR(_xlfn.SINGLE(INDEX(DATABASE!$AV$14:$BC$968,SUMPRODUCT((ROW(DATABASE!$AV$14:$AV$968)) * (DATABASE!$AV$14:BU$968='Résultats observations'!$A35 ) * (DATABASE!$AW$14:$AW$968= AB$4))-ROW(DATABASE!$AV$14)+1,AB$5)),"")</f>
        <v/>
      </c>
      <c r="AC35" s="116">
        <f t="array" ref="AC35">IFERROR(_xlfn.SINGLE(INDEX(DATABASE!$AV$14:$BC$968,SUMPRODUCT((ROW(DATABASE!$AV$14:$AV$968)) * (DATABASE!$AV$14:BV$968='Résultats observations'!$A35 ) * (DATABASE!$AW$14:$AW$968= AC$4))-ROW(DATABASE!$AV$14)+1,AC$5)),"")</f>
        <v/>
      </c>
      <c r="AD35" s="116">
        <f t="array" ref="AD35">IFERROR(_xlfn.SINGLE(INDEX(DATABASE!$AV$14:$BC$968,SUMPRODUCT((ROW(DATABASE!$AV$14:$AV$968)) * (DATABASE!$AV$14:BW$968='Résultats observations'!$A35 ) * (DATABASE!$AW$14:$AW$968= AD$4))-ROW(DATABASE!$AV$14)+1,AD$5)),"")</f>
        <v/>
      </c>
      <c r="AE35" s="116">
        <f t="array" ref="AE35">IFERROR(_xlfn.SINGLE(INDEX(DATABASE!$AV$14:$BC$968,SUMPRODUCT((ROW(DATABASE!$AV$14:$AV$968)) * (DATABASE!$AV$14:BX$968='Résultats observations'!$A35 ) * (DATABASE!$AW$14:$AW$968= AE$4))-ROW(DATABASE!$AV$14)+1,AE$5)),"")</f>
        <v/>
      </c>
      <c r="AF35" s="116">
        <f t="array" ref="AF35">IFERROR(_xlfn.SINGLE(INDEX(DATABASE!$AV$14:$BC$968,SUMPRODUCT((ROW(DATABASE!$AV$14:$AV$968)) * (DATABASE!$AV$14:BY$968='Résultats observations'!$A35 ) * (DATABASE!$AW$14:$AW$968= AF$4))-ROW(DATABASE!$AV$14)+1,AF$5)),"")</f>
        <v/>
      </c>
      <c r="AG35" s="116">
        <f t="array" ref="AG35">IFERROR(_xlfn.SINGLE(INDEX(DATABASE!$AV$14:$BC$968,SUMPRODUCT((ROW(DATABASE!$AV$14:$AV$968)) * (DATABASE!$AV$14:BZ$968='Résultats observations'!$A35 ) * (DATABASE!$AW$14:$AW$968= AG$4))-ROW(DATABASE!$AV$14)+1,AG$5)),"")</f>
        <v/>
      </c>
      <c r="AH35" s="116">
        <f t="array" ref="AH35">IFERROR(_xlfn.SINGLE(INDEX(DATABASE!$AV$14:$BC$968,SUMPRODUCT((ROW(DATABASE!$AV$14:$AV$968)) * (DATABASE!$AV$14:CA$968='Résultats observations'!$A35 ) * (DATABASE!$AW$14:$AW$968= AH$4))-ROW(DATABASE!$AV$14)+1,AH$5)),"")</f>
        <v/>
      </c>
      <c r="AI35" s="116">
        <f t="array" ref="AI35">IFERROR(_xlfn.SINGLE(INDEX(DATABASE!$AV$14:$BC$968,SUMPRODUCT((ROW(DATABASE!$AV$14:$AV$968)) * (DATABASE!$AV$14:CB$968='Résultats observations'!$A35 ) * (DATABASE!$AW$14:$AW$968= AI$4))-ROW(DATABASE!$AV$14)+1,AI$5)),"")</f>
        <v/>
      </c>
      <c r="AJ35" s="116">
        <f t="array" ref="AJ35">IFERROR(_xlfn.SINGLE(INDEX(DATABASE!$AV$14:$BC$968,SUMPRODUCT((ROW(DATABASE!$AV$14:$AV$968)) * (DATABASE!$AV$14:CC$968='Résultats observations'!$A35 ) * (DATABASE!$AW$14:$AW$968= AJ$4))-ROW(DATABASE!$AV$14)+1,AJ$5)),"")</f>
        <v/>
      </c>
      <c r="AK35" s="116">
        <f t="array" ref="AK35">IFERROR(_xlfn.SINGLE(INDEX(DATABASE!$AV$14:$BC$968,SUMPRODUCT((ROW(DATABASE!$AV$14:$AV$968)) * (DATABASE!$AV$14:CD$968='Résultats observations'!$A35 ) * (DATABASE!$AW$14:$AW$968= AK$4))-ROW(DATABASE!$AV$14)+1,AK$5)),"")</f>
        <v/>
      </c>
      <c r="AL35" s="116">
        <f t="array" ref="AL35">IFERROR(_xlfn.SINGLE(INDEX(DATABASE!$AV$14:$BC$968,SUMPRODUCT((ROW(DATABASE!$AV$14:$AV$968)) * (DATABASE!$AV$14:CE$968='Résultats observations'!$A35 ) * (DATABASE!$AW$14:$AW$968= AL$4))-ROW(DATABASE!$AV$14)+1,AL$5)),"")</f>
        <v/>
      </c>
      <c r="AM35" s="116">
        <f t="array" ref="AM35">IFERROR(_xlfn.SINGLE(INDEX(DATABASE!$AV$14:$BC$968,SUMPRODUCT((ROW(DATABASE!$AV$14:$AV$968)) * (DATABASE!$AV$14:CF$968='Résultats observations'!$A35 ) * (DATABASE!$AW$14:$AW$968= AM$4))-ROW(DATABASE!$AV$14)+1,AM$5)),"")</f>
        <v/>
      </c>
      <c r="AN35" s="116">
        <f t="array" ref="AN35">IFERROR(_xlfn.SINGLE(INDEX(DATABASE!$AV$14:$BC$968,SUMPRODUCT((ROW(DATABASE!$AV$14:$AV$968)) * (DATABASE!$AV$14:CG$968='Résultats observations'!$A35 ) * (DATABASE!$AW$14:$AW$968= AN$4))-ROW(DATABASE!$AV$14)+1,AN$5)),"")</f>
        <v/>
      </c>
      <c r="AO35" s="116">
        <f t="array" ref="AO35">IFERROR(_xlfn.SINGLE(INDEX(DATABASE!$AV$14:$BC$968,SUMPRODUCT((ROW(DATABASE!$AV$14:$AV$968)) * (DATABASE!$AV$14:CH$968='Résultats observations'!$A35 ) * (DATABASE!$AW$14:$AW$968= AO$4))-ROW(DATABASE!$AV$14)+1,AO$5)),"")</f>
        <v/>
      </c>
      <c r="AP35" s="116">
        <f t="array" ref="AP35">IFERROR(_xlfn.SINGLE(INDEX(DATABASE!$AV$14:$BC$968,SUMPRODUCT((ROW(DATABASE!$AV$14:$AV$968)) * (DATABASE!$AV$14:CI$968='Résultats observations'!$A35 ) * (DATABASE!$AW$14:$AW$968= AP$4))-ROW(DATABASE!$AV$14)+1,AP$5)),"")</f>
        <v/>
      </c>
      <c r="AQ35" s="116">
        <f t="array" ref="AQ35">IFERROR(_xlfn.SINGLE(INDEX(DATABASE!$AV$14:$BC$968,SUMPRODUCT((ROW(DATABASE!$AV$14:$AV$968)) * (DATABASE!$AV$14:CJ$968='Résultats observations'!$A35 ) * (DATABASE!$AW$14:$AW$968= AQ$4))-ROW(DATABASE!$AV$14)+1,AQ$5)),"")</f>
        <v/>
      </c>
      <c r="AR35" s="116">
        <f t="array" ref="AR35">IFERROR(_xlfn.SINGLE(INDEX(DATABASE!$AV$14:$BC$968,SUMPRODUCT((ROW(DATABASE!$AV$14:$AV$968)) * (DATABASE!$AV$14:CK$968='Résultats observations'!$A35 ) * (DATABASE!$AW$14:$AW$968= AR$4))-ROW(DATABASE!$AV$14)+1,AR$5)),"")</f>
        <v/>
      </c>
      <c r="AS35" s="116">
        <f t="array" ref="AS35">IFERROR(_xlfn.SINGLE(INDEX(DATABASE!$AV$14:$BC$968,SUMPRODUCT((ROW(DATABASE!$AV$14:$AV$968)) * (DATABASE!$AV$14:CL$968='Résultats observations'!$A35 ) * (DATABASE!$AW$14:$AW$968= AS$4))-ROW(DATABASE!$AV$14)+1,AS$5)),"")</f>
        <v/>
      </c>
      <c r="AT35" s="116">
        <f t="array" ref="AT35">IFERROR(_xlfn.SINGLE(INDEX(DATABASE!$AV$14:$BC$968,SUMPRODUCT((ROW(DATABASE!$AV$14:$AV$968)) * (DATABASE!$AV$14:CM$968='Résultats observations'!$A35 ) * (DATABASE!$AW$14:$AW$968= AT$4))-ROW(DATABASE!$AV$14)+1,AT$5)),"")</f>
        <v/>
      </c>
      <c r="AU35" s="116">
        <f t="array" ref="AU35">IFERROR(_xlfn.SINGLE(INDEX(DATABASE!$AV$14:$BC$968,SUMPRODUCT((ROW(DATABASE!$AV$14:$AV$968)) * (DATABASE!$AV$14:CN$968='Résultats observations'!$A35 ) * (DATABASE!$AW$14:$AW$968= AU$4))-ROW(DATABASE!$AV$14)+1,AU$5)),"")</f>
        <v/>
      </c>
      <c r="AV35" s="116">
        <f t="array" ref="AV35">IFERROR(_xlfn.SINGLE(INDEX(DATABASE!$AV$14:$BC$968,SUMPRODUCT((ROW(DATABASE!$AV$14:$AV$968)) * (DATABASE!$AV$14:CO$968='Résultats observations'!$A35 ) * (DATABASE!$AW$14:$AW$968= AV$4))-ROW(DATABASE!$AV$14)+1,AV$5)),"")</f>
        <v/>
      </c>
      <c r="AW35" s="116">
        <f t="array" ref="AW35">IFERROR(_xlfn.SINGLE(INDEX(DATABASE!$AV$14:$BC$968,SUMPRODUCT((ROW(DATABASE!$AV$14:$AV$968)) * (DATABASE!$AV$14:CP$968='Résultats observations'!$A35 ) * (DATABASE!$AW$14:$AW$968= AW$4))-ROW(DATABASE!$AV$14)+1,AW$5)),"")</f>
        <v/>
      </c>
      <c r="AX35" s="116">
        <f t="array" ref="AX35">IFERROR(_xlfn.SINGLE(INDEX(DATABASE!$AV$14:$BC$968,SUMPRODUCT((ROW(DATABASE!$AV$14:$AV$968)) * (DATABASE!$AV$14:CQ$968='Résultats observations'!$A35 ) * (DATABASE!$AW$14:$AW$968= AX$4))-ROW(DATABASE!$AV$14)+1,AX$5)),"")</f>
        <v/>
      </c>
      <c r="AY35" s="116">
        <f t="array" ref="AY35">IFERROR(_xlfn.SINGLE(INDEX(DATABASE!$AV$14:$BC$968,SUMPRODUCT((ROW(DATABASE!$AV$14:$AV$968)) * (DATABASE!$AV$14:CR$968='Résultats observations'!$A35 ) * (DATABASE!$AW$14:$AW$968= AY$4))-ROW(DATABASE!$AV$14)+1,AY$5)),"")</f>
        <v/>
      </c>
      <c r="AZ35" s="116">
        <f t="array" ref="AZ35">IFERROR(_xlfn.SINGLE(INDEX(DATABASE!$AV$14:$BC$968,SUMPRODUCT((ROW(DATABASE!$AV$14:$AV$968)) * (DATABASE!$AV$14:CS$968='Résultats observations'!$A35 ) * (DATABASE!$AW$14:$AW$968= AZ$4))-ROW(DATABASE!$AV$14)+1,AZ$5)),"")</f>
        <v/>
      </c>
      <c r="BA35" s="116">
        <f t="array" ref="BA35">IFERROR(_xlfn.SINGLE(INDEX(DATABASE!$AV$14:$BC$968,SUMPRODUCT((ROW(DATABASE!$AV$14:$AV$968)) * (DATABASE!$AV$14:CT$968='Résultats observations'!$A35 ) * (DATABASE!$AW$14:$AW$968= BA$4))-ROW(DATABASE!$AV$14)+1,BA$5)),"")</f>
        <v/>
      </c>
      <c r="BB35" s="116">
        <f t="array" ref="BB35">IFERROR(_xlfn.SINGLE(INDEX(DATABASE!$AV$14:$BC$968,SUMPRODUCT((ROW(DATABASE!$AV$14:$AV$968)) * (DATABASE!$AV$14:CU$968='Résultats observations'!$A35 ) * (DATABASE!$AW$14:$AW$968= BB$4))-ROW(DATABASE!$AV$14)+1,BB$5)),"")</f>
        <v/>
      </c>
      <c r="BC35" s="116">
        <f t="array" ref="BC35">IFERROR(_xlfn.SINGLE(INDEX(DATABASE!$AV$14:$BC$968,SUMPRODUCT((ROW(DATABASE!$AV$14:$AV$968)) * (DATABASE!$AV$14:CV$968='Résultats observations'!$A35 ) * (DATABASE!$AW$14:$AW$968= BC$4))-ROW(DATABASE!$AV$14)+1,BC$5)),"")</f>
        <v/>
      </c>
      <c r="BD35" s="116">
        <f t="array" ref="BD35">IFERROR(_xlfn.SINGLE(INDEX(DATABASE!$AV$14:$BC$968,SUMPRODUCT((ROW(DATABASE!$AV$14:$AV$968)) * (DATABASE!$AV$14:CW$968='Résultats observations'!$A35 ) * (DATABASE!$AW$14:$AW$968= BD$4))-ROW(DATABASE!$AV$14)+1,BD$5)),"")</f>
        <v/>
      </c>
      <c r="BE35" s="116">
        <f t="array" ref="BE35">IFERROR(_xlfn.SINGLE(INDEX(DATABASE!$AV$14:$BC$968,SUMPRODUCT((ROW(DATABASE!$AV$14:$AV$968)) * (DATABASE!$AV$14:CX$968='Résultats observations'!$A35 ) * (DATABASE!$AW$14:$AW$968= BE$4))-ROW(DATABASE!$AV$14)+1,BE$5)),"")</f>
        <v/>
      </c>
      <c r="BF35" s="116">
        <f t="array" ref="BF35">IFERROR(_xlfn.SINGLE(INDEX(DATABASE!$AV$14:$BC$968,SUMPRODUCT((ROW(DATABASE!$AV$14:$AV$968)) * (DATABASE!$AV$14:CY$968='Résultats observations'!$A35 ) * (DATABASE!$AW$14:$AW$968= BF$4))-ROW(DATABASE!$AV$14)+1,BF$5)),"")</f>
        <v/>
      </c>
      <c r="BG35" s="116">
        <f t="array" ref="BG35">IFERROR(_xlfn.SINGLE(INDEX(DATABASE!$AV$14:$BC$968,SUMPRODUCT((ROW(DATABASE!$AV$14:$AV$968)) * (DATABASE!$AV$14:CZ$968='Résultats observations'!$A35 ) * (DATABASE!$AW$14:$AW$968= BG$4))-ROW(DATABASE!$AV$14)+1,BG$5)),"")</f>
        <v/>
      </c>
      <c r="BH35" s="116">
        <f t="array" ref="BH35">IFERROR(_xlfn.SINGLE(INDEX(DATABASE!$AV$14:$BC$968,SUMPRODUCT((ROW(DATABASE!$AV$14:$AV$968)) * (DATABASE!$AV$14:DA$968='Résultats observations'!$A35 ) * (DATABASE!$AW$14:$AW$968= BH$4))-ROW(DATABASE!$AV$14)+1,BH$5)),"")</f>
        <v/>
      </c>
      <c r="BI35" s="116">
        <f t="array" ref="BI35">IFERROR(_xlfn.SINGLE(INDEX(DATABASE!$AV$14:$BC$968,SUMPRODUCT((ROW(DATABASE!$AV$14:$AV$968)) * (DATABASE!$AV$14:DB$968='Résultats observations'!$A35 ) * (DATABASE!$AW$14:$AW$968= BI$4))-ROW(DATABASE!$AV$14)+1,BI$5)),"")</f>
        <v/>
      </c>
      <c r="BJ35" s="116">
        <f t="array" ref="BJ35">IFERROR(_xlfn.SINGLE(INDEX(DATABASE!$AV$14:$BC$968,SUMPRODUCT((ROW(DATABASE!$AV$14:$AV$968)) * (DATABASE!$AV$14:DC$968='Résultats observations'!$A35 ) * (DATABASE!$AW$14:$AW$968= BJ$4))-ROW(DATABASE!$AV$14)+1,BJ$5)),"")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(DATABASE!AV$14:$AV$968='Résultats observations'!$A36 ) * (DATABASE!$AW$14:$AW$968= C$4))-ROW(DATABASE!$AV$14)+1,C$5)),"")</f>
        <v/>
      </c>
      <c r="D36" s="116">
        <f t="array" ref="D36">IFERROR(_xlfn.SINGLE(INDEX(DATABASE!$AV$14:$BC$968,SUMPRODUCT((ROW(DATABASE!$AV$14:$AV$968)) * (DATABASE!$AV$14:AW$968='Résultats observations'!$A36 ) * (DATABASE!$AW$14:$AW$968= D$4))-ROW(DATABASE!$AV$14)+1,D$5)),"")</f>
        <v/>
      </c>
      <c r="E36" s="116">
        <f t="array" ref="E36">IFERROR(_xlfn.SINGLE(INDEX(DATABASE!$AV$14:$BC$968,SUMPRODUCT((ROW(DATABASE!$AV$14:$AV$968)) * (DATABASE!$AV$14:AX$968='Résultats observations'!$A36 ) * (DATABASE!$AW$14:$AW$968= E$4))-ROW(DATABASE!$AV$14)+1,E$5)),"")</f>
        <v/>
      </c>
      <c r="F36" s="116">
        <f t="array" ref="F36">IFERROR(_xlfn.SINGLE(INDEX(DATABASE!$AV$14:$BC$968,SUMPRODUCT((ROW(DATABASE!$AV$14:$AV$968)) * (DATABASE!$AV$14:AY$968='Résultats observations'!$A36 ) * (DATABASE!$AW$14:$AW$968= F$4))-ROW(DATABASE!$AV$14)+1,F$5)),"")</f>
        <v/>
      </c>
      <c r="G36" s="116">
        <f t="array" ref="G36">IFERROR(_xlfn.SINGLE(INDEX(DATABASE!$AV$14:$BC$968,SUMPRODUCT((ROW(DATABASE!$AV$14:$AV$968)) * (DATABASE!$AV$14:AZ$968='Résultats observations'!$A36 ) * (DATABASE!$AW$14:$AW$968= G$4))-ROW(DATABASE!$AV$14)+1,G$5)),"")</f>
        <v/>
      </c>
      <c r="H36" s="116">
        <f t="array" ref="H36">IFERROR(_xlfn.SINGLE(INDEX(DATABASE!$AV$14:$BC$968,SUMPRODUCT((ROW(DATABASE!$AV$14:$AV$968)) * (DATABASE!$AV$14:BA$968='Résultats observations'!$A36 ) * (DATABASE!$AW$14:$AW$968= H$4))-ROW(DATABASE!$AV$14)+1,H$5)),"")</f>
        <v/>
      </c>
      <c r="I36" s="116">
        <f t="array" ref="I36">IFERROR(_xlfn.SINGLE(INDEX(DATABASE!$AV$14:$BC$968,SUMPRODUCT((ROW(DATABASE!$AV$14:$AV$968)) * (DATABASE!$AV$14:BB$968='Résultats observations'!$A36 ) * (DATABASE!$AW$14:$AW$968= I$4))-ROW(DATABASE!$AV$14)+1,I$5)),"")</f>
        <v/>
      </c>
      <c r="J36" s="116">
        <f t="array" ref="J36">IFERROR(_xlfn.SINGLE(INDEX(DATABASE!$AV$14:$BC$968,SUMPRODUCT((ROW(DATABASE!$AV$14:$AV$968)) * (DATABASE!$AV$14:BC$968='Résultats observations'!$A36 ) * (DATABASE!$AW$14:$AW$968= J$4))-ROW(DATABASE!$AV$14)+1,J$5)),"")</f>
        <v/>
      </c>
      <c r="K36" s="116">
        <f t="array" ref="K36">IFERROR(_xlfn.SINGLE(INDEX(DATABASE!$AV$14:$BC$968,SUMPRODUCT((ROW(DATABASE!$AV$14:$AV$968)) * (DATABASE!$AV$14:BD$968='Résultats observations'!$A36 ) * (DATABASE!$AW$14:$AW$968= K$4))-ROW(DATABASE!$AV$14)+1,K$5)),"")</f>
        <v/>
      </c>
      <c r="L36" s="116">
        <f t="array" ref="L36">IFERROR(_xlfn.SINGLE(INDEX(DATABASE!$AV$14:$BC$968,SUMPRODUCT((ROW(DATABASE!$AV$14:$AV$968)) * (DATABASE!$AV$14:BE$968='Résultats observations'!$A36 ) * (DATABASE!$AW$14:$AW$968= L$4))-ROW(DATABASE!$AV$14)+1,L$5)),"")</f>
        <v/>
      </c>
      <c r="M36" s="116">
        <f t="array" ref="M36">IFERROR(_xlfn.SINGLE(INDEX(DATABASE!$AV$14:$BC$968,SUMPRODUCT((ROW(DATABASE!$AV$14:$AV$968)) * (DATABASE!$AV$14:BF$968='Résultats observations'!$A36 ) * (DATABASE!$AW$14:$AW$968= M$4))-ROW(DATABASE!$AV$14)+1,M$5)),"")</f>
        <v/>
      </c>
      <c r="N36" s="116">
        <f t="array" ref="N36">IFERROR(_xlfn.SINGLE(INDEX(DATABASE!$AV$14:$BC$968,SUMPRODUCT((ROW(DATABASE!$AV$14:$AV$968)) * (DATABASE!$AV$14:BG$968='Résultats observations'!$A36 ) * (DATABASE!$AW$14:$AW$968= N$4))-ROW(DATABASE!$AV$14)+1,N$5)),"")</f>
        <v/>
      </c>
      <c r="O36" s="116">
        <f t="array" ref="O36">IFERROR(_xlfn.SINGLE(INDEX(DATABASE!$AV$14:$BC$968,SUMPRODUCT((ROW(DATABASE!$AV$14:$AV$968)) * (DATABASE!$AV$14:BH$968='Résultats observations'!$A36 ) * (DATABASE!$AW$14:$AW$968= O$4))-ROW(DATABASE!$AV$14)+1,O$5)),"")</f>
        <v/>
      </c>
      <c r="P36" s="116">
        <f t="array" ref="P36">IFERROR(_xlfn.SINGLE(INDEX(DATABASE!$AV$14:$BC$968,SUMPRODUCT((ROW(DATABASE!$AV$14:$AV$968)) * (DATABASE!$AV$14:BI$968='Résultats observations'!$A36 ) * (DATABASE!$AW$14:$AW$968= P$4))-ROW(DATABASE!$AV$14)+1,P$5)),"")</f>
        <v/>
      </c>
      <c r="Q36" s="116">
        <f t="array" ref="Q36">IFERROR(_xlfn.SINGLE(INDEX(DATABASE!$AV$14:$BC$968,SUMPRODUCT((ROW(DATABASE!$AV$14:$AV$968)) * (DATABASE!$AV$14:BJ$968='Résultats observations'!$A36 ) * (DATABASE!$AW$14:$AW$968= Q$4))-ROW(DATABASE!$AV$14)+1,Q$5)),"")</f>
        <v/>
      </c>
      <c r="R36" s="116">
        <f t="array" ref="R36">IFERROR(_xlfn.SINGLE(INDEX(DATABASE!$AV$14:$BC$968,SUMPRODUCT((ROW(DATABASE!$AV$14:$AV$968)) * (DATABASE!$AV$14:BK$968='Résultats observations'!$A36 ) * (DATABASE!$AW$14:$AW$968= R$4))-ROW(DATABASE!$AV$14)+1,R$5)),"")</f>
        <v/>
      </c>
      <c r="S36" s="116">
        <f t="array" ref="S36">IFERROR(_xlfn.SINGLE(INDEX(DATABASE!$AV$14:$BC$968,SUMPRODUCT((ROW(DATABASE!$AV$14:$AV$968)) * (DATABASE!$AV$14:BL$968='Résultats observations'!$A36 ) * (DATABASE!$AW$14:$AW$968= S$4))-ROW(DATABASE!$AV$14)+1,S$5)),"")</f>
        <v/>
      </c>
      <c r="T36" s="116">
        <f t="array" ref="T36">IFERROR(_xlfn.SINGLE(INDEX(DATABASE!$AV$14:$BC$968,SUMPRODUCT((ROW(DATABASE!$AV$14:$AV$968)) * (DATABASE!$AV$14:BM$968='Résultats observations'!$A36 ) * (DATABASE!$AW$14:$AW$968= T$4))-ROW(DATABASE!$AV$14)+1,T$5)),"")</f>
        <v/>
      </c>
      <c r="U36" s="116">
        <f t="array" ref="U36">IFERROR(_xlfn.SINGLE(INDEX(DATABASE!$AV$14:$BC$968,SUMPRODUCT((ROW(DATABASE!$AV$14:$AV$968)) * (DATABASE!$AV$14:BN$968='Résultats observations'!$A36 ) * (DATABASE!$AW$14:$AW$968= U$4))-ROW(DATABASE!$AV$14)+1,U$5)),"")</f>
        <v/>
      </c>
      <c r="V36" s="116">
        <f t="array" ref="V36">IFERROR(_xlfn.SINGLE(INDEX(DATABASE!$AV$14:$BC$968,SUMPRODUCT((ROW(DATABASE!$AV$14:$AV$968)) * (DATABASE!$AV$14:BO$968='Résultats observations'!$A36 ) * (DATABASE!$AW$14:$AW$968= V$4))-ROW(DATABASE!$AV$14)+1,V$5)),"")</f>
        <v/>
      </c>
      <c r="W36" s="116">
        <f t="array" ref="W36">IFERROR(_xlfn.SINGLE(INDEX(DATABASE!$AV$14:$BC$968,SUMPRODUCT((ROW(DATABASE!$AV$14:$AV$968)) * (DATABASE!$AV$14:BP$968='Résultats observations'!$A36 ) * (DATABASE!$AW$14:$AW$968= W$4))-ROW(DATABASE!$AV$14)+1,W$5)),"")</f>
        <v/>
      </c>
      <c r="X36" s="116">
        <f t="array" ref="X36">IFERROR(_xlfn.SINGLE(INDEX(DATABASE!$AV$14:$BC$968,SUMPRODUCT((ROW(DATABASE!$AV$14:$AV$968)) * (DATABASE!$AV$14:BQ$968='Résultats observations'!$A36 ) * (DATABASE!$AW$14:$AW$968= X$4))-ROW(DATABASE!$AV$14)+1,X$5)),"")</f>
        <v/>
      </c>
      <c r="Y36" s="116">
        <f t="array" ref="Y36">IFERROR(_xlfn.SINGLE(INDEX(DATABASE!$AV$14:$BC$968,SUMPRODUCT((ROW(DATABASE!$AV$14:$AV$968)) * (DATABASE!$AV$14:BR$968='Résultats observations'!$A36 ) * (DATABASE!$AW$14:$AW$968= Y$4))-ROW(DATABASE!$AV$14)+1,Y$5)),"")</f>
        <v/>
      </c>
      <c r="Z36" s="116">
        <f t="array" ref="Z36">IFERROR(_xlfn.SINGLE(INDEX(DATABASE!$AV$14:$BC$968,SUMPRODUCT((ROW(DATABASE!$AV$14:$AV$968)) * (DATABASE!$AV$14:BS$968='Résultats observations'!$A36 ) * (DATABASE!$AW$14:$AW$968= Z$4))-ROW(DATABASE!$AV$14)+1,Z$5)),"")</f>
        <v/>
      </c>
      <c r="AA36" s="116">
        <f t="array" ref="AA36">IFERROR(_xlfn.SINGLE(INDEX(DATABASE!$AV$14:$BC$968,SUMPRODUCT((ROW(DATABASE!$AV$14:$AV$968)) * (DATABASE!$AV$14:BT$968='Résultats observations'!$A36 ) * (DATABASE!$AW$14:$AW$968= AA$4))-ROW(DATABASE!$AV$14)+1,AA$5)),"")</f>
        <v/>
      </c>
      <c r="AB36" s="116">
        <f t="array" ref="AB36">IFERROR(_xlfn.SINGLE(INDEX(DATABASE!$AV$14:$BC$968,SUMPRODUCT((ROW(DATABASE!$AV$14:$AV$968)) * (DATABASE!$AV$14:BU$968='Résultats observations'!$A36 ) * (DATABASE!$AW$14:$AW$968= AB$4))-ROW(DATABASE!$AV$14)+1,AB$5)),"")</f>
        <v/>
      </c>
      <c r="AC36" s="116">
        <f t="array" ref="AC36">IFERROR(_xlfn.SINGLE(INDEX(DATABASE!$AV$14:$BC$968,SUMPRODUCT((ROW(DATABASE!$AV$14:$AV$968)) * (DATABASE!$AV$14:BV$968='Résultats observations'!$A36 ) * (DATABASE!$AW$14:$AW$968= AC$4))-ROW(DATABASE!$AV$14)+1,AC$5)),"")</f>
        <v/>
      </c>
      <c r="AD36" s="116">
        <f t="array" ref="AD36">IFERROR(_xlfn.SINGLE(INDEX(DATABASE!$AV$14:$BC$968,SUMPRODUCT((ROW(DATABASE!$AV$14:$AV$968)) * (DATABASE!$AV$14:BW$968='Résultats observations'!$A36 ) * (DATABASE!$AW$14:$AW$968= AD$4))-ROW(DATABASE!$AV$14)+1,AD$5)),"")</f>
        <v/>
      </c>
      <c r="AE36" s="116">
        <f t="array" ref="AE36">IFERROR(_xlfn.SINGLE(INDEX(DATABASE!$AV$14:$BC$968,SUMPRODUCT((ROW(DATABASE!$AV$14:$AV$968)) * (DATABASE!$AV$14:BX$968='Résultats observations'!$A36 ) * (DATABASE!$AW$14:$AW$968= AE$4))-ROW(DATABASE!$AV$14)+1,AE$5)),"")</f>
        <v/>
      </c>
      <c r="AF36" s="116">
        <f t="array" ref="AF36">IFERROR(_xlfn.SINGLE(INDEX(DATABASE!$AV$14:$BC$968,SUMPRODUCT((ROW(DATABASE!$AV$14:$AV$968)) * (DATABASE!$AV$14:BY$968='Résultats observations'!$A36 ) * (DATABASE!$AW$14:$AW$968= AF$4))-ROW(DATABASE!$AV$14)+1,AF$5)),"")</f>
        <v/>
      </c>
      <c r="AG36" s="116">
        <f t="array" ref="AG36">IFERROR(_xlfn.SINGLE(INDEX(DATABASE!$AV$14:$BC$968,SUMPRODUCT((ROW(DATABASE!$AV$14:$AV$968)) * (DATABASE!$AV$14:BZ$968='Résultats observations'!$A36 ) * (DATABASE!$AW$14:$AW$968= AG$4))-ROW(DATABASE!$AV$14)+1,AG$5)),"")</f>
        <v/>
      </c>
      <c r="AH36" s="116">
        <f t="array" ref="AH36">IFERROR(_xlfn.SINGLE(INDEX(DATABASE!$AV$14:$BC$968,SUMPRODUCT((ROW(DATABASE!$AV$14:$AV$968)) * (DATABASE!$AV$14:CA$968='Résultats observations'!$A36 ) * (DATABASE!$AW$14:$AW$968= AH$4))-ROW(DATABASE!$AV$14)+1,AH$5)),"")</f>
        <v/>
      </c>
      <c r="AI36" s="116">
        <f t="array" ref="AI36">IFERROR(_xlfn.SINGLE(INDEX(DATABASE!$AV$14:$BC$968,SUMPRODUCT((ROW(DATABASE!$AV$14:$AV$968)) * (DATABASE!$AV$14:CB$968='Résultats observations'!$A36 ) * (DATABASE!$AW$14:$AW$968= AI$4))-ROW(DATABASE!$AV$14)+1,AI$5)),"")</f>
        <v/>
      </c>
      <c r="AJ36" s="116">
        <f t="array" ref="AJ36">IFERROR(_xlfn.SINGLE(INDEX(DATABASE!$AV$14:$BC$968,SUMPRODUCT((ROW(DATABASE!$AV$14:$AV$968)) * (DATABASE!$AV$14:CC$968='Résultats observations'!$A36 ) * (DATABASE!$AW$14:$AW$968= AJ$4))-ROW(DATABASE!$AV$14)+1,AJ$5)),"")</f>
        <v/>
      </c>
      <c r="AK36" s="116">
        <f t="array" ref="AK36">IFERROR(_xlfn.SINGLE(INDEX(DATABASE!$AV$14:$BC$968,SUMPRODUCT((ROW(DATABASE!$AV$14:$AV$968)) * (DATABASE!$AV$14:CD$968='Résultats observations'!$A36 ) * (DATABASE!$AW$14:$AW$968= AK$4))-ROW(DATABASE!$AV$14)+1,AK$5)),"")</f>
        <v/>
      </c>
      <c r="AL36" s="116">
        <f t="array" ref="AL36">IFERROR(_xlfn.SINGLE(INDEX(DATABASE!$AV$14:$BC$968,SUMPRODUCT((ROW(DATABASE!$AV$14:$AV$968)) * (DATABASE!$AV$14:CE$968='Résultats observations'!$A36 ) * (DATABASE!$AW$14:$AW$968= AL$4))-ROW(DATABASE!$AV$14)+1,AL$5)),"")</f>
        <v/>
      </c>
      <c r="AM36" s="116">
        <f t="array" ref="AM36">IFERROR(_xlfn.SINGLE(INDEX(DATABASE!$AV$14:$BC$968,SUMPRODUCT((ROW(DATABASE!$AV$14:$AV$968)) * (DATABASE!$AV$14:CF$968='Résultats observations'!$A36 ) * (DATABASE!$AW$14:$AW$968= AM$4))-ROW(DATABASE!$AV$14)+1,AM$5)),"")</f>
        <v/>
      </c>
      <c r="AN36" s="116">
        <f t="array" ref="AN36">IFERROR(_xlfn.SINGLE(INDEX(DATABASE!$AV$14:$BC$968,SUMPRODUCT((ROW(DATABASE!$AV$14:$AV$968)) * (DATABASE!$AV$14:CG$968='Résultats observations'!$A36 ) * (DATABASE!$AW$14:$AW$968= AN$4))-ROW(DATABASE!$AV$14)+1,AN$5)),"")</f>
        <v/>
      </c>
      <c r="AO36" s="116">
        <f t="array" ref="AO36">IFERROR(_xlfn.SINGLE(INDEX(DATABASE!$AV$14:$BC$968,SUMPRODUCT((ROW(DATABASE!$AV$14:$AV$968)) * (DATABASE!$AV$14:CH$968='Résultats observations'!$A36 ) * (DATABASE!$AW$14:$AW$968= AO$4))-ROW(DATABASE!$AV$14)+1,AO$5)),"")</f>
        <v/>
      </c>
      <c r="AP36" s="116">
        <f t="array" ref="AP36">IFERROR(_xlfn.SINGLE(INDEX(DATABASE!$AV$14:$BC$968,SUMPRODUCT((ROW(DATABASE!$AV$14:$AV$968)) * (DATABASE!$AV$14:CI$968='Résultats observations'!$A36 ) * (DATABASE!$AW$14:$AW$968= AP$4))-ROW(DATABASE!$AV$14)+1,AP$5)),"")</f>
        <v/>
      </c>
      <c r="AQ36" s="116">
        <f t="array" ref="AQ36">IFERROR(_xlfn.SINGLE(INDEX(DATABASE!$AV$14:$BC$968,SUMPRODUCT((ROW(DATABASE!$AV$14:$AV$968)) * (DATABASE!$AV$14:CJ$968='Résultats observations'!$A36 ) * (DATABASE!$AW$14:$AW$968= AQ$4))-ROW(DATABASE!$AV$14)+1,AQ$5)),"")</f>
        <v/>
      </c>
      <c r="AR36" s="116">
        <f t="array" ref="AR36">IFERROR(_xlfn.SINGLE(INDEX(DATABASE!$AV$14:$BC$968,SUMPRODUCT((ROW(DATABASE!$AV$14:$AV$968)) * (DATABASE!$AV$14:CK$968='Résultats observations'!$A36 ) * (DATABASE!$AW$14:$AW$968= AR$4))-ROW(DATABASE!$AV$14)+1,AR$5)),"")</f>
        <v/>
      </c>
      <c r="AS36" s="116">
        <f t="array" ref="AS36">IFERROR(_xlfn.SINGLE(INDEX(DATABASE!$AV$14:$BC$968,SUMPRODUCT((ROW(DATABASE!$AV$14:$AV$968)) * (DATABASE!$AV$14:CL$968='Résultats observations'!$A36 ) * (DATABASE!$AW$14:$AW$968= AS$4))-ROW(DATABASE!$AV$14)+1,AS$5)),"")</f>
        <v/>
      </c>
      <c r="AT36" s="116">
        <f t="array" ref="AT36">IFERROR(_xlfn.SINGLE(INDEX(DATABASE!$AV$14:$BC$968,SUMPRODUCT((ROW(DATABASE!$AV$14:$AV$968)) * (DATABASE!$AV$14:CM$968='Résultats observations'!$A36 ) * (DATABASE!$AW$14:$AW$968= AT$4))-ROW(DATABASE!$AV$14)+1,AT$5)),"")</f>
        <v/>
      </c>
      <c r="AU36" s="116">
        <f t="array" ref="AU36">IFERROR(_xlfn.SINGLE(INDEX(DATABASE!$AV$14:$BC$968,SUMPRODUCT((ROW(DATABASE!$AV$14:$AV$968)) * (DATABASE!$AV$14:CN$968='Résultats observations'!$A36 ) * (DATABASE!$AW$14:$AW$968= AU$4))-ROW(DATABASE!$AV$14)+1,AU$5)),"")</f>
        <v/>
      </c>
      <c r="AV36" s="116">
        <f t="array" ref="AV36">IFERROR(_xlfn.SINGLE(INDEX(DATABASE!$AV$14:$BC$968,SUMPRODUCT((ROW(DATABASE!$AV$14:$AV$968)) * (DATABASE!$AV$14:CO$968='Résultats observations'!$A36 ) * (DATABASE!$AW$14:$AW$968= AV$4))-ROW(DATABASE!$AV$14)+1,AV$5)),"")</f>
        <v/>
      </c>
      <c r="AW36" s="116">
        <f t="array" ref="AW36">IFERROR(_xlfn.SINGLE(INDEX(DATABASE!$AV$14:$BC$968,SUMPRODUCT((ROW(DATABASE!$AV$14:$AV$968)) * (DATABASE!$AV$14:CP$968='Résultats observations'!$A36 ) * (DATABASE!$AW$14:$AW$968= AW$4))-ROW(DATABASE!$AV$14)+1,AW$5)),"")</f>
        <v/>
      </c>
      <c r="AX36" s="116">
        <f t="array" ref="AX36">IFERROR(_xlfn.SINGLE(INDEX(DATABASE!$AV$14:$BC$968,SUMPRODUCT((ROW(DATABASE!$AV$14:$AV$968)) * (DATABASE!$AV$14:CQ$968='Résultats observations'!$A36 ) * (DATABASE!$AW$14:$AW$968= AX$4))-ROW(DATABASE!$AV$14)+1,AX$5)),"")</f>
        <v/>
      </c>
      <c r="AY36" s="116">
        <f t="array" ref="AY36">IFERROR(_xlfn.SINGLE(INDEX(DATABASE!$AV$14:$BC$968,SUMPRODUCT((ROW(DATABASE!$AV$14:$AV$968)) * (DATABASE!$AV$14:CR$968='Résultats observations'!$A36 ) * (DATABASE!$AW$14:$AW$968= AY$4))-ROW(DATABASE!$AV$14)+1,AY$5)),"")</f>
        <v/>
      </c>
      <c r="AZ36" s="116">
        <f t="array" ref="AZ36">IFERROR(_xlfn.SINGLE(INDEX(DATABASE!$AV$14:$BC$968,SUMPRODUCT((ROW(DATABASE!$AV$14:$AV$968)) * (DATABASE!$AV$14:CS$968='Résultats observations'!$A36 ) * (DATABASE!$AW$14:$AW$968= AZ$4))-ROW(DATABASE!$AV$14)+1,AZ$5)),"")</f>
        <v/>
      </c>
      <c r="BA36" s="116">
        <f t="array" ref="BA36">IFERROR(_xlfn.SINGLE(INDEX(DATABASE!$AV$14:$BC$968,SUMPRODUCT((ROW(DATABASE!$AV$14:$AV$968)) * (DATABASE!$AV$14:CT$968='Résultats observations'!$A36 ) * (DATABASE!$AW$14:$AW$968= BA$4))-ROW(DATABASE!$AV$14)+1,BA$5)),"")</f>
        <v/>
      </c>
      <c r="BB36" s="116">
        <f t="array" ref="BB36">IFERROR(_xlfn.SINGLE(INDEX(DATABASE!$AV$14:$BC$968,SUMPRODUCT((ROW(DATABASE!$AV$14:$AV$968)) * (DATABASE!$AV$14:CU$968='Résultats observations'!$A36 ) * (DATABASE!$AW$14:$AW$968= BB$4))-ROW(DATABASE!$AV$14)+1,BB$5)),"")</f>
        <v/>
      </c>
      <c r="BC36" s="116">
        <f t="array" ref="BC36">IFERROR(_xlfn.SINGLE(INDEX(DATABASE!$AV$14:$BC$968,SUMPRODUCT((ROW(DATABASE!$AV$14:$AV$968)) * (DATABASE!$AV$14:CV$968='Résultats observations'!$A36 ) * (DATABASE!$AW$14:$AW$968= BC$4))-ROW(DATABASE!$AV$14)+1,BC$5)),"")</f>
        <v/>
      </c>
      <c r="BD36" s="116">
        <f t="array" ref="BD36">IFERROR(_xlfn.SINGLE(INDEX(DATABASE!$AV$14:$BC$968,SUMPRODUCT((ROW(DATABASE!$AV$14:$AV$968)) * (DATABASE!$AV$14:CW$968='Résultats observations'!$A36 ) * (DATABASE!$AW$14:$AW$968= BD$4))-ROW(DATABASE!$AV$14)+1,BD$5)),"")</f>
        <v/>
      </c>
      <c r="BE36" s="116">
        <f t="array" ref="BE36">IFERROR(_xlfn.SINGLE(INDEX(DATABASE!$AV$14:$BC$968,SUMPRODUCT((ROW(DATABASE!$AV$14:$AV$968)) * (DATABASE!$AV$14:CX$968='Résultats observations'!$A36 ) * (DATABASE!$AW$14:$AW$968= BE$4))-ROW(DATABASE!$AV$14)+1,BE$5)),"")</f>
        <v/>
      </c>
      <c r="BF36" s="116">
        <f t="array" ref="BF36">IFERROR(_xlfn.SINGLE(INDEX(DATABASE!$AV$14:$BC$968,SUMPRODUCT((ROW(DATABASE!$AV$14:$AV$968)) * (DATABASE!$AV$14:CY$968='Résultats observations'!$A36 ) * (DATABASE!$AW$14:$AW$968= BF$4))-ROW(DATABASE!$AV$14)+1,BF$5)),"")</f>
        <v/>
      </c>
      <c r="BG36" s="116">
        <f t="array" ref="BG36">IFERROR(_xlfn.SINGLE(INDEX(DATABASE!$AV$14:$BC$968,SUMPRODUCT((ROW(DATABASE!$AV$14:$AV$968)) * (DATABASE!$AV$14:CZ$968='Résultats observations'!$A36 ) * (DATABASE!$AW$14:$AW$968= BG$4))-ROW(DATABASE!$AV$14)+1,BG$5)),"")</f>
        <v/>
      </c>
      <c r="BH36" s="116">
        <f t="array" ref="BH36">IFERROR(_xlfn.SINGLE(INDEX(DATABASE!$AV$14:$BC$968,SUMPRODUCT((ROW(DATABASE!$AV$14:$AV$968)) * (DATABASE!$AV$14:DA$968='Résultats observations'!$A36 ) * (DATABASE!$AW$14:$AW$968= BH$4))-ROW(DATABASE!$AV$14)+1,BH$5)),"")</f>
        <v/>
      </c>
      <c r="BI36" s="116">
        <f t="array" ref="BI36">IFERROR(_xlfn.SINGLE(INDEX(DATABASE!$AV$14:$BC$968,SUMPRODUCT((ROW(DATABASE!$AV$14:$AV$968)) * (DATABASE!$AV$14:DB$968='Résultats observations'!$A36 ) * (DATABASE!$AW$14:$AW$968= BI$4))-ROW(DATABASE!$AV$14)+1,BI$5)),"")</f>
        <v/>
      </c>
      <c r="BJ36" s="116">
        <f t="array" ref="BJ36">IFERROR(_xlfn.SINGLE(INDEX(DATABASE!$AV$14:$BC$968,SUMPRODUCT((ROW(DATABASE!$AV$14:$AV$968)) * (DATABASE!$AV$14:DC$968='Résultats observations'!$A36 ) * (DATABASE!$AW$14:$AW$968= BJ$4))-ROW(DATABASE!$AV$14)+1,BJ$5)),"")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(DATABASE!AV$14:$AV$968='Résultats observations'!$A37 ) * (DATABASE!$AW$14:$AW$968= C$4))-ROW(DATABASE!$AV$14)+1,C$5)),"")</f>
        <v/>
      </c>
      <c r="D37" s="116">
        <f t="array" ref="D37">IFERROR(_xlfn.SINGLE(INDEX(DATABASE!$AV$14:$BC$968,SUMPRODUCT((ROW(DATABASE!$AV$14:$AV$968)) * (DATABASE!$AV$14:AW$968='Résultats observations'!$A37 ) * (DATABASE!$AW$14:$AW$968= D$4))-ROW(DATABASE!$AV$14)+1,D$5)),"")</f>
        <v/>
      </c>
      <c r="E37" s="116">
        <f t="array" ref="E37">IFERROR(_xlfn.SINGLE(INDEX(DATABASE!$AV$14:$BC$968,SUMPRODUCT((ROW(DATABASE!$AV$14:$AV$968)) * (DATABASE!$AV$14:AX$968='Résultats observations'!$A37 ) * (DATABASE!$AW$14:$AW$968= E$4))-ROW(DATABASE!$AV$14)+1,E$5)),"")</f>
        <v/>
      </c>
      <c r="F37" s="116">
        <f t="array" ref="F37">IFERROR(_xlfn.SINGLE(INDEX(DATABASE!$AV$14:$BC$968,SUMPRODUCT((ROW(DATABASE!$AV$14:$AV$968)) * (DATABASE!$AV$14:AY$968='Résultats observations'!$A37 ) * (DATABASE!$AW$14:$AW$968= F$4))-ROW(DATABASE!$AV$14)+1,F$5)),"")</f>
        <v/>
      </c>
      <c r="G37" s="116">
        <f t="array" ref="G37">IFERROR(_xlfn.SINGLE(INDEX(DATABASE!$AV$14:$BC$968,SUMPRODUCT((ROW(DATABASE!$AV$14:$AV$968)) * (DATABASE!$AV$14:AZ$968='Résultats observations'!$A37 ) * (DATABASE!$AW$14:$AW$968= G$4))-ROW(DATABASE!$AV$14)+1,G$5)),"")</f>
        <v/>
      </c>
      <c r="H37" s="116">
        <f t="array" ref="H37">IFERROR(_xlfn.SINGLE(INDEX(DATABASE!$AV$14:$BC$968,SUMPRODUCT((ROW(DATABASE!$AV$14:$AV$968)) * (DATABASE!$AV$14:BA$968='Résultats observations'!$A37 ) * (DATABASE!$AW$14:$AW$968= H$4))-ROW(DATABASE!$AV$14)+1,H$5)),"")</f>
        <v/>
      </c>
      <c r="I37" s="116">
        <f t="array" ref="I37">IFERROR(_xlfn.SINGLE(INDEX(DATABASE!$AV$14:$BC$968,SUMPRODUCT((ROW(DATABASE!$AV$14:$AV$968)) * (DATABASE!$AV$14:BB$968='Résultats observations'!$A37 ) * (DATABASE!$AW$14:$AW$968= I$4))-ROW(DATABASE!$AV$14)+1,I$5)),"")</f>
        <v/>
      </c>
      <c r="J37" s="116">
        <f t="array" ref="J37">IFERROR(_xlfn.SINGLE(INDEX(DATABASE!$AV$14:$BC$968,SUMPRODUCT((ROW(DATABASE!$AV$14:$AV$968)) * (DATABASE!$AV$14:BC$968='Résultats observations'!$A37 ) * (DATABASE!$AW$14:$AW$968= J$4))-ROW(DATABASE!$AV$14)+1,J$5)),"")</f>
        <v/>
      </c>
      <c r="K37" s="116">
        <f t="array" ref="K37">IFERROR(_xlfn.SINGLE(INDEX(DATABASE!$AV$14:$BC$968,SUMPRODUCT((ROW(DATABASE!$AV$14:$AV$968)) * (DATABASE!$AV$14:BD$968='Résultats observations'!$A37 ) * (DATABASE!$AW$14:$AW$968= K$4))-ROW(DATABASE!$AV$14)+1,K$5)),"")</f>
        <v/>
      </c>
      <c r="L37" s="116">
        <f t="array" ref="L37">IFERROR(_xlfn.SINGLE(INDEX(DATABASE!$AV$14:$BC$968,SUMPRODUCT((ROW(DATABASE!$AV$14:$AV$968)) * (DATABASE!$AV$14:BE$968='Résultats observations'!$A37 ) * (DATABASE!$AW$14:$AW$968= L$4))-ROW(DATABASE!$AV$14)+1,L$5)),"")</f>
        <v/>
      </c>
      <c r="M37" s="116">
        <f t="array" ref="M37">IFERROR(_xlfn.SINGLE(INDEX(DATABASE!$AV$14:$BC$968,SUMPRODUCT((ROW(DATABASE!$AV$14:$AV$968)) * (DATABASE!$AV$14:BF$968='Résultats observations'!$A37 ) * (DATABASE!$AW$14:$AW$968= M$4))-ROW(DATABASE!$AV$14)+1,M$5)),"")</f>
        <v/>
      </c>
      <c r="N37" s="116">
        <f t="array" ref="N37">IFERROR(_xlfn.SINGLE(INDEX(DATABASE!$AV$14:$BC$968,SUMPRODUCT((ROW(DATABASE!$AV$14:$AV$968)) * (DATABASE!$AV$14:BG$968='Résultats observations'!$A37 ) * (DATABASE!$AW$14:$AW$968= N$4))-ROW(DATABASE!$AV$14)+1,N$5)),"")</f>
        <v/>
      </c>
      <c r="O37" s="116">
        <f t="array" ref="O37">IFERROR(_xlfn.SINGLE(INDEX(DATABASE!$AV$14:$BC$968,SUMPRODUCT((ROW(DATABASE!$AV$14:$AV$968)) * (DATABASE!$AV$14:BH$968='Résultats observations'!$A37 ) * (DATABASE!$AW$14:$AW$968= O$4))-ROW(DATABASE!$AV$14)+1,O$5)),"")</f>
        <v/>
      </c>
      <c r="P37" s="116">
        <f t="array" ref="P37">IFERROR(_xlfn.SINGLE(INDEX(DATABASE!$AV$14:$BC$968,SUMPRODUCT((ROW(DATABASE!$AV$14:$AV$968)) * (DATABASE!$AV$14:BI$968='Résultats observations'!$A37 ) * (DATABASE!$AW$14:$AW$968= P$4))-ROW(DATABASE!$AV$14)+1,P$5)),"")</f>
        <v/>
      </c>
      <c r="Q37" s="116">
        <f t="array" ref="Q37">IFERROR(_xlfn.SINGLE(INDEX(DATABASE!$AV$14:$BC$968,SUMPRODUCT((ROW(DATABASE!$AV$14:$AV$968)) * (DATABASE!$AV$14:BJ$968='Résultats observations'!$A37 ) * (DATABASE!$AW$14:$AW$968= Q$4))-ROW(DATABASE!$AV$14)+1,Q$5)),"")</f>
        <v/>
      </c>
      <c r="R37" s="116">
        <f t="array" ref="R37">IFERROR(_xlfn.SINGLE(INDEX(DATABASE!$AV$14:$BC$968,SUMPRODUCT((ROW(DATABASE!$AV$14:$AV$968)) * (DATABASE!$AV$14:BK$968='Résultats observations'!$A37 ) * (DATABASE!$AW$14:$AW$968= R$4))-ROW(DATABASE!$AV$14)+1,R$5)),"")</f>
        <v/>
      </c>
      <c r="S37" s="116">
        <f t="array" ref="S37">IFERROR(_xlfn.SINGLE(INDEX(DATABASE!$AV$14:$BC$968,SUMPRODUCT((ROW(DATABASE!$AV$14:$AV$968)) * (DATABASE!$AV$14:BL$968='Résultats observations'!$A37 ) * (DATABASE!$AW$14:$AW$968= S$4))-ROW(DATABASE!$AV$14)+1,S$5)),"")</f>
        <v/>
      </c>
      <c r="T37" s="116">
        <f t="array" ref="T37">IFERROR(_xlfn.SINGLE(INDEX(DATABASE!$AV$14:$BC$968,SUMPRODUCT((ROW(DATABASE!$AV$14:$AV$968)) * (DATABASE!$AV$14:BM$968='Résultats observations'!$A37 ) * (DATABASE!$AW$14:$AW$968= T$4))-ROW(DATABASE!$AV$14)+1,T$5)),"")</f>
        <v/>
      </c>
      <c r="U37" s="116">
        <f t="array" ref="U37">IFERROR(_xlfn.SINGLE(INDEX(DATABASE!$AV$14:$BC$968,SUMPRODUCT((ROW(DATABASE!$AV$14:$AV$968)) * (DATABASE!$AV$14:BN$968='Résultats observations'!$A37 ) * (DATABASE!$AW$14:$AW$968= U$4))-ROW(DATABASE!$AV$14)+1,U$5)),"")</f>
        <v/>
      </c>
      <c r="V37" s="116">
        <f t="array" ref="V37">IFERROR(_xlfn.SINGLE(INDEX(DATABASE!$AV$14:$BC$968,SUMPRODUCT((ROW(DATABASE!$AV$14:$AV$968)) * (DATABASE!$AV$14:BO$968='Résultats observations'!$A37 ) * (DATABASE!$AW$14:$AW$968= V$4))-ROW(DATABASE!$AV$14)+1,V$5)),"")</f>
        <v/>
      </c>
      <c r="W37" s="116">
        <f t="array" ref="W37">IFERROR(_xlfn.SINGLE(INDEX(DATABASE!$AV$14:$BC$968,SUMPRODUCT((ROW(DATABASE!$AV$14:$AV$968)) * (DATABASE!$AV$14:BP$968='Résultats observations'!$A37 ) * (DATABASE!$AW$14:$AW$968= W$4))-ROW(DATABASE!$AV$14)+1,W$5)),"")</f>
        <v/>
      </c>
      <c r="X37" s="116">
        <f t="array" ref="X37">IFERROR(_xlfn.SINGLE(INDEX(DATABASE!$AV$14:$BC$968,SUMPRODUCT((ROW(DATABASE!$AV$14:$AV$968)) * (DATABASE!$AV$14:BQ$968='Résultats observations'!$A37 ) * (DATABASE!$AW$14:$AW$968= X$4))-ROW(DATABASE!$AV$14)+1,X$5)),"")</f>
        <v/>
      </c>
      <c r="Y37" s="116">
        <f t="array" ref="Y37">IFERROR(_xlfn.SINGLE(INDEX(DATABASE!$AV$14:$BC$968,SUMPRODUCT((ROW(DATABASE!$AV$14:$AV$968)) * (DATABASE!$AV$14:BR$968='Résultats observations'!$A37 ) * (DATABASE!$AW$14:$AW$968= Y$4))-ROW(DATABASE!$AV$14)+1,Y$5)),"")</f>
        <v/>
      </c>
      <c r="Z37" s="116">
        <f t="array" ref="Z37">IFERROR(_xlfn.SINGLE(INDEX(DATABASE!$AV$14:$BC$968,SUMPRODUCT((ROW(DATABASE!$AV$14:$AV$968)) * (DATABASE!$AV$14:BS$968='Résultats observations'!$A37 ) * (DATABASE!$AW$14:$AW$968= Z$4))-ROW(DATABASE!$AV$14)+1,Z$5)),"")</f>
        <v/>
      </c>
      <c r="AA37" s="116">
        <f t="array" ref="AA37">IFERROR(_xlfn.SINGLE(INDEX(DATABASE!$AV$14:$BC$968,SUMPRODUCT((ROW(DATABASE!$AV$14:$AV$968)) * (DATABASE!$AV$14:BT$968='Résultats observations'!$A37 ) * (DATABASE!$AW$14:$AW$968= AA$4))-ROW(DATABASE!$AV$14)+1,AA$5)),"")</f>
        <v/>
      </c>
      <c r="AB37" s="116">
        <f t="array" ref="AB37">IFERROR(_xlfn.SINGLE(INDEX(DATABASE!$AV$14:$BC$968,SUMPRODUCT((ROW(DATABASE!$AV$14:$AV$968)) * (DATABASE!$AV$14:BU$968='Résultats observations'!$A37 ) * (DATABASE!$AW$14:$AW$968= AB$4))-ROW(DATABASE!$AV$14)+1,AB$5)),"")</f>
        <v/>
      </c>
      <c r="AC37" s="116">
        <f t="array" ref="AC37">IFERROR(_xlfn.SINGLE(INDEX(DATABASE!$AV$14:$BC$968,SUMPRODUCT((ROW(DATABASE!$AV$14:$AV$968)) * (DATABASE!$AV$14:BV$968='Résultats observations'!$A37 ) * (DATABASE!$AW$14:$AW$968= AC$4))-ROW(DATABASE!$AV$14)+1,AC$5)),"")</f>
        <v/>
      </c>
      <c r="AD37" s="116">
        <f t="array" ref="AD37">IFERROR(_xlfn.SINGLE(INDEX(DATABASE!$AV$14:$BC$968,SUMPRODUCT((ROW(DATABASE!$AV$14:$AV$968)) * (DATABASE!$AV$14:BW$968='Résultats observations'!$A37 ) * (DATABASE!$AW$14:$AW$968= AD$4))-ROW(DATABASE!$AV$14)+1,AD$5)),"")</f>
        <v/>
      </c>
      <c r="AE37" s="116">
        <f t="array" ref="AE37">IFERROR(_xlfn.SINGLE(INDEX(DATABASE!$AV$14:$BC$968,SUMPRODUCT((ROW(DATABASE!$AV$14:$AV$968)) * (DATABASE!$AV$14:BX$968='Résultats observations'!$A37 ) * (DATABASE!$AW$14:$AW$968= AE$4))-ROW(DATABASE!$AV$14)+1,AE$5)),"")</f>
        <v/>
      </c>
      <c r="AF37" s="116">
        <f t="array" ref="AF37">IFERROR(_xlfn.SINGLE(INDEX(DATABASE!$AV$14:$BC$968,SUMPRODUCT((ROW(DATABASE!$AV$14:$AV$968)) * (DATABASE!$AV$14:BY$968='Résultats observations'!$A37 ) * (DATABASE!$AW$14:$AW$968= AF$4))-ROW(DATABASE!$AV$14)+1,AF$5)),"")</f>
        <v/>
      </c>
      <c r="AG37" s="116">
        <f t="array" ref="AG37">IFERROR(_xlfn.SINGLE(INDEX(DATABASE!$AV$14:$BC$968,SUMPRODUCT((ROW(DATABASE!$AV$14:$AV$968)) * (DATABASE!$AV$14:BZ$968='Résultats observations'!$A37 ) * (DATABASE!$AW$14:$AW$968= AG$4))-ROW(DATABASE!$AV$14)+1,AG$5)),"")</f>
        <v/>
      </c>
      <c r="AH37" s="116">
        <f t="array" ref="AH37">IFERROR(_xlfn.SINGLE(INDEX(DATABASE!$AV$14:$BC$968,SUMPRODUCT((ROW(DATABASE!$AV$14:$AV$968)) * (DATABASE!$AV$14:CA$968='Résultats observations'!$A37 ) * (DATABASE!$AW$14:$AW$968= AH$4))-ROW(DATABASE!$AV$14)+1,AH$5)),"")</f>
        <v/>
      </c>
      <c r="AI37" s="116">
        <f t="array" ref="AI37">IFERROR(_xlfn.SINGLE(INDEX(DATABASE!$AV$14:$BC$968,SUMPRODUCT((ROW(DATABASE!$AV$14:$AV$968)) * (DATABASE!$AV$14:CB$968='Résultats observations'!$A37 ) * (DATABASE!$AW$14:$AW$968= AI$4))-ROW(DATABASE!$AV$14)+1,AI$5)),"")</f>
        <v/>
      </c>
      <c r="AJ37" s="116">
        <f t="array" ref="AJ37">IFERROR(_xlfn.SINGLE(INDEX(DATABASE!$AV$14:$BC$968,SUMPRODUCT((ROW(DATABASE!$AV$14:$AV$968)) * (DATABASE!$AV$14:CC$968='Résultats observations'!$A37 ) * (DATABASE!$AW$14:$AW$968= AJ$4))-ROW(DATABASE!$AV$14)+1,AJ$5)),"")</f>
        <v/>
      </c>
      <c r="AK37" s="116">
        <f t="array" ref="AK37">IFERROR(_xlfn.SINGLE(INDEX(DATABASE!$AV$14:$BC$968,SUMPRODUCT((ROW(DATABASE!$AV$14:$AV$968)) * (DATABASE!$AV$14:CD$968='Résultats observations'!$A37 ) * (DATABASE!$AW$14:$AW$968= AK$4))-ROW(DATABASE!$AV$14)+1,AK$5)),"")</f>
        <v/>
      </c>
      <c r="AL37" s="116">
        <f t="array" ref="AL37">IFERROR(_xlfn.SINGLE(INDEX(DATABASE!$AV$14:$BC$968,SUMPRODUCT((ROW(DATABASE!$AV$14:$AV$968)) * (DATABASE!$AV$14:CE$968='Résultats observations'!$A37 ) * (DATABASE!$AW$14:$AW$968= AL$4))-ROW(DATABASE!$AV$14)+1,AL$5)),"")</f>
        <v/>
      </c>
      <c r="AM37" s="116">
        <f t="array" ref="AM37">IFERROR(_xlfn.SINGLE(INDEX(DATABASE!$AV$14:$BC$968,SUMPRODUCT((ROW(DATABASE!$AV$14:$AV$968)) * (DATABASE!$AV$14:CF$968='Résultats observations'!$A37 ) * (DATABASE!$AW$14:$AW$968= AM$4))-ROW(DATABASE!$AV$14)+1,AM$5)),"")</f>
        <v/>
      </c>
      <c r="AN37" s="116">
        <f t="array" ref="AN37">IFERROR(_xlfn.SINGLE(INDEX(DATABASE!$AV$14:$BC$968,SUMPRODUCT((ROW(DATABASE!$AV$14:$AV$968)) * (DATABASE!$AV$14:CG$968='Résultats observations'!$A37 ) * (DATABASE!$AW$14:$AW$968= AN$4))-ROW(DATABASE!$AV$14)+1,AN$5)),"")</f>
        <v/>
      </c>
      <c r="AO37" s="116">
        <f t="array" ref="AO37">IFERROR(_xlfn.SINGLE(INDEX(DATABASE!$AV$14:$BC$968,SUMPRODUCT((ROW(DATABASE!$AV$14:$AV$968)) * (DATABASE!$AV$14:CH$968='Résultats observations'!$A37 ) * (DATABASE!$AW$14:$AW$968= AO$4))-ROW(DATABASE!$AV$14)+1,AO$5)),"")</f>
        <v/>
      </c>
      <c r="AP37" s="116">
        <f t="array" ref="AP37">IFERROR(_xlfn.SINGLE(INDEX(DATABASE!$AV$14:$BC$968,SUMPRODUCT((ROW(DATABASE!$AV$14:$AV$968)) * (DATABASE!$AV$14:CI$968='Résultats observations'!$A37 ) * (DATABASE!$AW$14:$AW$968= AP$4))-ROW(DATABASE!$AV$14)+1,AP$5)),"")</f>
        <v/>
      </c>
      <c r="AQ37" s="116">
        <f t="array" ref="AQ37">IFERROR(_xlfn.SINGLE(INDEX(DATABASE!$AV$14:$BC$968,SUMPRODUCT((ROW(DATABASE!$AV$14:$AV$968)) * (DATABASE!$AV$14:CJ$968='Résultats observations'!$A37 ) * (DATABASE!$AW$14:$AW$968= AQ$4))-ROW(DATABASE!$AV$14)+1,AQ$5)),"")</f>
        <v/>
      </c>
      <c r="AR37" s="116">
        <f t="array" ref="AR37">IFERROR(_xlfn.SINGLE(INDEX(DATABASE!$AV$14:$BC$968,SUMPRODUCT((ROW(DATABASE!$AV$14:$AV$968)) * (DATABASE!$AV$14:CK$968='Résultats observations'!$A37 ) * (DATABASE!$AW$14:$AW$968= AR$4))-ROW(DATABASE!$AV$14)+1,AR$5)),"")</f>
        <v/>
      </c>
      <c r="AS37" s="116">
        <f t="array" ref="AS37">IFERROR(_xlfn.SINGLE(INDEX(DATABASE!$AV$14:$BC$968,SUMPRODUCT((ROW(DATABASE!$AV$14:$AV$968)) * (DATABASE!$AV$14:CL$968='Résultats observations'!$A37 ) * (DATABASE!$AW$14:$AW$968= AS$4))-ROW(DATABASE!$AV$14)+1,AS$5)),"")</f>
        <v/>
      </c>
      <c r="AT37" s="116">
        <f t="array" ref="AT37">IFERROR(_xlfn.SINGLE(INDEX(DATABASE!$AV$14:$BC$968,SUMPRODUCT((ROW(DATABASE!$AV$14:$AV$968)) * (DATABASE!$AV$14:CM$968='Résultats observations'!$A37 ) * (DATABASE!$AW$14:$AW$968= AT$4))-ROW(DATABASE!$AV$14)+1,AT$5)),"")</f>
        <v/>
      </c>
      <c r="AU37" s="116">
        <f t="array" ref="AU37">IFERROR(_xlfn.SINGLE(INDEX(DATABASE!$AV$14:$BC$968,SUMPRODUCT((ROW(DATABASE!$AV$14:$AV$968)) * (DATABASE!$AV$14:CN$968='Résultats observations'!$A37 ) * (DATABASE!$AW$14:$AW$968= AU$4))-ROW(DATABASE!$AV$14)+1,AU$5)),"")</f>
        <v/>
      </c>
      <c r="AV37" s="116">
        <f t="array" ref="AV37">IFERROR(_xlfn.SINGLE(INDEX(DATABASE!$AV$14:$BC$968,SUMPRODUCT((ROW(DATABASE!$AV$14:$AV$968)) * (DATABASE!$AV$14:CO$968='Résultats observations'!$A37 ) * (DATABASE!$AW$14:$AW$968= AV$4))-ROW(DATABASE!$AV$14)+1,AV$5)),"")</f>
        <v/>
      </c>
      <c r="AW37" s="116">
        <f t="array" ref="AW37">IFERROR(_xlfn.SINGLE(INDEX(DATABASE!$AV$14:$BC$968,SUMPRODUCT((ROW(DATABASE!$AV$14:$AV$968)) * (DATABASE!$AV$14:CP$968='Résultats observations'!$A37 ) * (DATABASE!$AW$14:$AW$968= AW$4))-ROW(DATABASE!$AV$14)+1,AW$5)),"")</f>
        <v/>
      </c>
      <c r="AX37" s="116">
        <f t="array" ref="AX37">IFERROR(_xlfn.SINGLE(INDEX(DATABASE!$AV$14:$BC$968,SUMPRODUCT((ROW(DATABASE!$AV$14:$AV$968)) * (DATABASE!$AV$14:CQ$968='Résultats observations'!$A37 ) * (DATABASE!$AW$14:$AW$968= AX$4))-ROW(DATABASE!$AV$14)+1,AX$5)),"")</f>
        <v/>
      </c>
      <c r="AY37" s="116">
        <f t="array" ref="AY37">IFERROR(_xlfn.SINGLE(INDEX(DATABASE!$AV$14:$BC$968,SUMPRODUCT((ROW(DATABASE!$AV$14:$AV$968)) * (DATABASE!$AV$14:CR$968='Résultats observations'!$A37 ) * (DATABASE!$AW$14:$AW$968= AY$4))-ROW(DATABASE!$AV$14)+1,AY$5)),"")</f>
        <v/>
      </c>
      <c r="AZ37" s="116">
        <f t="array" ref="AZ37">IFERROR(_xlfn.SINGLE(INDEX(DATABASE!$AV$14:$BC$968,SUMPRODUCT((ROW(DATABASE!$AV$14:$AV$968)) * (DATABASE!$AV$14:CS$968='Résultats observations'!$A37 ) * (DATABASE!$AW$14:$AW$968= AZ$4))-ROW(DATABASE!$AV$14)+1,AZ$5)),"")</f>
        <v/>
      </c>
      <c r="BA37" s="116">
        <f t="array" ref="BA37">IFERROR(_xlfn.SINGLE(INDEX(DATABASE!$AV$14:$BC$968,SUMPRODUCT((ROW(DATABASE!$AV$14:$AV$968)) * (DATABASE!$AV$14:CT$968='Résultats observations'!$A37 ) * (DATABASE!$AW$14:$AW$968= BA$4))-ROW(DATABASE!$AV$14)+1,BA$5)),"")</f>
        <v/>
      </c>
      <c r="BB37" s="116">
        <f t="array" ref="BB37">IFERROR(_xlfn.SINGLE(INDEX(DATABASE!$AV$14:$BC$968,SUMPRODUCT((ROW(DATABASE!$AV$14:$AV$968)) * (DATABASE!$AV$14:CU$968='Résultats observations'!$A37 ) * (DATABASE!$AW$14:$AW$968= BB$4))-ROW(DATABASE!$AV$14)+1,BB$5)),"")</f>
        <v/>
      </c>
      <c r="BC37" s="116">
        <f t="array" ref="BC37">IFERROR(_xlfn.SINGLE(INDEX(DATABASE!$AV$14:$BC$968,SUMPRODUCT((ROW(DATABASE!$AV$14:$AV$968)) * (DATABASE!$AV$14:CV$968='Résultats observations'!$A37 ) * (DATABASE!$AW$14:$AW$968= BC$4))-ROW(DATABASE!$AV$14)+1,BC$5)),"")</f>
        <v/>
      </c>
      <c r="BD37" s="116">
        <f t="array" ref="BD37">IFERROR(_xlfn.SINGLE(INDEX(DATABASE!$AV$14:$BC$968,SUMPRODUCT((ROW(DATABASE!$AV$14:$AV$968)) * (DATABASE!$AV$14:CW$968='Résultats observations'!$A37 ) * (DATABASE!$AW$14:$AW$968= BD$4))-ROW(DATABASE!$AV$14)+1,BD$5)),"")</f>
        <v/>
      </c>
      <c r="BE37" s="116">
        <f t="array" ref="BE37">IFERROR(_xlfn.SINGLE(INDEX(DATABASE!$AV$14:$BC$968,SUMPRODUCT((ROW(DATABASE!$AV$14:$AV$968)) * (DATABASE!$AV$14:CX$968='Résultats observations'!$A37 ) * (DATABASE!$AW$14:$AW$968= BE$4))-ROW(DATABASE!$AV$14)+1,BE$5)),"")</f>
        <v/>
      </c>
      <c r="BF37" s="116">
        <f t="array" ref="BF37">IFERROR(_xlfn.SINGLE(INDEX(DATABASE!$AV$14:$BC$968,SUMPRODUCT((ROW(DATABASE!$AV$14:$AV$968)) * (DATABASE!$AV$14:CY$968='Résultats observations'!$A37 ) * (DATABASE!$AW$14:$AW$968= BF$4))-ROW(DATABASE!$AV$14)+1,BF$5)),"")</f>
        <v/>
      </c>
      <c r="BG37" s="116">
        <f t="array" ref="BG37">IFERROR(_xlfn.SINGLE(INDEX(DATABASE!$AV$14:$BC$968,SUMPRODUCT((ROW(DATABASE!$AV$14:$AV$968)) * (DATABASE!$AV$14:CZ$968='Résultats observations'!$A37 ) * (DATABASE!$AW$14:$AW$968= BG$4))-ROW(DATABASE!$AV$14)+1,BG$5)),"")</f>
        <v/>
      </c>
      <c r="BH37" s="116">
        <f t="array" ref="BH37">IFERROR(_xlfn.SINGLE(INDEX(DATABASE!$AV$14:$BC$968,SUMPRODUCT((ROW(DATABASE!$AV$14:$AV$968)) * (DATABASE!$AV$14:DA$968='Résultats observations'!$A37 ) * (DATABASE!$AW$14:$AW$968= BH$4))-ROW(DATABASE!$AV$14)+1,BH$5)),"")</f>
        <v/>
      </c>
      <c r="BI37" s="116">
        <f t="array" ref="BI37">IFERROR(_xlfn.SINGLE(INDEX(DATABASE!$AV$14:$BC$968,SUMPRODUCT((ROW(DATABASE!$AV$14:$AV$968)) * (DATABASE!$AV$14:DB$968='Résultats observations'!$A37 ) * (DATABASE!$AW$14:$AW$968= BI$4))-ROW(DATABASE!$AV$14)+1,BI$5)),"")</f>
        <v/>
      </c>
      <c r="BJ37" s="116">
        <f t="array" ref="BJ37">IFERROR(_xlfn.SINGLE(INDEX(DATABASE!$AV$14:$BC$968,SUMPRODUCT((ROW(DATABASE!$AV$14:$AV$968)) * (DATABASE!$AV$14:DC$968='Résultats observations'!$A37 ) * (DATABASE!$AW$14:$AW$968= BJ$4))-ROW(DATABASE!$AV$14)+1,BJ$5)),"")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(DATABASE!AV$14:$AV$968='Résultats observations'!$A38 ) * (DATABASE!$AW$14:$AW$968= C$4))-ROW(DATABASE!$AV$14)+1,C$5)),"")</f>
        <v/>
      </c>
      <c r="D38" s="116">
        <f t="array" ref="D38">IFERROR(_xlfn.SINGLE(INDEX(DATABASE!$AV$14:$BC$968,SUMPRODUCT((ROW(DATABASE!$AV$14:$AV$968)) * (DATABASE!$AV$14:AW$968='Résultats observations'!$A38 ) * (DATABASE!$AW$14:$AW$968= D$4))-ROW(DATABASE!$AV$14)+1,D$5)),"")</f>
        <v/>
      </c>
      <c r="E38" s="116">
        <f t="array" ref="E38">IFERROR(_xlfn.SINGLE(INDEX(DATABASE!$AV$14:$BC$968,SUMPRODUCT((ROW(DATABASE!$AV$14:$AV$968)) * (DATABASE!$AV$14:AX$968='Résultats observations'!$A38 ) * (DATABASE!$AW$14:$AW$968= E$4))-ROW(DATABASE!$AV$14)+1,E$5)),"")</f>
        <v/>
      </c>
      <c r="F38" s="116">
        <f t="array" ref="F38">IFERROR(_xlfn.SINGLE(INDEX(DATABASE!$AV$14:$BC$968,SUMPRODUCT((ROW(DATABASE!$AV$14:$AV$968)) * (DATABASE!$AV$14:AY$968='Résultats observations'!$A38 ) * (DATABASE!$AW$14:$AW$968= F$4))-ROW(DATABASE!$AV$14)+1,F$5)),"")</f>
        <v/>
      </c>
      <c r="G38" s="116">
        <f t="array" ref="G38">IFERROR(_xlfn.SINGLE(INDEX(DATABASE!$AV$14:$BC$968,SUMPRODUCT((ROW(DATABASE!$AV$14:$AV$968)) * (DATABASE!$AV$14:AZ$968='Résultats observations'!$A38 ) * (DATABASE!$AW$14:$AW$968= G$4))-ROW(DATABASE!$AV$14)+1,G$5)),"")</f>
        <v/>
      </c>
      <c r="H38" s="116">
        <f t="array" ref="H38">IFERROR(_xlfn.SINGLE(INDEX(DATABASE!$AV$14:$BC$968,SUMPRODUCT((ROW(DATABASE!$AV$14:$AV$968)) * (DATABASE!$AV$14:BA$968='Résultats observations'!$A38 ) * (DATABASE!$AW$14:$AW$968= H$4))-ROW(DATABASE!$AV$14)+1,H$5)),"")</f>
        <v/>
      </c>
      <c r="I38" s="116">
        <f t="array" ref="I38">IFERROR(_xlfn.SINGLE(INDEX(DATABASE!$AV$14:$BC$968,SUMPRODUCT((ROW(DATABASE!$AV$14:$AV$968)) * (DATABASE!$AV$14:BB$968='Résultats observations'!$A38 ) * (DATABASE!$AW$14:$AW$968= I$4))-ROW(DATABASE!$AV$14)+1,I$5)),"")</f>
        <v/>
      </c>
      <c r="J38" s="116">
        <f t="array" ref="J38">IFERROR(_xlfn.SINGLE(INDEX(DATABASE!$AV$14:$BC$968,SUMPRODUCT((ROW(DATABASE!$AV$14:$AV$968)) * (DATABASE!$AV$14:BC$968='Résultats observations'!$A38 ) * (DATABASE!$AW$14:$AW$968= J$4))-ROW(DATABASE!$AV$14)+1,J$5)),"")</f>
        <v/>
      </c>
      <c r="K38" s="116">
        <f t="array" ref="K38">IFERROR(_xlfn.SINGLE(INDEX(DATABASE!$AV$14:$BC$968,SUMPRODUCT((ROW(DATABASE!$AV$14:$AV$968)) * (DATABASE!$AV$14:BD$968='Résultats observations'!$A38 ) * (DATABASE!$AW$14:$AW$968= K$4))-ROW(DATABASE!$AV$14)+1,K$5)),"")</f>
        <v/>
      </c>
      <c r="L38" s="116">
        <f t="array" ref="L38">IFERROR(_xlfn.SINGLE(INDEX(DATABASE!$AV$14:$BC$968,SUMPRODUCT((ROW(DATABASE!$AV$14:$AV$968)) * (DATABASE!$AV$14:BE$968='Résultats observations'!$A38 ) * (DATABASE!$AW$14:$AW$968= L$4))-ROW(DATABASE!$AV$14)+1,L$5)),"")</f>
        <v/>
      </c>
      <c r="M38" s="116">
        <f t="array" ref="M38">IFERROR(_xlfn.SINGLE(INDEX(DATABASE!$AV$14:$BC$968,SUMPRODUCT((ROW(DATABASE!$AV$14:$AV$968)) * (DATABASE!$AV$14:BF$968='Résultats observations'!$A38 ) * (DATABASE!$AW$14:$AW$968= M$4))-ROW(DATABASE!$AV$14)+1,M$5)),"")</f>
        <v/>
      </c>
      <c r="N38" s="116">
        <f t="array" ref="N38">IFERROR(_xlfn.SINGLE(INDEX(DATABASE!$AV$14:$BC$968,SUMPRODUCT((ROW(DATABASE!$AV$14:$AV$968)) * (DATABASE!$AV$14:BG$968='Résultats observations'!$A38 ) * (DATABASE!$AW$14:$AW$968= N$4))-ROW(DATABASE!$AV$14)+1,N$5)),"")</f>
        <v/>
      </c>
      <c r="O38" s="116">
        <f t="array" ref="O38">IFERROR(_xlfn.SINGLE(INDEX(DATABASE!$AV$14:$BC$968,SUMPRODUCT((ROW(DATABASE!$AV$14:$AV$968)) * (DATABASE!$AV$14:BH$968='Résultats observations'!$A38 ) * (DATABASE!$AW$14:$AW$968= O$4))-ROW(DATABASE!$AV$14)+1,O$5)),"")</f>
        <v/>
      </c>
      <c r="P38" s="116">
        <f t="array" ref="P38">IFERROR(_xlfn.SINGLE(INDEX(DATABASE!$AV$14:$BC$968,SUMPRODUCT((ROW(DATABASE!$AV$14:$AV$968)) * (DATABASE!$AV$14:BI$968='Résultats observations'!$A38 ) * (DATABASE!$AW$14:$AW$968= P$4))-ROW(DATABASE!$AV$14)+1,P$5)),"")</f>
        <v/>
      </c>
      <c r="Q38" s="116">
        <f t="array" ref="Q38">IFERROR(_xlfn.SINGLE(INDEX(DATABASE!$AV$14:$BC$968,SUMPRODUCT((ROW(DATABASE!$AV$14:$AV$968)) * (DATABASE!$AV$14:BJ$968='Résultats observations'!$A38 ) * (DATABASE!$AW$14:$AW$968= Q$4))-ROW(DATABASE!$AV$14)+1,Q$5)),"")</f>
        <v/>
      </c>
      <c r="R38" s="116">
        <f t="array" ref="R38">IFERROR(_xlfn.SINGLE(INDEX(DATABASE!$AV$14:$BC$968,SUMPRODUCT((ROW(DATABASE!$AV$14:$AV$968)) * (DATABASE!$AV$14:BK$968='Résultats observations'!$A38 ) * (DATABASE!$AW$14:$AW$968= R$4))-ROW(DATABASE!$AV$14)+1,R$5)),"")</f>
        <v/>
      </c>
      <c r="S38" s="116">
        <f t="array" ref="S38">IFERROR(_xlfn.SINGLE(INDEX(DATABASE!$AV$14:$BC$968,SUMPRODUCT((ROW(DATABASE!$AV$14:$AV$968)) * (DATABASE!$AV$14:BL$968='Résultats observations'!$A38 ) * (DATABASE!$AW$14:$AW$968= S$4))-ROW(DATABASE!$AV$14)+1,S$5)),"")</f>
        <v/>
      </c>
      <c r="T38" s="116">
        <f t="array" ref="T38">IFERROR(_xlfn.SINGLE(INDEX(DATABASE!$AV$14:$BC$968,SUMPRODUCT((ROW(DATABASE!$AV$14:$AV$968)) * (DATABASE!$AV$14:BM$968='Résultats observations'!$A38 ) * (DATABASE!$AW$14:$AW$968= T$4))-ROW(DATABASE!$AV$14)+1,T$5)),"")</f>
        <v/>
      </c>
      <c r="U38" s="116">
        <f t="array" ref="U38">IFERROR(_xlfn.SINGLE(INDEX(DATABASE!$AV$14:$BC$968,SUMPRODUCT((ROW(DATABASE!$AV$14:$AV$968)) * (DATABASE!$AV$14:BN$968='Résultats observations'!$A38 ) * (DATABASE!$AW$14:$AW$968= U$4))-ROW(DATABASE!$AV$14)+1,U$5)),"")</f>
        <v/>
      </c>
      <c r="V38" s="116">
        <f t="array" ref="V38">IFERROR(_xlfn.SINGLE(INDEX(DATABASE!$AV$14:$BC$968,SUMPRODUCT((ROW(DATABASE!$AV$14:$AV$968)) * (DATABASE!$AV$14:BO$968='Résultats observations'!$A38 ) * (DATABASE!$AW$14:$AW$968= V$4))-ROW(DATABASE!$AV$14)+1,V$5)),"")</f>
        <v/>
      </c>
      <c r="W38" s="116">
        <f t="array" ref="W38">IFERROR(_xlfn.SINGLE(INDEX(DATABASE!$AV$14:$BC$968,SUMPRODUCT((ROW(DATABASE!$AV$14:$AV$968)) * (DATABASE!$AV$14:BP$968='Résultats observations'!$A38 ) * (DATABASE!$AW$14:$AW$968= W$4))-ROW(DATABASE!$AV$14)+1,W$5)),"")</f>
        <v/>
      </c>
      <c r="X38" s="116">
        <f t="array" ref="X38">IFERROR(_xlfn.SINGLE(INDEX(DATABASE!$AV$14:$BC$968,SUMPRODUCT((ROW(DATABASE!$AV$14:$AV$968)) * (DATABASE!$AV$14:BQ$968='Résultats observations'!$A38 ) * (DATABASE!$AW$14:$AW$968= X$4))-ROW(DATABASE!$AV$14)+1,X$5)),"")</f>
        <v/>
      </c>
      <c r="Y38" s="116">
        <f t="array" ref="Y38">IFERROR(_xlfn.SINGLE(INDEX(DATABASE!$AV$14:$BC$968,SUMPRODUCT((ROW(DATABASE!$AV$14:$AV$968)) * (DATABASE!$AV$14:BR$968='Résultats observations'!$A38 ) * (DATABASE!$AW$14:$AW$968= Y$4))-ROW(DATABASE!$AV$14)+1,Y$5)),"")</f>
        <v/>
      </c>
      <c r="Z38" s="116">
        <f t="array" ref="Z38">IFERROR(_xlfn.SINGLE(INDEX(DATABASE!$AV$14:$BC$968,SUMPRODUCT((ROW(DATABASE!$AV$14:$AV$968)) * (DATABASE!$AV$14:BS$968='Résultats observations'!$A38 ) * (DATABASE!$AW$14:$AW$968= Z$4))-ROW(DATABASE!$AV$14)+1,Z$5)),"")</f>
        <v/>
      </c>
      <c r="AA38" s="116">
        <f t="array" ref="AA38">IFERROR(_xlfn.SINGLE(INDEX(DATABASE!$AV$14:$BC$968,SUMPRODUCT((ROW(DATABASE!$AV$14:$AV$968)) * (DATABASE!$AV$14:BT$968='Résultats observations'!$A38 ) * (DATABASE!$AW$14:$AW$968= AA$4))-ROW(DATABASE!$AV$14)+1,AA$5)),"")</f>
        <v/>
      </c>
      <c r="AB38" s="116">
        <f t="array" ref="AB38">IFERROR(_xlfn.SINGLE(INDEX(DATABASE!$AV$14:$BC$968,SUMPRODUCT((ROW(DATABASE!$AV$14:$AV$968)) * (DATABASE!$AV$14:BU$968='Résultats observations'!$A38 ) * (DATABASE!$AW$14:$AW$968= AB$4))-ROW(DATABASE!$AV$14)+1,AB$5)),"")</f>
        <v/>
      </c>
      <c r="AC38" s="116">
        <f t="array" ref="AC38">IFERROR(_xlfn.SINGLE(INDEX(DATABASE!$AV$14:$BC$968,SUMPRODUCT((ROW(DATABASE!$AV$14:$AV$968)) * (DATABASE!$AV$14:BV$968='Résultats observations'!$A38 ) * (DATABASE!$AW$14:$AW$968= AC$4))-ROW(DATABASE!$AV$14)+1,AC$5)),"")</f>
        <v/>
      </c>
      <c r="AD38" s="116">
        <f t="array" ref="AD38">IFERROR(_xlfn.SINGLE(INDEX(DATABASE!$AV$14:$BC$968,SUMPRODUCT((ROW(DATABASE!$AV$14:$AV$968)) * (DATABASE!$AV$14:BW$968='Résultats observations'!$A38 ) * (DATABASE!$AW$14:$AW$968= AD$4))-ROW(DATABASE!$AV$14)+1,AD$5)),"")</f>
        <v/>
      </c>
      <c r="AE38" s="116">
        <f t="array" ref="AE38">IFERROR(_xlfn.SINGLE(INDEX(DATABASE!$AV$14:$BC$968,SUMPRODUCT((ROW(DATABASE!$AV$14:$AV$968)) * (DATABASE!$AV$14:BX$968='Résultats observations'!$A38 ) * (DATABASE!$AW$14:$AW$968= AE$4))-ROW(DATABASE!$AV$14)+1,AE$5)),"")</f>
        <v/>
      </c>
      <c r="AF38" s="116">
        <f t="array" ref="AF38">IFERROR(_xlfn.SINGLE(INDEX(DATABASE!$AV$14:$BC$968,SUMPRODUCT((ROW(DATABASE!$AV$14:$AV$968)) * (DATABASE!$AV$14:BY$968='Résultats observations'!$A38 ) * (DATABASE!$AW$14:$AW$968= AF$4))-ROW(DATABASE!$AV$14)+1,AF$5)),"")</f>
        <v/>
      </c>
      <c r="AG38" s="116">
        <f t="array" ref="AG38">IFERROR(_xlfn.SINGLE(INDEX(DATABASE!$AV$14:$BC$968,SUMPRODUCT((ROW(DATABASE!$AV$14:$AV$968)) * (DATABASE!$AV$14:BZ$968='Résultats observations'!$A38 ) * (DATABASE!$AW$14:$AW$968= AG$4))-ROW(DATABASE!$AV$14)+1,AG$5)),"")</f>
        <v/>
      </c>
      <c r="AH38" s="116">
        <f t="array" ref="AH38">IFERROR(_xlfn.SINGLE(INDEX(DATABASE!$AV$14:$BC$968,SUMPRODUCT((ROW(DATABASE!$AV$14:$AV$968)) * (DATABASE!$AV$14:CA$968='Résultats observations'!$A38 ) * (DATABASE!$AW$14:$AW$968= AH$4))-ROW(DATABASE!$AV$14)+1,AH$5)),"")</f>
        <v/>
      </c>
      <c r="AI38" s="116">
        <f t="array" ref="AI38">IFERROR(_xlfn.SINGLE(INDEX(DATABASE!$AV$14:$BC$968,SUMPRODUCT((ROW(DATABASE!$AV$14:$AV$968)) * (DATABASE!$AV$14:CB$968='Résultats observations'!$A38 ) * (DATABASE!$AW$14:$AW$968= AI$4))-ROW(DATABASE!$AV$14)+1,AI$5)),"")</f>
        <v/>
      </c>
      <c r="AJ38" s="116">
        <f t="array" ref="AJ38">IFERROR(_xlfn.SINGLE(INDEX(DATABASE!$AV$14:$BC$968,SUMPRODUCT((ROW(DATABASE!$AV$14:$AV$968)) * (DATABASE!$AV$14:CC$968='Résultats observations'!$A38 ) * (DATABASE!$AW$14:$AW$968= AJ$4))-ROW(DATABASE!$AV$14)+1,AJ$5)),"")</f>
        <v/>
      </c>
      <c r="AK38" s="116">
        <f t="array" ref="AK38">IFERROR(_xlfn.SINGLE(INDEX(DATABASE!$AV$14:$BC$968,SUMPRODUCT((ROW(DATABASE!$AV$14:$AV$968)) * (DATABASE!$AV$14:CD$968='Résultats observations'!$A38 ) * (DATABASE!$AW$14:$AW$968= AK$4))-ROW(DATABASE!$AV$14)+1,AK$5)),"")</f>
        <v/>
      </c>
      <c r="AL38" s="116">
        <f t="array" ref="AL38">IFERROR(_xlfn.SINGLE(INDEX(DATABASE!$AV$14:$BC$968,SUMPRODUCT((ROW(DATABASE!$AV$14:$AV$968)) * (DATABASE!$AV$14:CE$968='Résultats observations'!$A38 ) * (DATABASE!$AW$14:$AW$968= AL$4))-ROW(DATABASE!$AV$14)+1,AL$5)),"")</f>
        <v/>
      </c>
      <c r="AM38" s="116">
        <f t="array" ref="AM38">IFERROR(_xlfn.SINGLE(INDEX(DATABASE!$AV$14:$BC$968,SUMPRODUCT((ROW(DATABASE!$AV$14:$AV$968)) * (DATABASE!$AV$14:CF$968='Résultats observations'!$A38 ) * (DATABASE!$AW$14:$AW$968= AM$4))-ROW(DATABASE!$AV$14)+1,AM$5)),"")</f>
        <v/>
      </c>
      <c r="AN38" s="116">
        <f t="array" ref="AN38">IFERROR(_xlfn.SINGLE(INDEX(DATABASE!$AV$14:$BC$968,SUMPRODUCT((ROW(DATABASE!$AV$14:$AV$968)) * (DATABASE!$AV$14:CG$968='Résultats observations'!$A38 ) * (DATABASE!$AW$14:$AW$968= AN$4))-ROW(DATABASE!$AV$14)+1,AN$5)),"")</f>
        <v/>
      </c>
      <c r="AO38" s="116">
        <f t="array" ref="AO38">IFERROR(_xlfn.SINGLE(INDEX(DATABASE!$AV$14:$BC$968,SUMPRODUCT((ROW(DATABASE!$AV$14:$AV$968)) * (DATABASE!$AV$14:CH$968='Résultats observations'!$A38 ) * (DATABASE!$AW$14:$AW$968= AO$4))-ROW(DATABASE!$AV$14)+1,AO$5)),"")</f>
        <v/>
      </c>
      <c r="AP38" s="116">
        <f t="array" ref="AP38">IFERROR(_xlfn.SINGLE(INDEX(DATABASE!$AV$14:$BC$968,SUMPRODUCT((ROW(DATABASE!$AV$14:$AV$968)) * (DATABASE!$AV$14:CI$968='Résultats observations'!$A38 ) * (DATABASE!$AW$14:$AW$968= AP$4))-ROW(DATABASE!$AV$14)+1,AP$5)),"")</f>
        <v/>
      </c>
      <c r="AQ38" s="116">
        <f t="array" ref="AQ38">IFERROR(_xlfn.SINGLE(INDEX(DATABASE!$AV$14:$BC$968,SUMPRODUCT((ROW(DATABASE!$AV$14:$AV$968)) * (DATABASE!$AV$14:CJ$968='Résultats observations'!$A38 ) * (DATABASE!$AW$14:$AW$968= AQ$4))-ROW(DATABASE!$AV$14)+1,AQ$5)),"")</f>
        <v/>
      </c>
      <c r="AR38" s="116">
        <f t="array" ref="AR38">IFERROR(_xlfn.SINGLE(INDEX(DATABASE!$AV$14:$BC$968,SUMPRODUCT((ROW(DATABASE!$AV$14:$AV$968)) * (DATABASE!$AV$14:CK$968='Résultats observations'!$A38 ) * (DATABASE!$AW$14:$AW$968= AR$4))-ROW(DATABASE!$AV$14)+1,AR$5)),"")</f>
        <v/>
      </c>
      <c r="AS38" s="116">
        <f t="array" ref="AS38">IFERROR(_xlfn.SINGLE(INDEX(DATABASE!$AV$14:$BC$968,SUMPRODUCT((ROW(DATABASE!$AV$14:$AV$968)) * (DATABASE!$AV$14:CL$968='Résultats observations'!$A38 ) * (DATABASE!$AW$14:$AW$968= AS$4))-ROW(DATABASE!$AV$14)+1,AS$5)),"")</f>
        <v/>
      </c>
      <c r="AT38" s="116">
        <f t="array" ref="AT38">IFERROR(_xlfn.SINGLE(INDEX(DATABASE!$AV$14:$BC$968,SUMPRODUCT((ROW(DATABASE!$AV$14:$AV$968)) * (DATABASE!$AV$14:CM$968='Résultats observations'!$A38 ) * (DATABASE!$AW$14:$AW$968= AT$4))-ROW(DATABASE!$AV$14)+1,AT$5)),"")</f>
        <v/>
      </c>
      <c r="AU38" s="116">
        <f t="array" ref="AU38">IFERROR(_xlfn.SINGLE(INDEX(DATABASE!$AV$14:$BC$968,SUMPRODUCT((ROW(DATABASE!$AV$14:$AV$968)) * (DATABASE!$AV$14:CN$968='Résultats observations'!$A38 ) * (DATABASE!$AW$14:$AW$968= AU$4))-ROW(DATABASE!$AV$14)+1,AU$5)),"")</f>
        <v/>
      </c>
      <c r="AV38" s="116">
        <f t="array" ref="AV38">IFERROR(_xlfn.SINGLE(INDEX(DATABASE!$AV$14:$BC$968,SUMPRODUCT((ROW(DATABASE!$AV$14:$AV$968)) * (DATABASE!$AV$14:CO$968='Résultats observations'!$A38 ) * (DATABASE!$AW$14:$AW$968= AV$4))-ROW(DATABASE!$AV$14)+1,AV$5)),"")</f>
        <v/>
      </c>
      <c r="AW38" s="116">
        <f t="array" ref="AW38">IFERROR(_xlfn.SINGLE(INDEX(DATABASE!$AV$14:$BC$968,SUMPRODUCT((ROW(DATABASE!$AV$14:$AV$968)) * (DATABASE!$AV$14:CP$968='Résultats observations'!$A38 ) * (DATABASE!$AW$14:$AW$968= AW$4))-ROW(DATABASE!$AV$14)+1,AW$5)),"")</f>
        <v/>
      </c>
      <c r="AX38" s="116">
        <f t="array" ref="AX38">IFERROR(_xlfn.SINGLE(INDEX(DATABASE!$AV$14:$BC$968,SUMPRODUCT((ROW(DATABASE!$AV$14:$AV$968)) * (DATABASE!$AV$14:CQ$968='Résultats observations'!$A38 ) * (DATABASE!$AW$14:$AW$968= AX$4))-ROW(DATABASE!$AV$14)+1,AX$5)),"")</f>
        <v/>
      </c>
      <c r="AY38" s="116">
        <f t="array" ref="AY38">IFERROR(_xlfn.SINGLE(INDEX(DATABASE!$AV$14:$BC$968,SUMPRODUCT((ROW(DATABASE!$AV$14:$AV$968)) * (DATABASE!$AV$14:CR$968='Résultats observations'!$A38 ) * (DATABASE!$AW$14:$AW$968= AY$4))-ROW(DATABASE!$AV$14)+1,AY$5)),"")</f>
        <v/>
      </c>
      <c r="AZ38" s="116">
        <f t="array" ref="AZ38">IFERROR(_xlfn.SINGLE(INDEX(DATABASE!$AV$14:$BC$968,SUMPRODUCT((ROW(DATABASE!$AV$14:$AV$968)) * (DATABASE!$AV$14:CS$968='Résultats observations'!$A38 ) * (DATABASE!$AW$14:$AW$968= AZ$4))-ROW(DATABASE!$AV$14)+1,AZ$5)),"")</f>
        <v/>
      </c>
      <c r="BA38" s="116">
        <f t="array" ref="BA38">IFERROR(_xlfn.SINGLE(INDEX(DATABASE!$AV$14:$BC$968,SUMPRODUCT((ROW(DATABASE!$AV$14:$AV$968)) * (DATABASE!$AV$14:CT$968='Résultats observations'!$A38 ) * (DATABASE!$AW$14:$AW$968= BA$4))-ROW(DATABASE!$AV$14)+1,BA$5)),"")</f>
        <v/>
      </c>
      <c r="BB38" s="116">
        <f t="array" ref="BB38">IFERROR(_xlfn.SINGLE(INDEX(DATABASE!$AV$14:$BC$968,SUMPRODUCT((ROW(DATABASE!$AV$14:$AV$968)) * (DATABASE!$AV$14:CU$968='Résultats observations'!$A38 ) * (DATABASE!$AW$14:$AW$968= BB$4))-ROW(DATABASE!$AV$14)+1,BB$5)),"")</f>
        <v/>
      </c>
      <c r="BC38" s="116">
        <f t="array" ref="BC38">IFERROR(_xlfn.SINGLE(INDEX(DATABASE!$AV$14:$BC$968,SUMPRODUCT((ROW(DATABASE!$AV$14:$AV$968)) * (DATABASE!$AV$14:CV$968='Résultats observations'!$A38 ) * (DATABASE!$AW$14:$AW$968= BC$4))-ROW(DATABASE!$AV$14)+1,BC$5)),"")</f>
        <v/>
      </c>
      <c r="BD38" s="116">
        <f t="array" ref="BD38">IFERROR(_xlfn.SINGLE(INDEX(DATABASE!$AV$14:$BC$968,SUMPRODUCT((ROW(DATABASE!$AV$14:$AV$968)) * (DATABASE!$AV$14:CW$968='Résultats observations'!$A38 ) * (DATABASE!$AW$14:$AW$968= BD$4))-ROW(DATABASE!$AV$14)+1,BD$5)),"")</f>
        <v/>
      </c>
      <c r="BE38" s="116">
        <f t="array" ref="BE38">IFERROR(_xlfn.SINGLE(INDEX(DATABASE!$AV$14:$BC$968,SUMPRODUCT((ROW(DATABASE!$AV$14:$AV$968)) * (DATABASE!$AV$14:CX$968='Résultats observations'!$A38 ) * (DATABASE!$AW$14:$AW$968= BE$4))-ROW(DATABASE!$AV$14)+1,BE$5)),"")</f>
        <v/>
      </c>
      <c r="BF38" s="116">
        <f t="array" ref="BF38">IFERROR(_xlfn.SINGLE(INDEX(DATABASE!$AV$14:$BC$968,SUMPRODUCT((ROW(DATABASE!$AV$14:$AV$968)) * (DATABASE!$AV$14:CY$968='Résultats observations'!$A38 ) * (DATABASE!$AW$14:$AW$968= BF$4))-ROW(DATABASE!$AV$14)+1,BF$5)),"")</f>
        <v/>
      </c>
      <c r="BG38" s="116">
        <f t="array" ref="BG38">IFERROR(_xlfn.SINGLE(INDEX(DATABASE!$AV$14:$BC$968,SUMPRODUCT((ROW(DATABASE!$AV$14:$AV$968)) * (DATABASE!$AV$14:CZ$968='Résultats observations'!$A38 ) * (DATABASE!$AW$14:$AW$968= BG$4))-ROW(DATABASE!$AV$14)+1,BG$5)),"")</f>
        <v/>
      </c>
      <c r="BH38" s="116">
        <f t="array" ref="BH38">IFERROR(_xlfn.SINGLE(INDEX(DATABASE!$AV$14:$BC$968,SUMPRODUCT((ROW(DATABASE!$AV$14:$AV$968)) * (DATABASE!$AV$14:DA$968='Résultats observations'!$A38 ) * (DATABASE!$AW$14:$AW$968= BH$4))-ROW(DATABASE!$AV$14)+1,BH$5)),"")</f>
        <v/>
      </c>
      <c r="BI38" s="116">
        <f t="array" ref="BI38">IFERROR(_xlfn.SINGLE(INDEX(DATABASE!$AV$14:$BC$968,SUMPRODUCT((ROW(DATABASE!$AV$14:$AV$968)) * (DATABASE!$AV$14:DB$968='Résultats observations'!$A38 ) * (DATABASE!$AW$14:$AW$968= BI$4))-ROW(DATABASE!$AV$14)+1,BI$5)),"")</f>
        <v/>
      </c>
      <c r="BJ38" s="116">
        <f t="array" ref="BJ38">IFERROR(_xlfn.SINGLE(INDEX(DATABASE!$AV$14:$BC$968,SUMPRODUCT((ROW(DATABASE!$AV$14:$AV$968)) * (DATABASE!$AV$14:DC$968='Résultats observations'!$A38 ) * (DATABASE!$AW$14:$AW$968= BJ$4))-ROW(DATABASE!$AV$14)+1,BJ$5)),"")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(DATABASE!AV$14:$AV$968='Résultats observations'!$A39 ) * (DATABASE!$AW$14:$AW$968= C$4))-ROW(DATABASE!$AV$14)+1,C$5)),"")</f>
        <v/>
      </c>
      <c r="D39" s="116">
        <f t="array" ref="D39">IFERROR(_xlfn.SINGLE(INDEX(DATABASE!$AV$14:$BC$968,SUMPRODUCT((ROW(DATABASE!$AV$14:$AV$968)) * (DATABASE!$AV$14:AW$968='Résultats observations'!$A39 ) * (DATABASE!$AW$14:$AW$968= D$4))-ROW(DATABASE!$AV$14)+1,D$5)),"")</f>
        <v/>
      </c>
      <c r="E39" s="116">
        <f t="array" ref="E39">IFERROR(_xlfn.SINGLE(INDEX(DATABASE!$AV$14:$BC$968,SUMPRODUCT((ROW(DATABASE!$AV$14:$AV$968)) * (DATABASE!$AV$14:AX$968='Résultats observations'!$A39 ) * (DATABASE!$AW$14:$AW$968= E$4))-ROW(DATABASE!$AV$14)+1,E$5)),"")</f>
        <v/>
      </c>
      <c r="F39" s="116">
        <f t="array" ref="F39">IFERROR(_xlfn.SINGLE(INDEX(DATABASE!$AV$14:$BC$968,SUMPRODUCT((ROW(DATABASE!$AV$14:$AV$968)) * (DATABASE!$AV$14:AY$968='Résultats observations'!$A39 ) * (DATABASE!$AW$14:$AW$968= F$4))-ROW(DATABASE!$AV$14)+1,F$5)),"")</f>
        <v/>
      </c>
      <c r="G39" s="116">
        <f t="array" ref="G39">IFERROR(_xlfn.SINGLE(INDEX(DATABASE!$AV$14:$BC$968,SUMPRODUCT((ROW(DATABASE!$AV$14:$AV$968)) * (DATABASE!$AV$14:AZ$968='Résultats observations'!$A39 ) * (DATABASE!$AW$14:$AW$968= G$4))-ROW(DATABASE!$AV$14)+1,G$5)),"")</f>
        <v/>
      </c>
      <c r="H39" s="116">
        <f t="array" ref="H39">IFERROR(_xlfn.SINGLE(INDEX(DATABASE!$AV$14:$BC$968,SUMPRODUCT((ROW(DATABASE!$AV$14:$AV$968)) * (DATABASE!$AV$14:BA$968='Résultats observations'!$A39 ) * (DATABASE!$AW$14:$AW$968= H$4))-ROW(DATABASE!$AV$14)+1,H$5)),"")</f>
        <v/>
      </c>
      <c r="I39" s="116">
        <f t="array" ref="I39">IFERROR(_xlfn.SINGLE(INDEX(DATABASE!$AV$14:$BC$968,SUMPRODUCT((ROW(DATABASE!$AV$14:$AV$968)) * (DATABASE!$AV$14:BB$968='Résultats observations'!$A39 ) * (DATABASE!$AW$14:$AW$968= I$4))-ROW(DATABASE!$AV$14)+1,I$5)),"")</f>
        <v/>
      </c>
      <c r="J39" s="116">
        <f t="array" ref="J39">IFERROR(_xlfn.SINGLE(INDEX(DATABASE!$AV$14:$BC$968,SUMPRODUCT((ROW(DATABASE!$AV$14:$AV$968)) * (DATABASE!$AV$14:BC$968='Résultats observations'!$A39 ) * (DATABASE!$AW$14:$AW$968= J$4))-ROW(DATABASE!$AV$14)+1,J$5)),"")</f>
        <v/>
      </c>
      <c r="K39" s="116">
        <f t="array" ref="K39">IFERROR(_xlfn.SINGLE(INDEX(DATABASE!$AV$14:$BC$968,SUMPRODUCT((ROW(DATABASE!$AV$14:$AV$968)) * (DATABASE!$AV$14:BD$968='Résultats observations'!$A39 ) * (DATABASE!$AW$14:$AW$968= K$4))-ROW(DATABASE!$AV$14)+1,K$5)),"")</f>
        <v/>
      </c>
      <c r="L39" s="116">
        <f t="array" ref="L39">IFERROR(_xlfn.SINGLE(INDEX(DATABASE!$AV$14:$BC$968,SUMPRODUCT((ROW(DATABASE!$AV$14:$AV$968)) * (DATABASE!$AV$14:BE$968='Résultats observations'!$A39 ) * (DATABASE!$AW$14:$AW$968= L$4))-ROW(DATABASE!$AV$14)+1,L$5)),"")</f>
        <v/>
      </c>
      <c r="M39" s="116">
        <f t="array" ref="M39">IFERROR(_xlfn.SINGLE(INDEX(DATABASE!$AV$14:$BC$968,SUMPRODUCT((ROW(DATABASE!$AV$14:$AV$968)) * (DATABASE!$AV$14:BF$968='Résultats observations'!$A39 ) * (DATABASE!$AW$14:$AW$968= M$4))-ROW(DATABASE!$AV$14)+1,M$5)),"")</f>
        <v/>
      </c>
      <c r="N39" s="116">
        <f t="array" ref="N39">IFERROR(_xlfn.SINGLE(INDEX(DATABASE!$AV$14:$BC$968,SUMPRODUCT((ROW(DATABASE!$AV$14:$AV$968)) * (DATABASE!$AV$14:BG$968='Résultats observations'!$A39 ) * (DATABASE!$AW$14:$AW$968= N$4))-ROW(DATABASE!$AV$14)+1,N$5)),"")</f>
        <v/>
      </c>
      <c r="O39" s="116">
        <f t="array" ref="O39">IFERROR(_xlfn.SINGLE(INDEX(DATABASE!$AV$14:$BC$968,SUMPRODUCT((ROW(DATABASE!$AV$14:$AV$968)) * (DATABASE!$AV$14:BH$968='Résultats observations'!$A39 ) * (DATABASE!$AW$14:$AW$968= O$4))-ROW(DATABASE!$AV$14)+1,O$5)),"")</f>
        <v/>
      </c>
      <c r="P39" s="116">
        <f t="array" ref="P39">IFERROR(_xlfn.SINGLE(INDEX(DATABASE!$AV$14:$BC$968,SUMPRODUCT((ROW(DATABASE!$AV$14:$AV$968)) * (DATABASE!$AV$14:BI$968='Résultats observations'!$A39 ) * (DATABASE!$AW$14:$AW$968= P$4))-ROW(DATABASE!$AV$14)+1,P$5)),"")</f>
        <v/>
      </c>
      <c r="Q39" s="116">
        <f t="array" ref="Q39">IFERROR(_xlfn.SINGLE(INDEX(DATABASE!$AV$14:$BC$968,SUMPRODUCT((ROW(DATABASE!$AV$14:$AV$968)) * (DATABASE!$AV$14:BJ$968='Résultats observations'!$A39 ) * (DATABASE!$AW$14:$AW$968= Q$4))-ROW(DATABASE!$AV$14)+1,Q$5)),"")</f>
        <v/>
      </c>
      <c r="R39" s="116">
        <f t="array" ref="R39">IFERROR(_xlfn.SINGLE(INDEX(DATABASE!$AV$14:$BC$968,SUMPRODUCT((ROW(DATABASE!$AV$14:$AV$968)) * (DATABASE!$AV$14:BK$968='Résultats observations'!$A39 ) * (DATABASE!$AW$14:$AW$968= R$4))-ROW(DATABASE!$AV$14)+1,R$5)),"")</f>
        <v/>
      </c>
      <c r="S39" s="116">
        <f t="array" ref="S39">IFERROR(_xlfn.SINGLE(INDEX(DATABASE!$AV$14:$BC$968,SUMPRODUCT((ROW(DATABASE!$AV$14:$AV$968)) * (DATABASE!$AV$14:BL$968='Résultats observations'!$A39 ) * (DATABASE!$AW$14:$AW$968= S$4))-ROW(DATABASE!$AV$14)+1,S$5)),"")</f>
        <v/>
      </c>
      <c r="T39" s="116">
        <f t="array" ref="T39">IFERROR(_xlfn.SINGLE(INDEX(DATABASE!$AV$14:$BC$968,SUMPRODUCT((ROW(DATABASE!$AV$14:$AV$968)) * (DATABASE!$AV$14:BM$968='Résultats observations'!$A39 ) * (DATABASE!$AW$14:$AW$968= T$4))-ROW(DATABASE!$AV$14)+1,T$5)),"")</f>
        <v/>
      </c>
      <c r="U39" s="116">
        <f t="array" ref="U39">IFERROR(_xlfn.SINGLE(INDEX(DATABASE!$AV$14:$BC$968,SUMPRODUCT((ROW(DATABASE!$AV$14:$AV$968)) * (DATABASE!$AV$14:BN$968='Résultats observations'!$A39 ) * (DATABASE!$AW$14:$AW$968= U$4))-ROW(DATABASE!$AV$14)+1,U$5)),"")</f>
        <v/>
      </c>
      <c r="V39" s="116">
        <f t="array" ref="V39">IFERROR(_xlfn.SINGLE(INDEX(DATABASE!$AV$14:$BC$968,SUMPRODUCT((ROW(DATABASE!$AV$14:$AV$968)) * (DATABASE!$AV$14:BO$968='Résultats observations'!$A39 ) * (DATABASE!$AW$14:$AW$968= V$4))-ROW(DATABASE!$AV$14)+1,V$5)),"")</f>
        <v/>
      </c>
      <c r="W39" s="116">
        <f t="array" ref="W39">IFERROR(_xlfn.SINGLE(INDEX(DATABASE!$AV$14:$BC$968,SUMPRODUCT((ROW(DATABASE!$AV$14:$AV$968)) * (DATABASE!$AV$14:BP$968='Résultats observations'!$A39 ) * (DATABASE!$AW$14:$AW$968= W$4))-ROW(DATABASE!$AV$14)+1,W$5)),"")</f>
        <v/>
      </c>
      <c r="X39" s="116">
        <f t="array" ref="X39">IFERROR(_xlfn.SINGLE(INDEX(DATABASE!$AV$14:$BC$968,SUMPRODUCT((ROW(DATABASE!$AV$14:$AV$968)) * (DATABASE!$AV$14:BQ$968='Résultats observations'!$A39 ) * (DATABASE!$AW$14:$AW$968= X$4))-ROW(DATABASE!$AV$14)+1,X$5)),"")</f>
        <v/>
      </c>
      <c r="Y39" s="116">
        <f t="array" ref="Y39">IFERROR(_xlfn.SINGLE(INDEX(DATABASE!$AV$14:$BC$968,SUMPRODUCT((ROW(DATABASE!$AV$14:$AV$968)) * (DATABASE!$AV$14:BR$968='Résultats observations'!$A39 ) * (DATABASE!$AW$14:$AW$968= Y$4))-ROW(DATABASE!$AV$14)+1,Y$5)),"")</f>
        <v/>
      </c>
      <c r="Z39" s="116">
        <f t="array" ref="Z39">IFERROR(_xlfn.SINGLE(INDEX(DATABASE!$AV$14:$BC$968,SUMPRODUCT((ROW(DATABASE!$AV$14:$AV$968)) * (DATABASE!$AV$14:BS$968='Résultats observations'!$A39 ) * (DATABASE!$AW$14:$AW$968= Z$4))-ROW(DATABASE!$AV$14)+1,Z$5)),"")</f>
        <v/>
      </c>
      <c r="AA39" s="116">
        <f t="array" ref="AA39">IFERROR(_xlfn.SINGLE(INDEX(DATABASE!$AV$14:$BC$968,SUMPRODUCT((ROW(DATABASE!$AV$14:$AV$968)) * (DATABASE!$AV$14:BT$968='Résultats observations'!$A39 ) * (DATABASE!$AW$14:$AW$968= AA$4))-ROW(DATABASE!$AV$14)+1,AA$5)),"")</f>
        <v/>
      </c>
      <c r="AB39" s="116">
        <f t="array" ref="AB39">IFERROR(_xlfn.SINGLE(INDEX(DATABASE!$AV$14:$BC$968,SUMPRODUCT((ROW(DATABASE!$AV$14:$AV$968)) * (DATABASE!$AV$14:BU$968='Résultats observations'!$A39 ) * (DATABASE!$AW$14:$AW$968= AB$4))-ROW(DATABASE!$AV$14)+1,AB$5)),"")</f>
        <v/>
      </c>
      <c r="AC39" s="116">
        <f t="array" ref="AC39">IFERROR(_xlfn.SINGLE(INDEX(DATABASE!$AV$14:$BC$968,SUMPRODUCT((ROW(DATABASE!$AV$14:$AV$968)) * (DATABASE!$AV$14:BV$968='Résultats observations'!$A39 ) * (DATABASE!$AW$14:$AW$968= AC$4))-ROW(DATABASE!$AV$14)+1,AC$5)),"")</f>
        <v/>
      </c>
      <c r="AD39" s="116">
        <f t="array" ref="AD39">IFERROR(_xlfn.SINGLE(INDEX(DATABASE!$AV$14:$BC$968,SUMPRODUCT((ROW(DATABASE!$AV$14:$AV$968)) * (DATABASE!$AV$14:BW$968='Résultats observations'!$A39 ) * (DATABASE!$AW$14:$AW$968= AD$4))-ROW(DATABASE!$AV$14)+1,AD$5)),"")</f>
        <v/>
      </c>
      <c r="AE39" s="116">
        <f t="array" ref="AE39">IFERROR(_xlfn.SINGLE(INDEX(DATABASE!$AV$14:$BC$968,SUMPRODUCT((ROW(DATABASE!$AV$14:$AV$968)) * (DATABASE!$AV$14:BX$968='Résultats observations'!$A39 ) * (DATABASE!$AW$14:$AW$968= AE$4))-ROW(DATABASE!$AV$14)+1,AE$5)),"")</f>
        <v/>
      </c>
      <c r="AF39" s="116">
        <f t="array" ref="AF39">IFERROR(_xlfn.SINGLE(INDEX(DATABASE!$AV$14:$BC$968,SUMPRODUCT((ROW(DATABASE!$AV$14:$AV$968)) * (DATABASE!$AV$14:BY$968='Résultats observations'!$A39 ) * (DATABASE!$AW$14:$AW$968= AF$4))-ROW(DATABASE!$AV$14)+1,AF$5)),"")</f>
        <v/>
      </c>
      <c r="AG39" s="116">
        <f t="array" ref="AG39">IFERROR(_xlfn.SINGLE(INDEX(DATABASE!$AV$14:$BC$968,SUMPRODUCT((ROW(DATABASE!$AV$14:$AV$968)) * (DATABASE!$AV$14:BZ$968='Résultats observations'!$A39 ) * (DATABASE!$AW$14:$AW$968= AG$4))-ROW(DATABASE!$AV$14)+1,AG$5)),"")</f>
        <v/>
      </c>
      <c r="AH39" s="116">
        <f t="array" ref="AH39">IFERROR(_xlfn.SINGLE(INDEX(DATABASE!$AV$14:$BC$968,SUMPRODUCT((ROW(DATABASE!$AV$14:$AV$968)) * (DATABASE!$AV$14:CA$968='Résultats observations'!$A39 ) * (DATABASE!$AW$14:$AW$968= AH$4))-ROW(DATABASE!$AV$14)+1,AH$5)),"")</f>
        <v/>
      </c>
      <c r="AI39" s="116">
        <f t="array" ref="AI39">IFERROR(_xlfn.SINGLE(INDEX(DATABASE!$AV$14:$BC$968,SUMPRODUCT((ROW(DATABASE!$AV$14:$AV$968)) * (DATABASE!$AV$14:CB$968='Résultats observations'!$A39 ) * (DATABASE!$AW$14:$AW$968= AI$4))-ROW(DATABASE!$AV$14)+1,AI$5)),"")</f>
        <v/>
      </c>
      <c r="AJ39" s="116">
        <f t="array" ref="AJ39">IFERROR(_xlfn.SINGLE(INDEX(DATABASE!$AV$14:$BC$968,SUMPRODUCT((ROW(DATABASE!$AV$14:$AV$968)) * (DATABASE!$AV$14:CC$968='Résultats observations'!$A39 ) * (DATABASE!$AW$14:$AW$968= AJ$4))-ROW(DATABASE!$AV$14)+1,AJ$5)),"")</f>
        <v/>
      </c>
      <c r="AK39" s="116">
        <f t="array" ref="AK39">IFERROR(_xlfn.SINGLE(INDEX(DATABASE!$AV$14:$BC$968,SUMPRODUCT((ROW(DATABASE!$AV$14:$AV$968)) * (DATABASE!$AV$14:CD$968='Résultats observations'!$A39 ) * (DATABASE!$AW$14:$AW$968= AK$4))-ROW(DATABASE!$AV$14)+1,AK$5)),"")</f>
        <v/>
      </c>
      <c r="AL39" s="116">
        <f t="array" ref="AL39">IFERROR(_xlfn.SINGLE(INDEX(DATABASE!$AV$14:$BC$968,SUMPRODUCT((ROW(DATABASE!$AV$14:$AV$968)) * (DATABASE!$AV$14:CE$968='Résultats observations'!$A39 ) * (DATABASE!$AW$14:$AW$968= AL$4))-ROW(DATABASE!$AV$14)+1,AL$5)),"")</f>
        <v/>
      </c>
      <c r="AM39" s="116">
        <f t="array" ref="AM39">IFERROR(_xlfn.SINGLE(INDEX(DATABASE!$AV$14:$BC$968,SUMPRODUCT((ROW(DATABASE!$AV$14:$AV$968)) * (DATABASE!$AV$14:CF$968='Résultats observations'!$A39 ) * (DATABASE!$AW$14:$AW$968= AM$4))-ROW(DATABASE!$AV$14)+1,AM$5)),"")</f>
        <v/>
      </c>
      <c r="AN39" s="116">
        <f t="array" ref="AN39">IFERROR(_xlfn.SINGLE(INDEX(DATABASE!$AV$14:$BC$968,SUMPRODUCT((ROW(DATABASE!$AV$14:$AV$968)) * (DATABASE!$AV$14:CG$968='Résultats observations'!$A39 ) * (DATABASE!$AW$14:$AW$968= AN$4))-ROW(DATABASE!$AV$14)+1,AN$5)),"")</f>
        <v/>
      </c>
      <c r="AO39" s="116">
        <f t="array" ref="AO39">IFERROR(_xlfn.SINGLE(INDEX(DATABASE!$AV$14:$BC$968,SUMPRODUCT((ROW(DATABASE!$AV$14:$AV$968)) * (DATABASE!$AV$14:CH$968='Résultats observations'!$A39 ) * (DATABASE!$AW$14:$AW$968= AO$4))-ROW(DATABASE!$AV$14)+1,AO$5)),"")</f>
        <v/>
      </c>
      <c r="AP39" s="116">
        <f t="array" ref="AP39">IFERROR(_xlfn.SINGLE(INDEX(DATABASE!$AV$14:$BC$968,SUMPRODUCT((ROW(DATABASE!$AV$14:$AV$968)) * (DATABASE!$AV$14:CI$968='Résultats observations'!$A39 ) * (DATABASE!$AW$14:$AW$968= AP$4))-ROW(DATABASE!$AV$14)+1,AP$5)),"")</f>
        <v/>
      </c>
      <c r="AQ39" s="116">
        <f t="array" ref="AQ39">IFERROR(_xlfn.SINGLE(INDEX(DATABASE!$AV$14:$BC$968,SUMPRODUCT((ROW(DATABASE!$AV$14:$AV$968)) * (DATABASE!$AV$14:CJ$968='Résultats observations'!$A39 ) * (DATABASE!$AW$14:$AW$968= AQ$4))-ROW(DATABASE!$AV$14)+1,AQ$5)),"")</f>
        <v/>
      </c>
      <c r="AR39" s="116">
        <f t="array" ref="AR39">IFERROR(_xlfn.SINGLE(INDEX(DATABASE!$AV$14:$BC$968,SUMPRODUCT((ROW(DATABASE!$AV$14:$AV$968)) * (DATABASE!$AV$14:CK$968='Résultats observations'!$A39 ) * (DATABASE!$AW$14:$AW$968= AR$4))-ROW(DATABASE!$AV$14)+1,AR$5)),"")</f>
        <v/>
      </c>
      <c r="AS39" s="116">
        <f t="array" ref="AS39">IFERROR(_xlfn.SINGLE(INDEX(DATABASE!$AV$14:$BC$968,SUMPRODUCT((ROW(DATABASE!$AV$14:$AV$968)) * (DATABASE!$AV$14:CL$968='Résultats observations'!$A39 ) * (DATABASE!$AW$14:$AW$968= AS$4))-ROW(DATABASE!$AV$14)+1,AS$5)),"")</f>
        <v/>
      </c>
      <c r="AT39" s="116">
        <f t="array" ref="AT39">IFERROR(_xlfn.SINGLE(INDEX(DATABASE!$AV$14:$BC$968,SUMPRODUCT((ROW(DATABASE!$AV$14:$AV$968)) * (DATABASE!$AV$14:CM$968='Résultats observations'!$A39 ) * (DATABASE!$AW$14:$AW$968= AT$4))-ROW(DATABASE!$AV$14)+1,AT$5)),"")</f>
        <v/>
      </c>
      <c r="AU39" s="116">
        <f t="array" ref="AU39">IFERROR(_xlfn.SINGLE(INDEX(DATABASE!$AV$14:$BC$968,SUMPRODUCT((ROW(DATABASE!$AV$14:$AV$968)) * (DATABASE!$AV$14:CN$968='Résultats observations'!$A39 ) * (DATABASE!$AW$14:$AW$968= AU$4))-ROW(DATABASE!$AV$14)+1,AU$5)),"")</f>
        <v/>
      </c>
      <c r="AV39" s="116">
        <f t="array" ref="AV39">IFERROR(_xlfn.SINGLE(INDEX(DATABASE!$AV$14:$BC$968,SUMPRODUCT((ROW(DATABASE!$AV$14:$AV$968)) * (DATABASE!$AV$14:CO$968='Résultats observations'!$A39 ) * (DATABASE!$AW$14:$AW$968= AV$4))-ROW(DATABASE!$AV$14)+1,AV$5)),"")</f>
        <v/>
      </c>
      <c r="AW39" s="116">
        <f t="array" ref="AW39">IFERROR(_xlfn.SINGLE(INDEX(DATABASE!$AV$14:$BC$968,SUMPRODUCT((ROW(DATABASE!$AV$14:$AV$968)) * (DATABASE!$AV$14:CP$968='Résultats observations'!$A39 ) * (DATABASE!$AW$14:$AW$968= AW$4))-ROW(DATABASE!$AV$14)+1,AW$5)),"")</f>
        <v/>
      </c>
      <c r="AX39" s="116">
        <f t="array" ref="AX39">IFERROR(_xlfn.SINGLE(INDEX(DATABASE!$AV$14:$BC$968,SUMPRODUCT((ROW(DATABASE!$AV$14:$AV$968)) * (DATABASE!$AV$14:CQ$968='Résultats observations'!$A39 ) * (DATABASE!$AW$14:$AW$968= AX$4))-ROW(DATABASE!$AV$14)+1,AX$5)),"")</f>
        <v/>
      </c>
      <c r="AY39" s="116">
        <f t="array" ref="AY39">IFERROR(_xlfn.SINGLE(INDEX(DATABASE!$AV$14:$BC$968,SUMPRODUCT((ROW(DATABASE!$AV$14:$AV$968)) * (DATABASE!$AV$14:CR$968='Résultats observations'!$A39 ) * (DATABASE!$AW$14:$AW$968= AY$4))-ROW(DATABASE!$AV$14)+1,AY$5)),"")</f>
        <v/>
      </c>
      <c r="AZ39" s="116">
        <f t="array" ref="AZ39">IFERROR(_xlfn.SINGLE(INDEX(DATABASE!$AV$14:$BC$968,SUMPRODUCT((ROW(DATABASE!$AV$14:$AV$968)) * (DATABASE!$AV$14:CS$968='Résultats observations'!$A39 ) * (DATABASE!$AW$14:$AW$968= AZ$4))-ROW(DATABASE!$AV$14)+1,AZ$5)),"")</f>
        <v/>
      </c>
      <c r="BA39" s="116">
        <f t="array" ref="BA39">IFERROR(_xlfn.SINGLE(INDEX(DATABASE!$AV$14:$BC$968,SUMPRODUCT((ROW(DATABASE!$AV$14:$AV$968)) * (DATABASE!$AV$14:CT$968='Résultats observations'!$A39 ) * (DATABASE!$AW$14:$AW$968= BA$4))-ROW(DATABASE!$AV$14)+1,BA$5)),"")</f>
        <v/>
      </c>
      <c r="BB39" s="116">
        <f t="array" ref="BB39">IFERROR(_xlfn.SINGLE(INDEX(DATABASE!$AV$14:$BC$968,SUMPRODUCT((ROW(DATABASE!$AV$14:$AV$968)) * (DATABASE!$AV$14:CU$968='Résultats observations'!$A39 ) * (DATABASE!$AW$14:$AW$968= BB$4))-ROW(DATABASE!$AV$14)+1,BB$5)),"")</f>
        <v/>
      </c>
      <c r="BC39" s="116">
        <f t="array" ref="BC39">IFERROR(_xlfn.SINGLE(INDEX(DATABASE!$AV$14:$BC$968,SUMPRODUCT((ROW(DATABASE!$AV$14:$AV$968)) * (DATABASE!$AV$14:CV$968='Résultats observations'!$A39 ) * (DATABASE!$AW$14:$AW$968= BC$4))-ROW(DATABASE!$AV$14)+1,BC$5)),"")</f>
        <v/>
      </c>
      <c r="BD39" s="116">
        <f t="array" ref="BD39">IFERROR(_xlfn.SINGLE(INDEX(DATABASE!$AV$14:$BC$968,SUMPRODUCT((ROW(DATABASE!$AV$14:$AV$968)) * (DATABASE!$AV$14:CW$968='Résultats observations'!$A39 ) * (DATABASE!$AW$14:$AW$968= BD$4))-ROW(DATABASE!$AV$14)+1,BD$5)),"")</f>
        <v/>
      </c>
      <c r="BE39" s="116">
        <f t="array" ref="BE39">IFERROR(_xlfn.SINGLE(INDEX(DATABASE!$AV$14:$BC$968,SUMPRODUCT((ROW(DATABASE!$AV$14:$AV$968)) * (DATABASE!$AV$14:CX$968='Résultats observations'!$A39 ) * (DATABASE!$AW$14:$AW$968= BE$4))-ROW(DATABASE!$AV$14)+1,BE$5)),"")</f>
        <v/>
      </c>
      <c r="BF39" s="116">
        <f t="array" ref="BF39">IFERROR(_xlfn.SINGLE(INDEX(DATABASE!$AV$14:$BC$968,SUMPRODUCT((ROW(DATABASE!$AV$14:$AV$968)) * (DATABASE!$AV$14:CY$968='Résultats observations'!$A39 ) * (DATABASE!$AW$14:$AW$968= BF$4))-ROW(DATABASE!$AV$14)+1,BF$5)),"")</f>
        <v/>
      </c>
      <c r="BG39" s="116">
        <f t="array" ref="BG39">IFERROR(_xlfn.SINGLE(INDEX(DATABASE!$AV$14:$BC$968,SUMPRODUCT((ROW(DATABASE!$AV$14:$AV$968)) * (DATABASE!$AV$14:CZ$968='Résultats observations'!$A39 ) * (DATABASE!$AW$14:$AW$968= BG$4))-ROW(DATABASE!$AV$14)+1,BG$5)),"")</f>
        <v/>
      </c>
      <c r="BH39" s="116">
        <f t="array" ref="BH39">IFERROR(_xlfn.SINGLE(INDEX(DATABASE!$AV$14:$BC$968,SUMPRODUCT((ROW(DATABASE!$AV$14:$AV$968)) * (DATABASE!$AV$14:DA$968='Résultats observations'!$A39 ) * (DATABASE!$AW$14:$AW$968= BH$4))-ROW(DATABASE!$AV$14)+1,BH$5)),"")</f>
        <v/>
      </c>
      <c r="BI39" s="116">
        <f t="array" ref="BI39">IFERROR(_xlfn.SINGLE(INDEX(DATABASE!$AV$14:$BC$968,SUMPRODUCT((ROW(DATABASE!$AV$14:$AV$968)) * (DATABASE!$AV$14:DB$968='Résultats observations'!$A39 ) * (DATABASE!$AW$14:$AW$968= BI$4))-ROW(DATABASE!$AV$14)+1,BI$5)),"")</f>
        <v/>
      </c>
      <c r="BJ39" s="116">
        <f t="array" ref="BJ39">IFERROR(_xlfn.SINGLE(INDEX(DATABASE!$AV$14:$BC$968,SUMPRODUCT((ROW(DATABASE!$AV$14:$AV$968)) * (DATABASE!$AV$14:DC$968='Résultats observations'!$A39 ) * (DATABASE!$AW$14:$AW$968= BJ$4))-ROW(DATABASE!$AV$14)+1,BJ$5)),"")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(DATABASE!AV$14:$AV$968='Résultats observations'!$A40 ) * (DATABASE!$AW$14:$AW$968= C$4))-ROW(DATABASE!$AV$14)+1,C$5)),"")</f>
        <v/>
      </c>
      <c r="D40" s="116">
        <f t="array" ref="D40">IFERROR(_xlfn.SINGLE(INDEX(DATABASE!$AV$14:$BC$968,SUMPRODUCT((ROW(DATABASE!$AV$14:$AV$968)) * (DATABASE!$AV$14:AW$968='Résultats observations'!$A40 ) * (DATABASE!$AW$14:$AW$968= D$4))-ROW(DATABASE!$AV$14)+1,D$5)),"")</f>
        <v/>
      </c>
      <c r="E40" s="116">
        <f t="array" ref="E40">IFERROR(_xlfn.SINGLE(INDEX(DATABASE!$AV$14:$BC$968,SUMPRODUCT((ROW(DATABASE!$AV$14:$AV$968)) * (DATABASE!$AV$14:AX$968='Résultats observations'!$A40 ) * (DATABASE!$AW$14:$AW$968= E$4))-ROW(DATABASE!$AV$14)+1,E$5)),"")</f>
        <v/>
      </c>
      <c r="F40" s="116">
        <f t="array" ref="F40">IFERROR(_xlfn.SINGLE(INDEX(DATABASE!$AV$14:$BC$968,SUMPRODUCT((ROW(DATABASE!$AV$14:$AV$968)) * (DATABASE!$AV$14:AY$968='Résultats observations'!$A40 ) * (DATABASE!$AW$14:$AW$968= F$4))-ROW(DATABASE!$AV$14)+1,F$5)),"")</f>
        <v/>
      </c>
      <c r="G40" s="116">
        <f t="array" ref="G40">IFERROR(_xlfn.SINGLE(INDEX(DATABASE!$AV$14:$BC$968,SUMPRODUCT((ROW(DATABASE!$AV$14:$AV$968)) * (DATABASE!$AV$14:AZ$968='Résultats observations'!$A40 ) * (DATABASE!$AW$14:$AW$968= G$4))-ROW(DATABASE!$AV$14)+1,G$5)),"")</f>
        <v/>
      </c>
      <c r="H40" s="116">
        <f t="array" ref="H40">IFERROR(_xlfn.SINGLE(INDEX(DATABASE!$AV$14:$BC$968,SUMPRODUCT((ROW(DATABASE!$AV$14:$AV$968)) * (DATABASE!$AV$14:BA$968='Résultats observations'!$A40 ) * (DATABASE!$AW$14:$AW$968= H$4))-ROW(DATABASE!$AV$14)+1,H$5)),"")</f>
        <v/>
      </c>
      <c r="I40" s="116">
        <f t="array" ref="I40">IFERROR(_xlfn.SINGLE(INDEX(DATABASE!$AV$14:$BC$968,SUMPRODUCT((ROW(DATABASE!$AV$14:$AV$968)) * (DATABASE!$AV$14:BB$968='Résultats observations'!$A40 ) * (DATABASE!$AW$14:$AW$968= I$4))-ROW(DATABASE!$AV$14)+1,I$5)),"")</f>
        <v/>
      </c>
      <c r="J40" s="116">
        <f t="array" ref="J40">IFERROR(_xlfn.SINGLE(INDEX(DATABASE!$AV$14:$BC$968,SUMPRODUCT((ROW(DATABASE!$AV$14:$AV$968)) * (DATABASE!$AV$14:BC$968='Résultats observations'!$A40 ) * (DATABASE!$AW$14:$AW$968= J$4))-ROW(DATABASE!$AV$14)+1,J$5)),"")</f>
        <v/>
      </c>
      <c r="K40" s="116">
        <f t="array" ref="K40">IFERROR(_xlfn.SINGLE(INDEX(DATABASE!$AV$14:$BC$968,SUMPRODUCT((ROW(DATABASE!$AV$14:$AV$968)) * (DATABASE!$AV$14:BD$968='Résultats observations'!$A40 ) * (DATABASE!$AW$14:$AW$968= K$4))-ROW(DATABASE!$AV$14)+1,K$5)),"")</f>
        <v/>
      </c>
      <c r="L40" s="116">
        <f t="array" ref="L40">IFERROR(_xlfn.SINGLE(INDEX(DATABASE!$AV$14:$BC$968,SUMPRODUCT((ROW(DATABASE!$AV$14:$AV$968)) * (DATABASE!$AV$14:BE$968='Résultats observations'!$A40 ) * (DATABASE!$AW$14:$AW$968= L$4))-ROW(DATABASE!$AV$14)+1,L$5)),"")</f>
        <v/>
      </c>
      <c r="M40" s="116">
        <f t="array" ref="M40">IFERROR(_xlfn.SINGLE(INDEX(DATABASE!$AV$14:$BC$968,SUMPRODUCT((ROW(DATABASE!$AV$14:$AV$968)) * (DATABASE!$AV$14:BF$968='Résultats observations'!$A40 ) * (DATABASE!$AW$14:$AW$968= M$4))-ROW(DATABASE!$AV$14)+1,M$5)),"")</f>
        <v/>
      </c>
      <c r="N40" s="116">
        <f t="array" ref="N40">IFERROR(_xlfn.SINGLE(INDEX(DATABASE!$AV$14:$BC$968,SUMPRODUCT((ROW(DATABASE!$AV$14:$AV$968)) * (DATABASE!$AV$14:BG$968='Résultats observations'!$A40 ) * (DATABASE!$AW$14:$AW$968= N$4))-ROW(DATABASE!$AV$14)+1,N$5)),"")</f>
        <v/>
      </c>
      <c r="O40" s="116">
        <f t="array" ref="O40">IFERROR(_xlfn.SINGLE(INDEX(DATABASE!$AV$14:$BC$968,SUMPRODUCT((ROW(DATABASE!$AV$14:$AV$968)) * (DATABASE!$AV$14:BH$968='Résultats observations'!$A40 ) * (DATABASE!$AW$14:$AW$968= O$4))-ROW(DATABASE!$AV$14)+1,O$5)),"")</f>
        <v/>
      </c>
      <c r="P40" s="116">
        <f t="array" ref="P40">IFERROR(_xlfn.SINGLE(INDEX(DATABASE!$AV$14:$BC$968,SUMPRODUCT((ROW(DATABASE!$AV$14:$AV$968)) * (DATABASE!$AV$14:BI$968='Résultats observations'!$A40 ) * (DATABASE!$AW$14:$AW$968= P$4))-ROW(DATABASE!$AV$14)+1,P$5)),"")</f>
        <v/>
      </c>
      <c r="Q40" s="116">
        <f t="array" ref="Q40">IFERROR(_xlfn.SINGLE(INDEX(DATABASE!$AV$14:$BC$968,SUMPRODUCT((ROW(DATABASE!$AV$14:$AV$968)) * (DATABASE!$AV$14:BJ$968='Résultats observations'!$A40 ) * (DATABASE!$AW$14:$AW$968= Q$4))-ROW(DATABASE!$AV$14)+1,Q$5)),"")</f>
        <v/>
      </c>
      <c r="R40" s="116">
        <f t="array" ref="R40">IFERROR(_xlfn.SINGLE(INDEX(DATABASE!$AV$14:$BC$968,SUMPRODUCT((ROW(DATABASE!$AV$14:$AV$968)) * (DATABASE!$AV$14:BK$968='Résultats observations'!$A40 ) * (DATABASE!$AW$14:$AW$968= R$4))-ROW(DATABASE!$AV$14)+1,R$5)),"")</f>
        <v/>
      </c>
      <c r="S40" s="116">
        <f t="array" ref="S40">IFERROR(_xlfn.SINGLE(INDEX(DATABASE!$AV$14:$BC$968,SUMPRODUCT((ROW(DATABASE!$AV$14:$AV$968)) * (DATABASE!$AV$14:BL$968='Résultats observations'!$A40 ) * (DATABASE!$AW$14:$AW$968= S$4))-ROW(DATABASE!$AV$14)+1,S$5)),"")</f>
        <v/>
      </c>
      <c r="T40" s="116">
        <f t="array" ref="T40">IFERROR(_xlfn.SINGLE(INDEX(DATABASE!$AV$14:$BC$968,SUMPRODUCT((ROW(DATABASE!$AV$14:$AV$968)) * (DATABASE!$AV$14:BM$968='Résultats observations'!$A40 ) * (DATABASE!$AW$14:$AW$968= T$4))-ROW(DATABASE!$AV$14)+1,T$5)),"")</f>
        <v/>
      </c>
      <c r="U40" s="116">
        <f t="array" ref="U40">IFERROR(_xlfn.SINGLE(INDEX(DATABASE!$AV$14:$BC$968,SUMPRODUCT((ROW(DATABASE!$AV$14:$AV$968)) * (DATABASE!$AV$14:BN$968='Résultats observations'!$A40 ) * (DATABASE!$AW$14:$AW$968= U$4))-ROW(DATABASE!$AV$14)+1,U$5)),"")</f>
        <v/>
      </c>
      <c r="V40" s="116">
        <f t="array" ref="V40">IFERROR(_xlfn.SINGLE(INDEX(DATABASE!$AV$14:$BC$968,SUMPRODUCT((ROW(DATABASE!$AV$14:$AV$968)) * (DATABASE!$AV$14:BO$968='Résultats observations'!$A40 ) * (DATABASE!$AW$14:$AW$968= V$4))-ROW(DATABASE!$AV$14)+1,V$5)),"")</f>
        <v/>
      </c>
      <c r="W40" s="116">
        <f t="array" ref="W40">IFERROR(_xlfn.SINGLE(INDEX(DATABASE!$AV$14:$BC$968,SUMPRODUCT((ROW(DATABASE!$AV$14:$AV$968)) * (DATABASE!$AV$14:BP$968='Résultats observations'!$A40 ) * (DATABASE!$AW$14:$AW$968= W$4))-ROW(DATABASE!$AV$14)+1,W$5)),"")</f>
        <v/>
      </c>
      <c r="X40" s="116">
        <f t="array" ref="X40">IFERROR(_xlfn.SINGLE(INDEX(DATABASE!$AV$14:$BC$968,SUMPRODUCT((ROW(DATABASE!$AV$14:$AV$968)) * (DATABASE!$AV$14:BQ$968='Résultats observations'!$A40 ) * (DATABASE!$AW$14:$AW$968= X$4))-ROW(DATABASE!$AV$14)+1,X$5)),"")</f>
        <v/>
      </c>
      <c r="Y40" s="116">
        <f t="array" ref="Y40">IFERROR(_xlfn.SINGLE(INDEX(DATABASE!$AV$14:$BC$968,SUMPRODUCT((ROW(DATABASE!$AV$14:$AV$968)) * (DATABASE!$AV$14:BR$968='Résultats observations'!$A40 ) * (DATABASE!$AW$14:$AW$968= Y$4))-ROW(DATABASE!$AV$14)+1,Y$5)),"")</f>
        <v/>
      </c>
      <c r="Z40" s="116">
        <f t="array" ref="Z40">IFERROR(_xlfn.SINGLE(INDEX(DATABASE!$AV$14:$BC$968,SUMPRODUCT((ROW(DATABASE!$AV$14:$AV$968)) * (DATABASE!$AV$14:BS$968='Résultats observations'!$A40 ) * (DATABASE!$AW$14:$AW$968= Z$4))-ROW(DATABASE!$AV$14)+1,Z$5)),"")</f>
        <v/>
      </c>
      <c r="AA40" s="116">
        <f t="array" ref="AA40">IFERROR(_xlfn.SINGLE(INDEX(DATABASE!$AV$14:$BC$968,SUMPRODUCT((ROW(DATABASE!$AV$14:$AV$968)) * (DATABASE!$AV$14:BT$968='Résultats observations'!$A40 ) * (DATABASE!$AW$14:$AW$968= AA$4))-ROW(DATABASE!$AV$14)+1,AA$5)),"")</f>
        <v/>
      </c>
      <c r="AB40" s="116">
        <f t="array" ref="AB40">IFERROR(_xlfn.SINGLE(INDEX(DATABASE!$AV$14:$BC$968,SUMPRODUCT((ROW(DATABASE!$AV$14:$AV$968)) * (DATABASE!$AV$14:BU$968='Résultats observations'!$A40 ) * (DATABASE!$AW$14:$AW$968= AB$4))-ROW(DATABASE!$AV$14)+1,AB$5)),"")</f>
        <v/>
      </c>
      <c r="AC40" s="116">
        <f t="array" ref="AC40">IFERROR(_xlfn.SINGLE(INDEX(DATABASE!$AV$14:$BC$968,SUMPRODUCT((ROW(DATABASE!$AV$14:$AV$968)) * (DATABASE!$AV$14:BV$968='Résultats observations'!$A40 ) * (DATABASE!$AW$14:$AW$968= AC$4))-ROW(DATABASE!$AV$14)+1,AC$5)),"")</f>
        <v/>
      </c>
      <c r="AD40" s="116">
        <f t="array" ref="AD40">IFERROR(_xlfn.SINGLE(INDEX(DATABASE!$AV$14:$BC$968,SUMPRODUCT((ROW(DATABASE!$AV$14:$AV$968)) * (DATABASE!$AV$14:BW$968='Résultats observations'!$A40 ) * (DATABASE!$AW$14:$AW$968= AD$4))-ROW(DATABASE!$AV$14)+1,AD$5)),"")</f>
        <v/>
      </c>
      <c r="AE40" s="116">
        <f t="array" ref="AE40">IFERROR(_xlfn.SINGLE(INDEX(DATABASE!$AV$14:$BC$968,SUMPRODUCT((ROW(DATABASE!$AV$14:$AV$968)) * (DATABASE!$AV$14:BX$968='Résultats observations'!$A40 ) * (DATABASE!$AW$14:$AW$968= AE$4))-ROW(DATABASE!$AV$14)+1,AE$5)),"")</f>
        <v/>
      </c>
      <c r="AF40" s="116">
        <f t="array" ref="AF40">IFERROR(_xlfn.SINGLE(INDEX(DATABASE!$AV$14:$BC$968,SUMPRODUCT((ROW(DATABASE!$AV$14:$AV$968)) * (DATABASE!$AV$14:BY$968='Résultats observations'!$A40 ) * (DATABASE!$AW$14:$AW$968= AF$4))-ROW(DATABASE!$AV$14)+1,AF$5)),"")</f>
        <v/>
      </c>
      <c r="AG40" s="116">
        <f t="array" ref="AG40">IFERROR(_xlfn.SINGLE(INDEX(DATABASE!$AV$14:$BC$968,SUMPRODUCT((ROW(DATABASE!$AV$14:$AV$968)) * (DATABASE!$AV$14:BZ$968='Résultats observations'!$A40 ) * (DATABASE!$AW$14:$AW$968= AG$4))-ROW(DATABASE!$AV$14)+1,AG$5)),"")</f>
        <v/>
      </c>
      <c r="AH40" s="116">
        <f t="array" ref="AH40">IFERROR(_xlfn.SINGLE(INDEX(DATABASE!$AV$14:$BC$968,SUMPRODUCT((ROW(DATABASE!$AV$14:$AV$968)) * (DATABASE!$AV$14:CA$968='Résultats observations'!$A40 ) * (DATABASE!$AW$14:$AW$968= AH$4))-ROW(DATABASE!$AV$14)+1,AH$5)),"")</f>
        <v/>
      </c>
      <c r="AI40" s="116">
        <f t="array" ref="AI40">IFERROR(_xlfn.SINGLE(INDEX(DATABASE!$AV$14:$BC$968,SUMPRODUCT((ROW(DATABASE!$AV$14:$AV$968)) * (DATABASE!$AV$14:CB$968='Résultats observations'!$A40 ) * (DATABASE!$AW$14:$AW$968= AI$4))-ROW(DATABASE!$AV$14)+1,AI$5)),"")</f>
        <v/>
      </c>
      <c r="AJ40" s="116">
        <f t="array" ref="AJ40">IFERROR(_xlfn.SINGLE(INDEX(DATABASE!$AV$14:$BC$968,SUMPRODUCT((ROW(DATABASE!$AV$14:$AV$968)) * (DATABASE!$AV$14:CC$968='Résultats observations'!$A40 ) * (DATABASE!$AW$14:$AW$968= AJ$4))-ROW(DATABASE!$AV$14)+1,AJ$5)),"")</f>
        <v/>
      </c>
      <c r="AK40" s="116">
        <f t="array" ref="AK40">IFERROR(_xlfn.SINGLE(INDEX(DATABASE!$AV$14:$BC$968,SUMPRODUCT((ROW(DATABASE!$AV$14:$AV$968)) * (DATABASE!$AV$14:CD$968='Résultats observations'!$A40 ) * (DATABASE!$AW$14:$AW$968= AK$4))-ROW(DATABASE!$AV$14)+1,AK$5)),"")</f>
        <v/>
      </c>
      <c r="AL40" s="116">
        <f t="array" ref="AL40">IFERROR(_xlfn.SINGLE(INDEX(DATABASE!$AV$14:$BC$968,SUMPRODUCT((ROW(DATABASE!$AV$14:$AV$968)) * (DATABASE!$AV$14:CE$968='Résultats observations'!$A40 ) * (DATABASE!$AW$14:$AW$968= AL$4))-ROW(DATABASE!$AV$14)+1,AL$5)),"")</f>
        <v/>
      </c>
      <c r="AM40" s="116">
        <f t="array" ref="AM40">IFERROR(_xlfn.SINGLE(INDEX(DATABASE!$AV$14:$BC$968,SUMPRODUCT((ROW(DATABASE!$AV$14:$AV$968)) * (DATABASE!$AV$14:CF$968='Résultats observations'!$A40 ) * (DATABASE!$AW$14:$AW$968= AM$4))-ROW(DATABASE!$AV$14)+1,AM$5)),"")</f>
        <v/>
      </c>
      <c r="AN40" s="116">
        <f t="array" ref="AN40">IFERROR(_xlfn.SINGLE(INDEX(DATABASE!$AV$14:$BC$968,SUMPRODUCT((ROW(DATABASE!$AV$14:$AV$968)) * (DATABASE!$AV$14:CG$968='Résultats observations'!$A40 ) * (DATABASE!$AW$14:$AW$968= AN$4))-ROW(DATABASE!$AV$14)+1,AN$5)),"")</f>
        <v/>
      </c>
      <c r="AO40" s="116">
        <f t="array" ref="AO40">IFERROR(_xlfn.SINGLE(INDEX(DATABASE!$AV$14:$BC$968,SUMPRODUCT((ROW(DATABASE!$AV$14:$AV$968)) * (DATABASE!$AV$14:CH$968='Résultats observations'!$A40 ) * (DATABASE!$AW$14:$AW$968= AO$4))-ROW(DATABASE!$AV$14)+1,AO$5)),"")</f>
        <v/>
      </c>
      <c r="AP40" s="116">
        <f t="array" ref="AP40">IFERROR(_xlfn.SINGLE(INDEX(DATABASE!$AV$14:$BC$968,SUMPRODUCT((ROW(DATABASE!$AV$14:$AV$968)) * (DATABASE!$AV$14:CI$968='Résultats observations'!$A40 ) * (DATABASE!$AW$14:$AW$968= AP$4))-ROW(DATABASE!$AV$14)+1,AP$5)),"")</f>
        <v/>
      </c>
      <c r="AQ40" s="116">
        <f t="array" ref="AQ40">IFERROR(_xlfn.SINGLE(INDEX(DATABASE!$AV$14:$BC$968,SUMPRODUCT((ROW(DATABASE!$AV$14:$AV$968)) * (DATABASE!$AV$14:CJ$968='Résultats observations'!$A40 ) * (DATABASE!$AW$14:$AW$968= AQ$4))-ROW(DATABASE!$AV$14)+1,AQ$5)),"")</f>
        <v/>
      </c>
      <c r="AR40" s="116">
        <f t="array" ref="AR40">IFERROR(_xlfn.SINGLE(INDEX(DATABASE!$AV$14:$BC$968,SUMPRODUCT((ROW(DATABASE!$AV$14:$AV$968)) * (DATABASE!$AV$14:CK$968='Résultats observations'!$A40 ) * (DATABASE!$AW$14:$AW$968= AR$4))-ROW(DATABASE!$AV$14)+1,AR$5)),"")</f>
        <v/>
      </c>
      <c r="AS40" s="116">
        <f t="array" ref="AS40">IFERROR(_xlfn.SINGLE(INDEX(DATABASE!$AV$14:$BC$968,SUMPRODUCT((ROW(DATABASE!$AV$14:$AV$968)) * (DATABASE!$AV$14:CL$968='Résultats observations'!$A40 ) * (DATABASE!$AW$14:$AW$968= AS$4))-ROW(DATABASE!$AV$14)+1,AS$5)),"")</f>
        <v/>
      </c>
      <c r="AT40" s="116">
        <f t="array" ref="AT40">IFERROR(_xlfn.SINGLE(INDEX(DATABASE!$AV$14:$BC$968,SUMPRODUCT((ROW(DATABASE!$AV$14:$AV$968)) * (DATABASE!$AV$14:CM$968='Résultats observations'!$A40 ) * (DATABASE!$AW$14:$AW$968= AT$4))-ROW(DATABASE!$AV$14)+1,AT$5)),"")</f>
        <v/>
      </c>
      <c r="AU40" s="116">
        <f t="array" ref="AU40">IFERROR(_xlfn.SINGLE(INDEX(DATABASE!$AV$14:$BC$968,SUMPRODUCT((ROW(DATABASE!$AV$14:$AV$968)) * (DATABASE!$AV$14:CN$968='Résultats observations'!$A40 ) * (DATABASE!$AW$14:$AW$968= AU$4))-ROW(DATABASE!$AV$14)+1,AU$5)),"")</f>
        <v/>
      </c>
      <c r="AV40" s="116">
        <f t="array" ref="AV40">IFERROR(_xlfn.SINGLE(INDEX(DATABASE!$AV$14:$BC$968,SUMPRODUCT((ROW(DATABASE!$AV$14:$AV$968)) * (DATABASE!$AV$14:CO$968='Résultats observations'!$A40 ) * (DATABASE!$AW$14:$AW$968= AV$4))-ROW(DATABASE!$AV$14)+1,AV$5)),"")</f>
        <v/>
      </c>
      <c r="AW40" s="116">
        <f t="array" ref="AW40">IFERROR(_xlfn.SINGLE(INDEX(DATABASE!$AV$14:$BC$968,SUMPRODUCT((ROW(DATABASE!$AV$14:$AV$968)) * (DATABASE!$AV$14:CP$968='Résultats observations'!$A40 ) * (DATABASE!$AW$14:$AW$968= AW$4))-ROW(DATABASE!$AV$14)+1,AW$5)),"")</f>
        <v/>
      </c>
      <c r="AX40" s="116">
        <f t="array" ref="AX40">IFERROR(_xlfn.SINGLE(INDEX(DATABASE!$AV$14:$BC$968,SUMPRODUCT((ROW(DATABASE!$AV$14:$AV$968)) * (DATABASE!$AV$14:CQ$968='Résultats observations'!$A40 ) * (DATABASE!$AW$14:$AW$968= AX$4))-ROW(DATABASE!$AV$14)+1,AX$5)),"")</f>
        <v/>
      </c>
      <c r="AY40" s="116">
        <f t="array" ref="AY40">IFERROR(_xlfn.SINGLE(INDEX(DATABASE!$AV$14:$BC$968,SUMPRODUCT((ROW(DATABASE!$AV$14:$AV$968)) * (DATABASE!$AV$14:CR$968='Résultats observations'!$A40 ) * (DATABASE!$AW$14:$AW$968= AY$4))-ROW(DATABASE!$AV$14)+1,AY$5)),"")</f>
        <v/>
      </c>
      <c r="AZ40" s="116">
        <f t="array" ref="AZ40">IFERROR(_xlfn.SINGLE(INDEX(DATABASE!$AV$14:$BC$968,SUMPRODUCT((ROW(DATABASE!$AV$14:$AV$968)) * (DATABASE!$AV$14:CS$968='Résultats observations'!$A40 ) * (DATABASE!$AW$14:$AW$968= AZ$4))-ROW(DATABASE!$AV$14)+1,AZ$5)),"")</f>
        <v/>
      </c>
      <c r="BA40" s="116">
        <f t="array" ref="BA40">IFERROR(_xlfn.SINGLE(INDEX(DATABASE!$AV$14:$BC$968,SUMPRODUCT((ROW(DATABASE!$AV$14:$AV$968)) * (DATABASE!$AV$14:CT$968='Résultats observations'!$A40 ) * (DATABASE!$AW$14:$AW$968= BA$4))-ROW(DATABASE!$AV$14)+1,BA$5)),"")</f>
        <v/>
      </c>
      <c r="BB40" s="116">
        <f t="array" ref="BB40">IFERROR(_xlfn.SINGLE(INDEX(DATABASE!$AV$14:$BC$968,SUMPRODUCT((ROW(DATABASE!$AV$14:$AV$968)) * (DATABASE!$AV$14:CU$968='Résultats observations'!$A40 ) * (DATABASE!$AW$14:$AW$968= BB$4))-ROW(DATABASE!$AV$14)+1,BB$5)),"")</f>
        <v/>
      </c>
      <c r="BC40" s="116">
        <f t="array" ref="BC40">IFERROR(_xlfn.SINGLE(INDEX(DATABASE!$AV$14:$BC$968,SUMPRODUCT((ROW(DATABASE!$AV$14:$AV$968)) * (DATABASE!$AV$14:CV$968='Résultats observations'!$A40 ) * (DATABASE!$AW$14:$AW$968= BC$4))-ROW(DATABASE!$AV$14)+1,BC$5)),"")</f>
        <v/>
      </c>
      <c r="BD40" s="116">
        <f t="array" ref="BD40">IFERROR(_xlfn.SINGLE(INDEX(DATABASE!$AV$14:$BC$968,SUMPRODUCT((ROW(DATABASE!$AV$14:$AV$968)) * (DATABASE!$AV$14:CW$968='Résultats observations'!$A40 ) * (DATABASE!$AW$14:$AW$968= BD$4))-ROW(DATABASE!$AV$14)+1,BD$5)),"")</f>
        <v/>
      </c>
      <c r="BE40" s="116">
        <f t="array" ref="BE40">IFERROR(_xlfn.SINGLE(INDEX(DATABASE!$AV$14:$BC$968,SUMPRODUCT((ROW(DATABASE!$AV$14:$AV$968)) * (DATABASE!$AV$14:CX$968='Résultats observations'!$A40 ) * (DATABASE!$AW$14:$AW$968= BE$4))-ROW(DATABASE!$AV$14)+1,BE$5)),"")</f>
        <v/>
      </c>
      <c r="BF40" s="116">
        <f t="array" ref="BF40">IFERROR(_xlfn.SINGLE(INDEX(DATABASE!$AV$14:$BC$968,SUMPRODUCT((ROW(DATABASE!$AV$14:$AV$968)) * (DATABASE!$AV$14:CY$968='Résultats observations'!$A40 ) * (DATABASE!$AW$14:$AW$968= BF$4))-ROW(DATABASE!$AV$14)+1,BF$5)),"")</f>
        <v/>
      </c>
      <c r="BG40" s="116">
        <f t="array" ref="BG40">IFERROR(_xlfn.SINGLE(INDEX(DATABASE!$AV$14:$BC$968,SUMPRODUCT((ROW(DATABASE!$AV$14:$AV$968)) * (DATABASE!$AV$14:CZ$968='Résultats observations'!$A40 ) * (DATABASE!$AW$14:$AW$968= BG$4))-ROW(DATABASE!$AV$14)+1,BG$5)),"")</f>
        <v/>
      </c>
      <c r="BH40" s="116">
        <f t="array" ref="BH40">IFERROR(_xlfn.SINGLE(INDEX(DATABASE!$AV$14:$BC$968,SUMPRODUCT((ROW(DATABASE!$AV$14:$AV$968)) * (DATABASE!$AV$14:DA$968='Résultats observations'!$A40 ) * (DATABASE!$AW$14:$AW$968= BH$4))-ROW(DATABASE!$AV$14)+1,BH$5)),"")</f>
        <v/>
      </c>
      <c r="BI40" s="116">
        <f t="array" ref="BI40">IFERROR(_xlfn.SINGLE(INDEX(DATABASE!$AV$14:$BC$968,SUMPRODUCT((ROW(DATABASE!$AV$14:$AV$968)) * (DATABASE!$AV$14:DB$968='Résultats observations'!$A40 ) * (DATABASE!$AW$14:$AW$968= BI$4))-ROW(DATABASE!$AV$14)+1,BI$5)),"")</f>
        <v/>
      </c>
      <c r="BJ40" s="116">
        <f t="array" ref="BJ40">IFERROR(_xlfn.SINGLE(INDEX(DATABASE!$AV$14:$BC$968,SUMPRODUCT((ROW(DATABASE!$AV$14:$AV$968)) * (DATABASE!$AV$14:DC$968='Résultats observations'!$A40 ) * (DATABASE!$AW$14:$AW$968= BJ$4))-ROW(DATABASE!$AV$14)+1,BJ$5)),"")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(DATABASE!AV$14:$AV$968='Résultats observations'!$A41 ) * (DATABASE!$AW$14:$AW$968= C$4))-ROW(DATABASE!$AV$14)+1,C$5)),"")</f>
        <v/>
      </c>
      <c r="D41" s="116">
        <f t="array" ref="D41">IFERROR(_xlfn.SINGLE(INDEX(DATABASE!$AV$14:$BC$968,SUMPRODUCT((ROW(DATABASE!$AV$14:$AV$968)) * (DATABASE!$AV$14:AW$968='Résultats observations'!$A41 ) * (DATABASE!$AW$14:$AW$968= D$4))-ROW(DATABASE!$AV$14)+1,D$5)),"")</f>
        <v/>
      </c>
      <c r="E41" s="116">
        <f t="array" ref="E41">IFERROR(_xlfn.SINGLE(INDEX(DATABASE!$AV$14:$BC$968,SUMPRODUCT((ROW(DATABASE!$AV$14:$AV$968)) * (DATABASE!$AV$14:AX$968='Résultats observations'!$A41 ) * (DATABASE!$AW$14:$AW$968= E$4))-ROW(DATABASE!$AV$14)+1,E$5)),"")</f>
        <v/>
      </c>
      <c r="F41" s="116">
        <f t="array" ref="F41">IFERROR(_xlfn.SINGLE(INDEX(DATABASE!$AV$14:$BC$968,SUMPRODUCT((ROW(DATABASE!$AV$14:$AV$968)) * (DATABASE!$AV$14:AY$968='Résultats observations'!$A41 ) * (DATABASE!$AW$14:$AW$968= F$4))-ROW(DATABASE!$AV$14)+1,F$5)),"")</f>
        <v/>
      </c>
      <c r="G41" s="116">
        <f t="array" ref="G41">IFERROR(_xlfn.SINGLE(INDEX(DATABASE!$AV$14:$BC$968,SUMPRODUCT((ROW(DATABASE!$AV$14:$AV$968)) * (DATABASE!$AV$14:AZ$968='Résultats observations'!$A41 ) * (DATABASE!$AW$14:$AW$968= G$4))-ROW(DATABASE!$AV$14)+1,G$5)),"")</f>
        <v/>
      </c>
      <c r="H41" s="116">
        <f t="array" ref="H41">IFERROR(_xlfn.SINGLE(INDEX(DATABASE!$AV$14:$BC$968,SUMPRODUCT((ROW(DATABASE!$AV$14:$AV$968)) * (DATABASE!$AV$14:BA$968='Résultats observations'!$A41 ) * (DATABASE!$AW$14:$AW$968= H$4))-ROW(DATABASE!$AV$14)+1,H$5)),"")</f>
        <v/>
      </c>
      <c r="I41" s="116">
        <f t="array" ref="I41">IFERROR(_xlfn.SINGLE(INDEX(DATABASE!$AV$14:$BC$968,SUMPRODUCT((ROW(DATABASE!$AV$14:$AV$968)) * (DATABASE!$AV$14:BB$968='Résultats observations'!$A41 ) * (DATABASE!$AW$14:$AW$968= I$4))-ROW(DATABASE!$AV$14)+1,I$5)),"")</f>
        <v/>
      </c>
      <c r="J41" s="116">
        <f t="array" ref="J41">IFERROR(_xlfn.SINGLE(INDEX(DATABASE!$AV$14:$BC$968,SUMPRODUCT((ROW(DATABASE!$AV$14:$AV$968)) * (DATABASE!$AV$14:BC$968='Résultats observations'!$A41 ) * (DATABASE!$AW$14:$AW$968= J$4))-ROW(DATABASE!$AV$14)+1,J$5)),"")</f>
        <v/>
      </c>
      <c r="K41" s="116">
        <f t="array" ref="K41">IFERROR(_xlfn.SINGLE(INDEX(DATABASE!$AV$14:$BC$968,SUMPRODUCT((ROW(DATABASE!$AV$14:$AV$968)) * (DATABASE!$AV$14:BD$968='Résultats observations'!$A41 ) * (DATABASE!$AW$14:$AW$968= K$4))-ROW(DATABASE!$AV$14)+1,K$5)),"")</f>
        <v/>
      </c>
      <c r="L41" s="116">
        <f t="array" ref="L41">IFERROR(_xlfn.SINGLE(INDEX(DATABASE!$AV$14:$BC$968,SUMPRODUCT((ROW(DATABASE!$AV$14:$AV$968)) * (DATABASE!$AV$14:BE$968='Résultats observations'!$A41 ) * (DATABASE!$AW$14:$AW$968= L$4))-ROW(DATABASE!$AV$14)+1,L$5)),"")</f>
        <v/>
      </c>
      <c r="M41" s="116">
        <f t="array" ref="M41">IFERROR(_xlfn.SINGLE(INDEX(DATABASE!$AV$14:$BC$968,SUMPRODUCT((ROW(DATABASE!$AV$14:$AV$968)) * (DATABASE!$AV$14:BF$968='Résultats observations'!$A41 ) * (DATABASE!$AW$14:$AW$968= M$4))-ROW(DATABASE!$AV$14)+1,M$5)),"")</f>
        <v/>
      </c>
      <c r="N41" s="116">
        <f t="array" ref="N41">IFERROR(_xlfn.SINGLE(INDEX(DATABASE!$AV$14:$BC$968,SUMPRODUCT((ROW(DATABASE!$AV$14:$AV$968)) * (DATABASE!$AV$14:BG$968='Résultats observations'!$A41 ) * (DATABASE!$AW$14:$AW$968= N$4))-ROW(DATABASE!$AV$14)+1,N$5)),"")</f>
        <v/>
      </c>
      <c r="O41" s="116">
        <f t="array" ref="O41">IFERROR(_xlfn.SINGLE(INDEX(DATABASE!$AV$14:$BC$968,SUMPRODUCT((ROW(DATABASE!$AV$14:$AV$968)) * (DATABASE!$AV$14:BH$968='Résultats observations'!$A41 ) * (DATABASE!$AW$14:$AW$968= O$4))-ROW(DATABASE!$AV$14)+1,O$5)),"")</f>
        <v/>
      </c>
      <c r="P41" s="116">
        <f t="array" ref="P41">IFERROR(_xlfn.SINGLE(INDEX(DATABASE!$AV$14:$BC$968,SUMPRODUCT((ROW(DATABASE!$AV$14:$AV$968)) * (DATABASE!$AV$14:BI$968='Résultats observations'!$A41 ) * (DATABASE!$AW$14:$AW$968= P$4))-ROW(DATABASE!$AV$14)+1,P$5)),"")</f>
        <v/>
      </c>
      <c r="Q41" s="116">
        <f t="array" ref="Q41">IFERROR(_xlfn.SINGLE(INDEX(DATABASE!$AV$14:$BC$968,SUMPRODUCT((ROW(DATABASE!$AV$14:$AV$968)) * (DATABASE!$AV$14:BJ$968='Résultats observations'!$A41 ) * (DATABASE!$AW$14:$AW$968= Q$4))-ROW(DATABASE!$AV$14)+1,Q$5)),"")</f>
        <v/>
      </c>
      <c r="R41" s="116">
        <f t="array" ref="R41">IFERROR(_xlfn.SINGLE(INDEX(DATABASE!$AV$14:$BC$968,SUMPRODUCT((ROW(DATABASE!$AV$14:$AV$968)) * (DATABASE!$AV$14:BK$968='Résultats observations'!$A41 ) * (DATABASE!$AW$14:$AW$968= R$4))-ROW(DATABASE!$AV$14)+1,R$5)),"")</f>
        <v/>
      </c>
      <c r="S41" s="116">
        <f t="array" ref="S41">IFERROR(_xlfn.SINGLE(INDEX(DATABASE!$AV$14:$BC$968,SUMPRODUCT((ROW(DATABASE!$AV$14:$AV$968)) * (DATABASE!$AV$14:BL$968='Résultats observations'!$A41 ) * (DATABASE!$AW$14:$AW$968= S$4))-ROW(DATABASE!$AV$14)+1,S$5)),"")</f>
        <v/>
      </c>
      <c r="T41" s="116">
        <f t="array" ref="T41">IFERROR(_xlfn.SINGLE(INDEX(DATABASE!$AV$14:$BC$968,SUMPRODUCT((ROW(DATABASE!$AV$14:$AV$968)) * (DATABASE!$AV$14:BM$968='Résultats observations'!$A41 ) * (DATABASE!$AW$14:$AW$968= T$4))-ROW(DATABASE!$AV$14)+1,T$5)),"")</f>
        <v/>
      </c>
      <c r="U41" s="116">
        <f t="array" ref="U41">IFERROR(_xlfn.SINGLE(INDEX(DATABASE!$AV$14:$BC$968,SUMPRODUCT((ROW(DATABASE!$AV$14:$AV$968)) * (DATABASE!$AV$14:BN$968='Résultats observations'!$A41 ) * (DATABASE!$AW$14:$AW$968= U$4))-ROW(DATABASE!$AV$14)+1,U$5)),"")</f>
        <v/>
      </c>
      <c r="V41" s="116">
        <f t="array" ref="V41">IFERROR(_xlfn.SINGLE(INDEX(DATABASE!$AV$14:$BC$968,SUMPRODUCT((ROW(DATABASE!$AV$14:$AV$968)) * (DATABASE!$AV$14:BO$968='Résultats observations'!$A41 ) * (DATABASE!$AW$14:$AW$968= V$4))-ROW(DATABASE!$AV$14)+1,V$5)),"")</f>
        <v/>
      </c>
      <c r="W41" s="116">
        <f t="array" ref="W41">IFERROR(_xlfn.SINGLE(INDEX(DATABASE!$AV$14:$BC$968,SUMPRODUCT((ROW(DATABASE!$AV$14:$AV$968)) * (DATABASE!$AV$14:BP$968='Résultats observations'!$A41 ) * (DATABASE!$AW$14:$AW$968= W$4))-ROW(DATABASE!$AV$14)+1,W$5)),"")</f>
        <v/>
      </c>
      <c r="X41" s="116">
        <f t="array" ref="X41">IFERROR(_xlfn.SINGLE(INDEX(DATABASE!$AV$14:$BC$968,SUMPRODUCT((ROW(DATABASE!$AV$14:$AV$968)) * (DATABASE!$AV$14:BQ$968='Résultats observations'!$A41 ) * (DATABASE!$AW$14:$AW$968= X$4))-ROW(DATABASE!$AV$14)+1,X$5)),"")</f>
        <v/>
      </c>
      <c r="Y41" s="116">
        <f t="array" ref="Y41">IFERROR(_xlfn.SINGLE(INDEX(DATABASE!$AV$14:$BC$968,SUMPRODUCT((ROW(DATABASE!$AV$14:$AV$968)) * (DATABASE!$AV$14:BR$968='Résultats observations'!$A41 ) * (DATABASE!$AW$14:$AW$968= Y$4))-ROW(DATABASE!$AV$14)+1,Y$5)),"")</f>
        <v/>
      </c>
      <c r="Z41" s="116">
        <f t="array" ref="Z41">IFERROR(_xlfn.SINGLE(INDEX(DATABASE!$AV$14:$BC$968,SUMPRODUCT((ROW(DATABASE!$AV$14:$AV$968)) * (DATABASE!$AV$14:BS$968='Résultats observations'!$A41 ) * (DATABASE!$AW$14:$AW$968= Z$4))-ROW(DATABASE!$AV$14)+1,Z$5)),"")</f>
        <v/>
      </c>
      <c r="AA41" s="116">
        <f t="array" ref="AA41">IFERROR(_xlfn.SINGLE(INDEX(DATABASE!$AV$14:$BC$968,SUMPRODUCT((ROW(DATABASE!$AV$14:$AV$968)) * (DATABASE!$AV$14:BT$968='Résultats observations'!$A41 ) * (DATABASE!$AW$14:$AW$968= AA$4))-ROW(DATABASE!$AV$14)+1,AA$5)),"")</f>
        <v/>
      </c>
      <c r="AB41" s="116">
        <f t="array" ref="AB41">IFERROR(_xlfn.SINGLE(INDEX(DATABASE!$AV$14:$BC$968,SUMPRODUCT((ROW(DATABASE!$AV$14:$AV$968)) * (DATABASE!$AV$14:BU$968='Résultats observations'!$A41 ) * (DATABASE!$AW$14:$AW$968= AB$4))-ROW(DATABASE!$AV$14)+1,AB$5)),"")</f>
        <v/>
      </c>
      <c r="AC41" s="116">
        <f t="array" ref="AC41">IFERROR(_xlfn.SINGLE(INDEX(DATABASE!$AV$14:$BC$968,SUMPRODUCT((ROW(DATABASE!$AV$14:$AV$968)) * (DATABASE!$AV$14:BV$968='Résultats observations'!$A41 ) * (DATABASE!$AW$14:$AW$968= AC$4))-ROW(DATABASE!$AV$14)+1,AC$5)),"")</f>
        <v/>
      </c>
      <c r="AD41" s="116">
        <f t="array" ref="AD41">IFERROR(_xlfn.SINGLE(INDEX(DATABASE!$AV$14:$BC$968,SUMPRODUCT((ROW(DATABASE!$AV$14:$AV$968)) * (DATABASE!$AV$14:BW$968='Résultats observations'!$A41 ) * (DATABASE!$AW$14:$AW$968= AD$4))-ROW(DATABASE!$AV$14)+1,AD$5)),"")</f>
        <v/>
      </c>
      <c r="AE41" s="116">
        <f t="array" ref="AE41">IFERROR(_xlfn.SINGLE(INDEX(DATABASE!$AV$14:$BC$968,SUMPRODUCT((ROW(DATABASE!$AV$14:$AV$968)) * (DATABASE!$AV$14:BX$968='Résultats observations'!$A41 ) * (DATABASE!$AW$14:$AW$968= AE$4))-ROW(DATABASE!$AV$14)+1,AE$5)),"")</f>
        <v/>
      </c>
      <c r="AF41" s="116">
        <f t="array" ref="AF41">IFERROR(_xlfn.SINGLE(INDEX(DATABASE!$AV$14:$BC$968,SUMPRODUCT((ROW(DATABASE!$AV$14:$AV$968)) * (DATABASE!$AV$14:BY$968='Résultats observations'!$A41 ) * (DATABASE!$AW$14:$AW$968= AF$4))-ROW(DATABASE!$AV$14)+1,AF$5)),"")</f>
        <v/>
      </c>
      <c r="AG41" s="116">
        <f t="array" ref="AG41">IFERROR(_xlfn.SINGLE(INDEX(DATABASE!$AV$14:$BC$968,SUMPRODUCT((ROW(DATABASE!$AV$14:$AV$968)) * (DATABASE!$AV$14:BZ$968='Résultats observations'!$A41 ) * (DATABASE!$AW$14:$AW$968= AG$4))-ROW(DATABASE!$AV$14)+1,AG$5)),"")</f>
        <v/>
      </c>
      <c r="AH41" s="116">
        <f t="array" ref="AH41">IFERROR(_xlfn.SINGLE(INDEX(DATABASE!$AV$14:$BC$968,SUMPRODUCT((ROW(DATABASE!$AV$14:$AV$968)) * (DATABASE!$AV$14:CA$968='Résultats observations'!$A41 ) * (DATABASE!$AW$14:$AW$968= AH$4))-ROW(DATABASE!$AV$14)+1,AH$5)),"")</f>
        <v/>
      </c>
      <c r="AI41" s="116">
        <f t="array" ref="AI41">IFERROR(_xlfn.SINGLE(INDEX(DATABASE!$AV$14:$BC$968,SUMPRODUCT((ROW(DATABASE!$AV$14:$AV$968)) * (DATABASE!$AV$14:CB$968='Résultats observations'!$A41 ) * (DATABASE!$AW$14:$AW$968= AI$4))-ROW(DATABASE!$AV$14)+1,AI$5)),"")</f>
        <v/>
      </c>
      <c r="AJ41" s="116">
        <f t="array" ref="AJ41">IFERROR(_xlfn.SINGLE(INDEX(DATABASE!$AV$14:$BC$968,SUMPRODUCT((ROW(DATABASE!$AV$14:$AV$968)) * (DATABASE!$AV$14:CC$968='Résultats observations'!$A41 ) * (DATABASE!$AW$14:$AW$968= AJ$4))-ROW(DATABASE!$AV$14)+1,AJ$5)),"")</f>
        <v/>
      </c>
      <c r="AK41" s="116">
        <f t="array" ref="AK41">IFERROR(_xlfn.SINGLE(INDEX(DATABASE!$AV$14:$BC$968,SUMPRODUCT((ROW(DATABASE!$AV$14:$AV$968)) * (DATABASE!$AV$14:CD$968='Résultats observations'!$A41 ) * (DATABASE!$AW$14:$AW$968= AK$4))-ROW(DATABASE!$AV$14)+1,AK$5)),"")</f>
        <v/>
      </c>
      <c r="AL41" s="116">
        <f t="array" ref="AL41">IFERROR(_xlfn.SINGLE(INDEX(DATABASE!$AV$14:$BC$968,SUMPRODUCT((ROW(DATABASE!$AV$14:$AV$968)) * (DATABASE!$AV$14:CE$968='Résultats observations'!$A41 ) * (DATABASE!$AW$14:$AW$968= AL$4))-ROW(DATABASE!$AV$14)+1,AL$5)),"")</f>
        <v/>
      </c>
      <c r="AM41" s="116">
        <f t="array" ref="AM41">IFERROR(_xlfn.SINGLE(INDEX(DATABASE!$AV$14:$BC$968,SUMPRODUCT((ROW(DATABASE!$AV$14:$AV$968)) * (DATABASE!$AV$14:CF$968='Résultats observations'!$A41 ) * (DATABASE!$AW$14:$AW$968= AM$4))-ROW(DATABASE!$AV$14)+1,AM$5)),"")</f>
        <v/>
      </c>
      <c r="AN41" s="116">
        <f t="array" ref="AN41">IFERROR(_xlfn.SINGLE(INDEX(DATABASE!$AV$14:$BC$968,SUMPRODUCT((ROW(DATABASE!$AV$14:$AV$968)) * (DATABASE!$AV$14:CG$968='Résultats observations'!$A41 ) * (DATABASE!$AW$14:$AW$968= AN$4))-ROW(DATABASE!$AV$14)+1,AN$5)),"")</f>
        <v/>
      </c>
      <c r="AO41" s="116">
        <f t="array" ref="AO41">IFERROR(_xlfn.SINGLE(INDEX(DATABASE!$AV$14:$BC$968,SUMPRODUCT((ROW(DATABASE!$AV$14:$AV$968)) * (DATABASE!$AV$14:CH$968='Résultats observations'!$A41 ) * (DATABASE!$AW$14:$AW$968= AO$4))-ROW(DATABASE!$AV$14)+1,AO$5)),"")</f>
        <v/>
      </c>
      <c r="AP41" s="116">
        <f t="array" ref="AP41">IFERROR(_xlfn.SINGLE(INDEX(DATABASE!$AV$14:$BC$968,SUMPRODUCT((ROW(DATABASE!$AV$14:$AV$968)) * (DATABASE!$AV$14:CI$968='Résultats observations'!$A41 ) * (DATABASE!$AW$14:$AW$968= AP$4))-ROW(DATABASE!$AV$14)+1,AP$5)),"")</f>
        <v/>
      </c>
      <c r="AQ41" s="116">
        <f t="array" ref="AQ41">IFERROR(_xlfn.SINGLE(INDEX(DATABASE!$AV$14:$BC$968,SUMPRODUCT((ROW(DATABASE!$AV$14:$AV$968)) * (DATABASE!$AV$14:CJ$968='Résultats observations'!$A41 ) * (DATABASE!$AW$14:$AW$968= AQ$4))-ROW(DATABASE!$AV$14)+1,AQ$5)),"")</f>
        <v/>
      </c>
      <c r="AR41" s="116">
        <f t="array" ref="AR41">IFERROR(_xlfn.SINGLE(INDEX(DATABASE!$AV$14:$BC$968,SUMPRODUCT((ROW(DATABASE!$AV$14:$AV$968)) * (DATABASE!$AV$14:CK$968='Résultats observations'!$A41 ) * (DATABASE!$AW$14:$AW$968= AR$4))-ROW(DATABASE!$AV$14)+1,AR$5)),"")</f>
        <v/>
      </c>
      <c r="AS41" s="116">
        <f t="array" ref="AS41">IFERROR(_xlfn.SINGLE(INDEX(DATABASE!$AV$14:$BC$968,SUMPRODUCT((ROW(DATABASE!$AV$14:$AV$968)) * (DATABASE!$AV$14:CL$968='Résultats observations'!$A41 ) * (DATABASE!$AW$14:$AW$968= AS$4))-ROW(DATABASE!$AV$14)+1,AS$5)),"")</f>
        <v/>
      </c>
      <c r="AT41" s="116">
        <f t="array" ref="AT41">IFERROR(_xlfn.SINGLE(INDEX(DATABASE!$AV$14:$BC$968,SUMPRODUCT((ROW(DATABASE!$AV$14:$AV$968)) * (DATABASE!$AV$14:CM$968='Résultats observations'!$A41 ) * (DATABASE!$AW$14:$AW$968= AT$4))-ROW(DATABASE!$AV$14)+1,AT$5)),"")</f>
        <v/>
      </c>
      <c r="AU41" s="116">
        <f t="array" ref="AU41">IFERROR(_xlfn.SINGLE(INDEX(DATABASE!$AV$14:$BC$968,SUMPRODUCT((ROW(DATABASE!$AV$14:$AV$968)) * (DATABASE!$AV$14:CN$968='Résultats observations'!$A41 ) * (DATABASE!$AW$14:$AW$968= AU$4))-ROW(DATABASE!$AV$14)+1,AU$5)),"")</f>
        <v/>
      </c>
      <c r="AV41" s="116">
        <f t="array" ref="AV41">IFERROR(_xlfn.SINGLE(INDEX(DATABASE!$AV$14:$BC$968,SUMPRODUCT((ROW(DATABASE!$AV$14:$AV$968)) * (DATABASE!$AV$14:CO$968='Résultats observations'!$A41 ) * (DATABASE!$AW$14:$AW$968= AV$4))-ROW(DATABASE!$AV$14)+1,AV$5)),"")</f>
        <v/>
      </c>
      <c r="AW41" s="116">
        <f t="array" ref="AW41">IFERROR(_xlfn.SINGLE(INDEX(DATABASE!$AV$14:$BC$968,SUMPRODUCT((ROW(DATABASE!$AV$14:$AV$968)) * (DATABASE!$AV$14:CP$968='Résultats observations'!$A41 ) * (DATABASE!$AW$14:$AW$968= AW$4))-ROW(DATABASE!$AV$14)+1,AW$5)),"")</f>
        <v/>
      </c>
      <c r="AX41" s="116">
        <f t="array" ref="AX41">IFERROR(_xlfn.SINGLE(INDEX(DATABASE!$AV$14:$BC$968,SUMPRODUCT((ROW(DATABASE!$AV$14:$AV$968)) * (DATABASE!$AV$14:CQ$968='Résultats observations'!$A41 ) * (DATABASE!$AW$14:$AW$968= AX$4))-ROW(DATABASE!$AV$14)+1,AX$5)),"")</f>
        <v/>
      </c>
      <c r="AY41" s="116">
        <f t="array" ref="AY41">IFERROR(_xlfn.SINGLE(INDEX(DATABASE!$AV$14:$BC$968,SUMPRODUCT((ROW(DATABASE!$AV$14:$AV$968)) * (DATABASE!$AV$14:CR$968='Résultats observations'!$A41 ) * (DATABASE!$AW$14:$AW$968= AY$4))-ROW(DATABASE!$AV$14)+1,AY$5)),"")</f>
        <v/>
      </c>
      <c r="AZ41" s="116">
        <f t="array" ref="AZ41">IFERROR(_xlfn.SINGLE(INDEX(DATABASE!$AV$14:$BC$968,SUMPRODUCT((ROW(DATABASE!$AV$14:$AV$968)) * (DATABASE!$AV$14:CS$968='Résultats observations'!$A41 ) * (DATABASE!$AW$14:$AW$968= AZ$4))-ROW(DATABASE!$AV$14)+1,AZ$5)),"")</f>
        <v/>
      </c>
      <c r="BA41" s="116">
        <f t="array" ref="BA41">IFERROR(_xlfn.SINGLE(INDEX(DATABASE!$AV$14:$BC$968,SUMPRODUCT((ROW(DATABASE!$AV$14:$AV$968)) * (DATABASE!$AV$14:CT$968='Résultats observations'!$A41 ) * (DATABASE!$AW$14:$AW$968= BA$4))-ROW(DATABASE!$AV$14)+1,BA$5)),"")</f>
        <v/>
      </c>
      <c r="BB41" s="116">
        <f t="array" ref="BB41">IFERROR(_xlfn.SINGLE(INDEX(DATABASE!$AV$14:$BC$968,SUMPRODUCT((ROW(DATABASE!$AV$14:$AV$968)) * (DATABASE!$AV$14:CU$968='Résultats observations'!$A41 ) * (DATABASE!$AW$14:$AW$968= BB$4))-ROW(DATABASE!$AV$14)+1,BB$5)),"")</f>
        <v/>
      </c>
      <c r="BC41" s="116">
        <f t="array" ref="BC41">IFERROR(_xlfn.SINGLE(INDEX(DATABASE!$AV$14:$BC$968,SUMPRODUCT((ROW(DATABASE!$AV$14:$AV$968)) * (DATABASE!$AV$14:CV$968='Résultats observations'!$A41 ) * (DATABASE!$AW$14:$AW$968= BC$4))-ROW(DATABASE!$AV$14)+1,BC$5)),"")</f>
        <v/>
      </c>
      <c r="BD41" s="116">
        <f t="array" ref="BD41">IFERROR(_xlfn.SINGLE(INDEX(DATABASE!$AV$14:$BC$968,SUMPRODUCT((ROW(DATABASE!$AV$14:$AV$968)) * (DATABASE!$AV$14:CW$968='Résultats observations'!$A41 ) * (DATABASE!$AW$14:$AW$968= BD$4))-ROW(DATABASE!$AV$14)+1,BD$5)),"")</f>
        <v/>
      </c>
      <c r="BE41" s="116">
        <f t="array" ref="BE41">IFERROR(_xlfn.SINGLE(INDEX(DATABASE!$AV$14:$BC$968,SUMPRODUCT((ROW(DATABASE!$AV$14:$AV$968)) * (DATABASE!$AV$14:CX$968='Résultats observations'!$A41 ) * (DATABASE!$AW$14:$AW$968= BE$4))-ROW(DATABASE!$AV$14)+1,BE$5)),"")</f>
        <v/>
      </c>
      <c r="BF41" s="116">
        <f t="array" ref="BF41">IFERROR(_xlfn.SINGLE(INDEX(DATABASE!$AV$14:$BC$968,SUMPRODUCT((ROW(DATABASE!$AV$14:$AV$968)) * (DATABASE!$AV$14:CY$968='Résultats observations'!$A41 ) * (DATABASE!$AW$14:$AW$968= BF$4))-ROW(DATABASE!$AV$14)+1,BF$5)),"")</f>
        <v/>
      </c>
      <c r="BG41" s="116">
        <f t="array" ref="BG41">IFERROR(_xlfn.SINGLE(INDEX(DATABASE!$AV$14:$BC$968,SUMPRODUCT((ROW(DATABASE!$AV$14:$AV$968)) * (DATABASE!$AV$14:CZ$968='Résultats observations'!$A41 ) * (DATABASE!$AW$14:$AW$968= BG$4))-ROW(DATABASE!$AV$14)+1,BG$5)),"")</f>
        <v/>
      </c>
      <c r="BH41" s="116">
        <f t="array" ref="BH41">IFERROR(_xlfn.SINGLE(INDEX(DATABASE!$AV$14:$BC$968,SUMPRODUCT((ROW(DATABASE!$AV$14:$AV$968)) * (DATABASE!$AV$14:DA$968='Résultats observations'!$A41 ) * (DATABASE!$AW$14:$AW$968= BH$4))-ROW(DATABASE!$AV$14)+1,BH$5)),"")</f>
        <v/>
      </c>
      <c r="BI41" s="116">
        <f t="array" ref="BI41">IFERROR(_xlfn.SINGLE(INDEX(DATABASE!$AV$14:$BC$968,SUMPRODUCT((ROW(DATABASE!$AV$14:$AV$968)) * (DATABASE!$AV$14:DB$968='Résultats observations'!$A41 ) * (DATABASE!$AW$14:$AW$968= BI$4))-ROW(DATABASE!$AV$14)+1,BI$5)),"")</f>
        <v/>
      </c>
      <c r="BJ41" s="116">
        <f t="array" ref="BJ41">IFERROR(_xlfn.SINGLE(INDEX(DATABASE!$AV$14:$BC$968,SUMPRODUCT((ROW(DATABASE!$AV$14:$AV$968)) * (DATABASE!$AV$14:DC$968='Résultats observations'!$A41 ) * (DATABASE!$AW$14:$AW$968= BJ$4))-ROW(DATABASE!$AV$14)+1,BJ$5)),"")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(DATABASE!AV$14:$AV$968='Résultats observations'!$A42 ) * (DATABASE!$AW$14:$AW$968= C$4))-ROW(DATABASE!$AV$14)+1,C$5)),"")</f>
        <v/>
      </c>
      <c r="D42" s="116">
        <f t="array" ref="D42">IFERROR(_xlfn.SINGLE(INDEX(DATABASE!$AV$14:$BC$968,SUMPRODUCT((ROW(DATABASE!$AV$14:$AV$968)) * (DATABASE!$AV$14:AW$968='Résultats observations'!$A42 ) * (DATABASE!$AW$14:$AW$968= D$4))-ROW(DATABASE!$AV$14)+1,D$5)),"")</f>
        <v/>
      </c>
      <c r="E42" s="116">
        <f t="array" ref="E42">IFERROR(_xlfn.SINGLE(INDEX(DATABASE!$AV$14:$BC$968,SUMPRODUCT((ROW(DATABASE!$AV$14:$AV$968)) * (DATABASE!$AV$14:AX$968='Résultats observations'!$A42 ) * (DATABASE!$AW$14:$AW$968= E$4))-ROW(DATABASE!$AV$14)+1,E$5)),"")</f>
        <v/>
      </c>
      <c r="F42" s="116">
        <f t="array" ref="F42">IFERROR(_xlfn.SINGLE(INDEX(DATABASE!$AV$14:$BC$968,SUMPRODUCT((ROW(DATABASE!$AV$14:$AV$968)) * (DATABASE!$AV$14:AY$968='Résultats observations'!$A42 ) * (DATABASE!$AW$14:$AW$968= F$4))-ROW(DATABASE!$AV$14)+1,F$5)),"")</f>
        <v/>
      </c>
      <c r="G42" s="116">
        <f t="array" ref="G42">IFERROR(_xlfn.SINGLE(INDEX(DATABASE!$AV$14:$BC$968,SUMPRODUCT((ROW(DATABASE!$AV$14:$AV$968)) * (DATABASE!$AV$14:AZ$968='Résultats observations'!$A42 ) * (DATABASE!$AW$14:$AW$968= G$4))-ROW(DATABASE!$AV$14)+1,G$5)),"")</f>
        <v/>
      </c>
      <c r="H42" s="116">
        <f t="array" ref="H42">IFERROR(_xlfn.SINGLE(INDEX(DATABASE!$AV$14:$BC$968,SUMPRODUCT((ROW(DATABASE!$AV$14:$AV$968)) * (DATABASE!$AV$14:BA$968='Résultats observations'!$A42 ) * (DATABASE!$AW$14:$AW$968= H$4))-ROW(DATABASE!$AV$14)+1,H$5)),"")</f>
        <v/>
      </c>
      <c r="I42" s="116">
        <f t="array" ref="I42">IFERROR(_xlfn.SINGLE(INDEX(DATABASE!$AV$14:$BC$968,SUMPRODUCT((ROW(DATABASE!$AV$14:$AV$968)) * (DATABASE!$AV$14:BB$968='Résultats observations'!$A42 ) * (DATABASE!$AW$14:$AW$968= I$4))-ROW(DATABASE!$AV$14)+1,I$5)),"")</f>
        <v/>
      </c>
      <c r="J42" s="116">
        <f t="array" ref="J42">IFERROR(_xlfn.SINGLE(INDEX(DATABASE!$AV$14:$BC$968,SUMPRODUCT((ROW(DATABASE!$AV$14:$AV$968)) * (DATABASE!$AV$14:BC$968='Résultats observations'!$A42 ) * (DATABASE!$AW$14:$AW$968= J$4))-ROW(DATABASE!$AV$14)+1,J$5)),"")</f>
        <v/>
      </c>
      <c r="K42" s="116">
        <f t="array" ref="K42">IFERROR(_xlfn.SINGLE(INDEX(DATABASE!$AV$14:$BC$968,SUMPRODUCT((ROW(DATABASE!$AV$14:$AV$968)) * (DATABASE!$AV$14:BD$968='Résultats observations'!$A42 ) * (DATABASE!$AW$14:$AW$968= K$4))-ROW(DATABASE!$AV$14)+1,K$5)),"")</f>
        <v/>
      </c>
      <c r="L42" s="116">
        <f t="array" ref="L42">IFERROR(_xlfn.SINGLE(INDEX(DATABASE!$AV$14:$BC$968,SUMPRODUCT((ROW(DATABASE!$AV$14:$AV$968)) * (DATABASE!$AV$14:BE$968='Résultats observations'!$A42 ) * (DATABASE!$AW$14:$AW$968= L$4))-ROW(DATABASE!$AV$14)+1,L$5)),"")</f>
        <v/>
      </c>
      <c r="M42" s="116">
        <f t="array" ref="M42">IFERROR(_xlfn.SINGLE(INDEX(DATABASE!$AV$14:$BC$968,SUMPRODUCT((ROW(DATABASE!$AV$14:$AV$968)) * (DATABASE!$AV$14:BF$968='Résultats observations'!$A42 ) * (DATABASE!$AW$14:$AW$968= M$4))-ROW(DATABASE!$AV$14)+1,M$5)),"")</f>
        <v/>
      </c>
      <c r="N42" s="116">
        <f t="array" ref="N42">IFERROR(_xlfn.SINGLE(INDEX(DATABASE!$AV$14:$BC$968,SUMPRODUCT((ROW(DATABASE!$AV$14:$AV$968)) * (DATABASE!$AV$14:BG$968='Résultats observations'!$A42 ) * (DATABASE!$AW$14:$AW$968= N$4))-ROW(DATABASE!$AV$14)+1,N$5)),"")</f>
        <v/>
      </c>
      <c r="O42" s="116">
        <f t="array" ref="O42">IFERROR(_xlfn.SINGLE(INDEX(DATABASE!$AV$14:$BC$968,SUMPRODUCT((ROW(DATABASE!$AV$14:$AV$968)) * (DATABASE!$AV$14:BH$968='Résultats observations'!$A42 ) * (DATABASE!$AW$14:$AW$968= O$4))-ROW(DATABASE!$AV$14)+1,O$5)),"")</f>
        <v/>
      </c>
      <c r="P42" s="116">
        <f t="array" ref="P42">IFERROR(_xlfn.SINGLE(INDEX(DATABASE!$AV$14:$BC$968,SUMPRODUCT((ROW(DATABASE!$AV$14:$AV$968)) * (DATABASE!$AV$14:BI$968='Résultats observations'!$A42 ) * (DATABASE!$AW$14:$AW$968= P$4))-ROW(DATABASE!$AV$14)+1,P$5)),"")</f>
        <v/>
      </c>
      <c r="Q42" s="116">
        <f t="array" ref="Q42">IFERROR(_xlfn.SINGLE(INDEX(DATABASE!$AV$14:$BC$968,SUMPRODUCT((ROW(DATABASE!$AV$14:$AV$968)) * (DATABASE!$AV$14:BJ$968='Résultats observations'!$A42 ) * (DATABASE!$AW$14:$AW$968= Q$4))-ROW(DATABASE!$AV$14)+1,Q$5)),"")</f>
        <v/>
      </c>
      <c r="R42" s="116">
        <f t="array" ref="R42">IFERROR(_xlfn.SINGLE(INDEX(DATABASE!$AV$14:$BC$968,SUMPRODUCT((ROW(DATABASE!$AV$14:$AV$968)) * (DATABASE!$AV$14:BK$968='Résultats observations'!$A42 ) * (DATABASE!$AW$14:$AW$968= R$4))-ROW(DATABASE!$AV$14)+1,R$5)),"")</f>
        <v/>
      </c>
      <c r="S42" s="116">
        <f t="array" ref="S42">IFERROR(_xlfn.SINGLE(INDEX(DATABASE!$AV$14:$BC$968,SUMPRODUCT((ROW(DATABASE!$AV$14:$AV$968)) * (DATABASE!$AV$14:BL$968='Résultats observations'!$A42 ) * (DATABASE!$AW$14:$AW$968= S$4))-ROW(DATABASE!$AV$14)+1,S$5)),"")</f>
        <v/>
      </c>
      <c r="T42" s="116">
        <f t="array" ref="T42">IFERROR(_xlfn.SINGLE(INDEX(DATABASE!$AV$14:$BC$968,SUMPRODUCT((ROW(DATABASE!$AV$14:$AV$968)) * (DATABASE!$AV$14:BM$968='Résultats observations'!$A42 ) * (DATABASE!$AW$14:$AW$968= T$4))-ROW(DATABASE!$AV$14)+1,T$5)),"")</f>
        <v/>
      </c>
      <c r="U42" s="116">
        <f t="array" ref="U42">IFERROR(_xlfn.SINGLE(INDEX(DATABASE!$AV$14:$BC$968,SUMPRODUCT((ROW(DATABASE!$AV$14:$AV$968)) * (DATABASE!$AV$14:BN$968='Résultats observations'!$A42 ) * (DATABASE!$AW$14:$AW$968= U$4))-ROW(DATABASE!$AV$14)+1,U$5)),"")</f>
        <v/>
      </c>
      <c r="V42" s="116">
        <f t="array" ref="V42">IFERROR(_xlfn.SINGLE(INDEX(DATABASE!$AV$14:$BC$968,SUMPRODUCT((ROW(DATABASE!$AV$14:$AV$968)) * (DATABASE!$AV$14:BO$968='Résultats observations'!$A42 ) * (DATABASE!$AW$14:$AW$968= V$4))-ROW(DATABASE!$AV$14)+1,V$5)),"")</f>
        <v/>
      </c>
      <c r="W42" s="116">
        <f t="array" ref="W42">IFERROR(_xlfn.SINGLE(INDEX(DATABASE!$AV$14:$BC$968,SUMPRODUCT((ROW(DATABASE!$AV$14:$AV$968)) * (DATABASE!$AV$14:BP$968='Résultats observations'!$A42 ) * (DATABASE!$AW$14:$AW$968= W$4))-ROW(DATABASE!$AV$14)+1,W$5)),"")</f>
        <v/>
      </c>
      <c r="X42" s="116">
        <f t="array" ref="X42">IFERROR(_xlfn.SINGLE(INDEX(DATABASE!$AV$14:$BC$968,SUMPRODUCT((ROW(DATABASE!$AV$14:$AV$968)) * (DATABASE!$AV$14:BQ$968='Résultats observations'!$A42 ) * (DATABASE!$AW$14:$AW$968= X$4))-ROW(DATABASE!$AV$14)+1,X$5)),"")</f>
        <v/>
      </c>
      <c r="Y42" s="116">
        <f t="array" ref="Y42">IFERROR(_xlfn.SINGLE(INDEX(DATABASE!$AV$14:$BC$968,SUMPRODUCT((ROW(DATABASE!$AV$14:$AV$968)) * (DATABASE!$AV$14:BR$968='Résultats observations'!$A42 ) * (DATABASE!$AW$14:$AW$968= Y$4))-ROW(DATABASE!$AV$14)+1,Y$5)),"")</f>
        <v/>
      </c>
      <c r="Z42" s="116">
        <f t="array" ref="Z42">IFERROR(_xlfn.SINGLE(INDEX(DATABASE!$AV$14:$BC$968,SUMPRODUCT((ROW(DATABASE!$AV$14:$AV$968)) * (DATABASE!$AV$14:BS$968='Résultats observations'!$A42 ) * (DATABASE!$AW$14:$AW$968= Z$4))-ROW(DATABASE!$AV$14)+1,Z$5)),"")</f>
        <v/>
      </c>
      <c r="AA42" s="116">
        <f t="array" ref="AA42">IFERROR(_xlfn.SINGLE(INDEX(DATABASE!$AV$14:$BC$968,SUMPRODUCT((ROW(DATABASE!$AV$14:$AV$968)) * (DATABASE!$AV$14:BT$968='Résultats observations'!$A42 ) * (DATABASE!$AW$14:$AW$968= AA$4))-ROW(DATABASE!$AV$14)+1,AA$5)),"")</f>
        <v/>
      </c>
      <c r="AB42" s="116">
        <f t="array" ref="AB42">IFERROR(_xlfn.SINGLE(INDEX(DATABASE!$AV$14:$BC$968,SUMPRODUCT((ROW(DATABASE!$AV$14:$AV$968)) * (DATABASE!$AV$14:BU$968='Résultats observations'!$A42 ) * (DATABASE!$AW$14:$AW$968= AB$4))-ROW(DATABASE!$AV$14)+1,AB$5)),"")</f>
        <v/>
      </c>
      <c r="AC42" s="116">
        <f t="array" ref="AC42">IFERROR(_xlfn.SINGLE(INDEX(DATABASE!$AV$14:$BC$968,SUMPRODUCT((ROW(DATABASE!$AV$14:$AV$968)) * (DATABASE!$AV$14:BV$968='Résultats observations'!$A42 ) * (DATABASE!$AW$14:$AW$968= AC$4))-ROW(DATABASE!$AV$14)+1,AC$5)),"")</f>
        <v/>
      </c>
      <c r="AD42" s="116">
        <f t="array" ref="AD42">IFERROR(_xlfn.SINGLE(INDEX(DATABASE!$AV$14:$BC$968,SUMPRODUCT((ROW(DATABASE!$AV$14:$AV$968)) * (DATABASE!$AV$14:BW$968='Résultats observations'!$A42 ) * (DATABASE!$AW$14:$AW$968= AD$4))-ROW(DATABASE!$AV$14)+1,AD$5)),"")</f>
        <v/>
      </c>
      <c r="AE42" s="116">
        <f t="array" ref="AE42">IFERROR(_xlfn.SINGLE(INDEX(DATABASE!$AV$14:$BC$968,SUMPRODUCT((ROW(DATABASE!$AV$14:$AV$968)) * (DATABASE!$AV$14:BX$968='Résultats observations'!$A42 ) * (DATABASE!$AW$14:$AW$968= AE$4))-ROW(DATABASE!$AV$14)+1,AE$5)),"")</f>
        <v/>
      </c>
      <c r="AF42" s="116">
        <f t="array" ref="AF42">IFERROR(_xlfn.SINGLE(INDEX(DATABASE!$AV$14:$BC$968,SUMPRODUCT((ROW(DATABASE!$AV$14:$AV$968)) * (DATABASE!$AV$14:BY$968='Résultats observations'!$A42 ) * (DATABASE!$AW$14:$AW$968= AF$4))-ROW(DATABASE!$AV$14)+1,AF$5)),"")</f>
        <v/>
      </c>
      <c r="AG42" s="116">
        <f t="array" ref="AG42">IFERROR(_xlfn.SINGLE(INDEX(DATABASE!$AV$14:$BC$968,SUMPRODUCT((ROW(DATABASE!$AV$14:$AV$968)) * (DATABASE!$AV$14:BZ$968='Résultats observations'!$A42 ) * (DATABASE!$AW$14:$AW$968= AG$4))-ROW(DATABASE!$AV$14)+1,AG$5)),"")</f>
        <v/>
      </c>
      <c r="AH42" s="116">
        <f t="array" ref="AH42">IFERROR(_xlfn.SINGLE(INDEX(DATABASE!$AV$14:$BC$968,SUMPRODUCT((ROW(DATABASE!$AV$14:$AV$968)) * (DATABASE!$AV$14:CA$968='Résultats observations'!$A42 ) * (DATABASE!$AW$14:$AW$968= AH$4))-ROW(DATABASE!$AV$14)+1,AH$5)),"")</f>
        <v/>
      </c>
      <c r="AI42" s="116">
        <f t="array" ref="AI42">IFERROR(_xlfn.SINGLE(INDEX(DATABASE!$AV$14:$BC$968,SUMPRODUCT((ROW(DATABASE!$AV$14:$AV$968)) * (DATABASE!$AV$14:CB$968='Résultats observations'!$A42 ) * (DATABASE!$AW$14:$AW$968= AI$4))-ROW(DATABASE!$AV$14)+1,AI$5)),"")</f>
        <v/>
      </c>
      <c r="AJ42" s="116">
        <f t="array" ref="AJ42">IFERROR(_xlfn.SINGLE(INDEX(DATABASE!$AV$14:$BC$968,SUMPRODUCT((ROW(DATABASE!$AV$14:$AV$968)) * (DATABASE!$AV$14:CC$968='Résultats observations'!$A42 ) * (DATABASE!$AW$14:$AW$968= AJ$4))-ROW(DATABASE!$AV$14)+1,AJ$5)),"")</f>
        <v/>
      </c>
      <c r="AK42" s="116">
        <f t="array" ref="AK42">IFERROR(_xlfn.SINGLE(INDEX(DATABASE!$AV$14:$BC$968,SUMPRODUCT((ROW(DATABASE!$AV$14:$AV$968)) * (DATABASE!$AV$14:CD$968='Résultats observations'!$A42 ) * (DATABASE!$AW$14:$AW$968= AK$4))-ROW(DATABASE!$AV$14)+1,AK$5)),"")</f>
        <v/>
      </c>
      <c r="AL42" s="116">
        <f t="array" ref="AL42">IFERROR(_xlfn.SINGLE(INDEX(DATABASE!$AV$14:$BC$968,SUMPRODUCT((ROW(DATABASE!$AV$14:$AV$968)) * (DATABASE!$AV$14:CE$968='Résultats observations'!$A42 ) * (DATABASE!$AW$14:$AW$968= AL$4))-ROW(DATABASE!$AV$14)+1,AL$5)),"")</f>
        <v/>
      </c>
      <c r="AM42" s="116">
        <f t="array" ref="AM42">IFERROR(_xlfn.SINGLE(INDEX(DATABASE!$AV$14:$BC$968,SUMPRODUCT((ROW(DATABASE!$AV$14:$AV$968)) * (DATABASE!$AV$14:CF$968='Résultats observations'!$A42 ) * (DATABASE!$AW$14:$AW$968= AM$4))-ROW(DATABASE!$AV$14)+1,AM$5)),"")</f>
        <v/>
      </c>
      <c r="AN42" s="116">
        <f t="array" ref="AN42">IFERROR(_xlfn.SINGLE(INDEX(DATABASE!$AV$14:$BC$968,SUMPRODUCT((ROW(DATABASE!$AV$14:$AV$968)) * (DATABASE!$AV$14:CG$968='Résultats observations'!$A42 ) * (DATABASE!$AW$14:$AW$968= AN$4))-ROW(DATABASE!$AV$14)+1,AN$5)),"")</f>
        <v/>
      </c>
      <c r="AO42" s="116">
        <f t="array" ref="AO42">IFERROR(_xlfn.SINGLE(INDEX(DATABASE!$AV$14:$BC$968,SUMPRODUCT((ROW(DATABASE!$AV$14:$AV$968)) * (DATABASE!$AV$14:CH$968='Résultats observations'!$A42 ) * (DATABASE!$AW$14:$AW$968= AO$4))-ROW(DATABASE!$AV$14)+1,AO$5)),"")</f>
        <v/>
      </c>
      <c r="AP42" s="116">
        <f t="array" ref="AP42">IFERROR(_xlfn.SINGLE(INDEX(DATABASE!$AV$14:$BC$968,SUMPRODUCT((ROW(DATABASE!$AV$14:$AV$968)) * (DATABASE!$AV$14:CI$968='Résultats observations'!$A42 ) * (DATABASE!$AW$14:$AW$968= AP$4))-ROW(DATABASE!$AV$14)+1,AP$5)),"")</f>
        <v/>
      </c>
      <c r="AQ42" s="116">
        <f t="array" ref="AQ42">IFERROR(_xlfn.SINGLE(INDEX(DATABASE!$AV$14:$BC$968,SUMPRODUCT((ROW(DATABASE!$AV$14:$AV$968)) * (DATABASE!$AV$14:CJ$968='Résultats observations'!$A42 ) * (DATABASE!$AW$14:$AW$968= AQ$4))-ROW(DATABASE!$AV$14)+1,AQ$5)),"")</f>
        <v/>
      </c>
      <c r="AR42" s="116">
        <f t="array" ref="AR42">IFERROR(_xlfn.SINGLE(INDEX(DATABASE!$AV$14:$BC$968,SUMPRODUCT((ROW(DATABASE!$AV$14:$AV$968)) * (DATABASE!$AV$14:CK$968='Résultats observations'!$A42 ) * (DATABASE!$AW$14:$AW$968= AR$4))-ROW(DATABASE!$AV$14)+1,AR$5)),"")</f>
        <v/>
      </c>
      <c r="AS42" s="116">
        <f t="array" ref="AS42">IFERROR(_xlfn.SINGLE(INDEX(DATABASE!$AV$14:$BC$968,SUMPRODUCT((ROW(DATABASE!$AV$14:$AV$968)) * (DATABASE!$AV$14:CL$968='Résultats observations'!$A42 ) * (DATABASE!$AW$14:$AW$968= AS$4))-ROW(DATABASE!$AV$14)+1,AS$5)),"")</f>
        <v/>
      </c>
      <c r="AT42" s="116">
        <f t="array" ref="AT42">IFERROR(_xlfn.SINGLE(INDEX(DATABASE!$AV$14:$BC$968,SUMPRODUCT((ROW(DATABASE!$AV$14:$AV$968)) * (DATABASE!$AV$14:CM$968='Résultats observations'!$A42 ) * (DATABASE!$AW$14:$AW$968= AT$4))-ROW(DATABASE!$AV$14)+1,AT$5)),"")</f>
        <v/>
      </c>
      <c r="AU42" s="116">
        <f t="array" ref="AU42">IFERROR(_xlfn.SINGLE(INDEX(DATABASE!$AV$14:$BC$968,SUMPRODUCT((ROW(DATABASE!$AV$14:$AV$968)) * (DATABASE!$AV$14:CN$968='Résultats observations'!$A42 ) * (DATABASE!$AW$14:$AW$968= AU$4))-ROW(DATABASE!$AV$14)+1,AU$5)),"")</f>
        <v/>
      </c>
      <c r="AV42" s="116">
        <f t="array" ref="AV42">IFERROR(_xlfn.SINGLE(INDEX(DATABASE!$AV$14:$BC$968,SUMPRODUCT((ROW(DATABASE!$AV$14:$AV$968)) * (DATABASE!$AV$14:CO$968='Résultats observations'!$A42 ) * (DATABASE!$AW$14:$AW$968= AV$4))-ROW(DATABASE!$AV$14)+1,AV$5)),"")</f>
        <v/>
      </c>
      <c r="AW42" s="116">
        <f t="array" ref="AW42">IFERROR(_xlfn.SINGLE(INDEX(DATABASE!$AV$14:$BC$968,SUMPRODUCT((ROW(DATABASE!$AV$14:$AV$968)) * (DATABASE!$AV$14:CP$968='Résultats observations'!$A42 ) * (DATABASE!$AW$14:$AW$968= AW$4))-ROW(DATABASE!$AV$14)+1,AW$5)),"")</f>
        <v/>
      </c>
      <c r="AX42" s="116">
        <f t="array" ref="AX42">IFERROR(_xlfn.SINGLE(INDEX(DATABASE!$AV$14:$BC$968,SUMPRODUCT((ROW(DATABASE!$AV$14:$AV$968)) * (DATABASE!$AV$14:CQ$968='Résultats observations'!$A42 ) * (DATABASE!$AW$14:$AW$968= AX$4))-ROW(DATABASE!$AV$14)+1,AX$5)),"")</f>
        <v/>
      </c>
      <c r="AY42" s="116">
        <f t="array" ref="AY42">IFERROR(_xlfn.SINGLE(INDEX(DATABASE!$AV$14:$BC$968,SUMPRODUCT((ROW(DATABASE!$AV$14:$AV$968)) * (DATABASE!$AV$14:CR$968='Résultats observations'!$A42 ) * (DATABASE!$AW$14:$AW$968= AY$4))-ROW(DATABASE!$AV$14)+1,AY$5)),"")</f>
        <v/>
      </c>
      <c r="AZ42" s="116">
        <f t="array" ref="AZ42">IFERROR(_xlfn.SINGLE(INDEX(DATABASE!$AV$14:$BC$968,SUMPRODUCT((ROW(DATABASE!$AV$14:$AV$968)) * (DATABASE!$AV$14:CS$968='Résultats observations'!$A42 ) * (DATABASE!$AW$14:$AW$968= AZ$4))-ROW(DATABASE!$AV$14)+1,AZ$5)),"")</f>
        <v/>
      </c>
      <c r="BA42" s="116">
        <f t="array" ref="BA42">IFERROR(_xlfn.SINGLE(INDEX(DATABASE!$AV$14:$BC$968,SUMPRODUCT((ROW(DATABASE!$AV$14:$AV$968)) * (DATABASE!$AV$14:CT$968='Résultats observations'!$A42 ) * (DATABASE!$AW$14:$AW$968= BA$4))-ROW(DATABASE!$AV$14)+1,BA$5)),"")</f>
        <v/>
      </c>
      <c r="BB42" s="116">
        <f t="array" ref="BB42">IFERROR(_xlfn.SINGLE(INDEX(DATABASE!$AV$14:$BC$968,SUMPRODUCT((ROW(DATABASE!$AV$14:$AV$968)) * (DATABASE!$AV$14:CU$968='Résultats observations'!$A42 ) * (DATABASE!$AW$14:$AW$968= BB$4))-ROW(DATABASE!$AV$14)+1,BB$5)),"")</f>
        <v/>
      </c>
      <c r="BC42" s="116">
        <f t="array" ref="BC42">IFERROR(_xlfn.SINGLE(INDEX(DATABASE!$AV$14:$BC$968,SUMPRODUCT((ROW(DATABASE!$AV$14:$AV$968)) * (DATABASE!$AV$14:CV$968='Résultats observations'!$A42 ) * (DATABASE!$AW$14:$AW$968= BC$4))-ROW(DATABASE!$AV$14)+1,BC$5)),"")</f>
        <v/>
      </c>
      <c r="BD42" s="116">
        <f t="array" ref="BD42">IFERROR(_xlfn.SINGLE(INDEX(DATABASE!$AV$14:$BC$968,SUMPRODUCT((ROW(DATABASE!$AV$14:$AV$968)) * (DATABASE!$AV$14:CW$968='Résultats observations'!$A42 ) * (DATABASE!$AW$14:$AW$968= BD$4))-ROW(DATABASE!$AV$14)+1,BD$5)),"")</f>
        <v/>
      </c>
      <c r="BE42" s="116">
        <f t="array" ref="BE42">IFERROR(_xlfn.SINGLE(INDEX(DATABASE!$AV$14:$BC$968,SUMPRODUCT((ROW(DATABASE!$AV$14:$AV$968)) * (DATABASE!$AV$14:CX$968='Résultats observations'!$A42 ) * (DATABASE!$AW$14:$AW$968= BE$4))-ROW(DATABASE!$AV$14)+1,BE$5)),"")</f>
        <v/>
      </c>
      <c r="BF42" s="116">
        <f t="array" ref="BF42">IFERROR(_xlfn.SINGLE(INDEX(DATABASE!$AV$14:$BC$968,SUMPRODUCT((ROW(DATABASE!$AV$14:$AV$968)) * (DATABASE!$AV$14:CY$968='Résultats observations'!$A42 ) * (DATABASE!$AW$14:$AW$968= BF$4))-ROW(DATABASE!$AV$14)+1,BF$5)),"")</f>
        <v/>
      </c>
      <c r="BG42" s="116">
        <f t="array" ref="BG42">IFERROR(_xlfn.SINGLE(INDEX(DATABASE!$AV$14:$BC$968,SUMPRODUCT((ROW(DATABASE!$AV$14:$AV$968)) * (DATABASE!$AV$14:CZ$968='Résultats observations'!$A42 ) * (DATABASE!$AW$14:$AW$968= BG$4))-ROW(DATABASE!$AV$14)+1,BG$5)),"")</f>
        <v/>
      </c>
      <c r="BH42" s="116">
        <f t="array" ref="BH42">IFERROR(_xlfn.SINGLE(INDEX(DATABASE!$AV$14:$BC$968,SUMPRODUCT((ROW(DATABASE!$AV$14:$AV$968)) * (DATABASE!$AV$14:DA$968='Résultats observations'!$A42 ) * (DATABASE!$AW$14:$AW$968= BH$4))-ROW(DATABASE!$AV$14)+1,BH$5)),"")</f>
        <v/>
      </c>
      <c r="BI42" s="116">
        <f t="array" ref="BI42">IFERROR(_xlfn.SINGLE(INDEX(DATABASE!$AV$14:$BC$968,SUMPRODUCT((ROW(DATABASE!$AV$14:$AV$968)) * (DATABASE!$AV$14:DB$968='Résultats observations'!$A42 ) * (DATABASE!$AW$14:$AW$968= BI$4))-ROW(DATABASE!$AV$14)+1,BI$5)),"")</f>
        <v/>
      </c>
      <c r="BJ42" s="116">
        <f t="array" ref="BJ42">IFERROR(_xlfn.SINGLE(INDEX(DATABASE!$AV$14:$BC$968,SUMPRODUCT((ROW(DATABASE!$AV$14:$AV$968)) * (DATABASE!$AV$14:DC$968='Résultats observations'!$A42 ) * (DATABASE!$AW$14:$AW$968= BJ$4))-ROW(DATABASE!$AV$14)+1,BJ$5)),"")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(DATABASE!AV$14:$AV$968='Résultats observations'!$A43 ) * (DATABASE!$AW$14:$AW$968= C$4))-ROW(DATABASE!$AV$14)+1,C$5)),"")</f>
        <v/>
      </c>
      <c r="D43" s="116">
        <f t="array" ref="D43">IFERROR(_xlfn.SINGLE(INDEX(DATABASE!$AV$14:$BC$968,SUMPRODUCT((ROW(DATABASE!$AV$14:$AV$968)) * (DATABASE!$AV$14:AW$968='Résultats observations'!$A43 ) * (DATABASE!$AW$14:$AW$968= D$4))-ROW(DATABASE!$AV$14)+1,D$5)),"")</f>
        <v/>
      </c>
      <c r="E43" s="116">
        <f t="array" ref="E43">IFERROR(_xlfn.SINGLE(INDEX(DATABASE!$AV$14:$BC$968,SUMPRODUCT((ROW(DATABASE!$AV$14:$AV$968)) * (DATABASE!$AV$14:AX$968='Résultats observations'!$A43 ) * (DATABASE!$AW$14:$AW$968= E$4))-ROW(DATABASE!$AV$14)+1,E$5)),"")</f>
        <v/>
      </c>
      <c r="F43" s="116">
        <f t="array" ref="F43">IFERROR(_xlfn.SINGLE(INDEX(DATABASE!$AV$14:$BC$968,SUMPRODUCT((ROW(DATABASE!$AV$14:$AV$968)) * (DATABASE!$AV$14:AY$968='Résultats observations'!$A43 ) * (DATABASE!$AW$14:$AW$968= F$4))-ROW(DATABASE!$AV$14)+1,F$5)),"")</f>
        <v/>
      </c>
      <c r="G43" s="116">
        <f t="array" ref="G43">IFERROR(_xlfn.SINGLE(INDEX(DATABASE!$AV$14:$BC$968,SUMPRODUCT((ROW(DATABASE!$AV$14:$AV$968)) * (DATABASE!$AV$14:AZ$968='Résultats observations'!$A43 ) * (DATABASE!$AW$14:$AW$968= G$4))-ROW(DATABASE!$AV$14)+1,G$5)),"")</f>
        <v/>
      </c>
      <c r="H43" s="116">
        <f t="array" ref="H43">IFERROR(_xlfn.SINGLE(INDEX(DATABASE!$AV$14:$BC$968,SUMPRODUCT((ROW(DATABASE!$AV$14:$AV$968)) * (DATABASE!$AV$14:BA$968='Résultats observations'!$A43 ) * (DATABASE!$AW$14:$AW$968= H$4))-ROW(DATABASE!$AV$14)+1,H$5)),"")</f>
        <v/>
      </c>
      <c r="I43" s="116">
        <f t="array" ref="I43">IFERROR(_xlfn.SINGLE(INDEX(DATABASE!$AV$14:$BC$968,SUMPRODUCT((ROW(DATABASE!$AV$14:$AV$968)) * (DATABASE!$AV$14:BB$968='Résultats observations'!$A43 ) * (DATABASE!$AW$14:$AW$968= I$4))-ROW(DATABASE!$AV$14)+1,I$5)),"")</f>
        <v/>
      </c>
      <c r="J43" s="116">
        <f t="array" ref="J43">IFERROR(_xlfn.SINGLE(INDEX(DATABASE!$AV$14:$BC$968,SUMPRODUCT((ROW(DATABASE!$AV$14:$AV$968)) * (DATABASE!$AV$14:BC$968='Résultats observations'!$A43 ) * (DATABASE!$AW$14:$AW$968= J$4))-ROW(DATABASE!$AV$14)+1,J$5)),"")</f>
        <v/>
      </c>
      <c r="K43" s="116">
        <f t="array" ref="K43">IFERROR(_xlfn.SINGLE(INDEX(DATABASE!$AV$14:$BC$968,SUMPRODUCT((ROW(DATABASE!$AV$14:$AV$968)) * (DATABASE!$AV$14:BD$968='Résultats observations'!$A43 ) * (DATABASE!$AW$14:$AW$968= K$4))-ROW(DATABASE!$AV$14)+1,K$5)),"")</f>
        <v/>
      </c>
      <c r="L43" s="116">
        <f t="array" ref="L43">IFERROR(_xlfn.SINGLE(INDEX(DATABASE!$AV$14:$BC$968,SUMPRODUCT((ROW(DATABASE!$AV$14:$AV$968)) * (DATABASE!$AV$14:BE$968='Résultats observations'!$A43 ) * (DATABASE!$AW$14:$AW$968= L$4))-ROW(DATABASE!$AV$14)+1,L$5)),"")</f>
        <v/>
      </c>
      <c r="M43" s="116">
        <f t="array" ref="M43">IFERROR(_xlfn.SINGLE(INDEX(DATABASE!$AV$14:$BC$968,SUMPRODUCT((ROW(DATABASE!$AV$14:$AV$968)) * (DATABASE!$AV$14:BF$968='Résultats observations'!$A43 ) * (DATABASE!$AW$14:$AW$968= M$4))-ROW(DATABASE!$AV$14)+1,M$5)),"")</f>
        <v/>
      </c>
      <c r="N43" s="116">
        <f t="array" ref="N43">IFERROR(_xlfn.SINGLE(INDEX(DATABASE!$AV$14:$BC$968,SUMPRODUCT((ROW(DATABASE!$AV$14:$AV$968)) * (DATABASE!$AV$14:BG$968='Résultats observations'!$A43 ) * (DATABASE!$AW$14:$AW$968= N$4))-ROW(DATABASE!$AV$14)+1,N$5)),"")</f>
        <v/>
      </c>
      <c r="O43" s="116">
        <f t="array" ref="O43">IFERROR(_xlfn.SINGLE(INDEX(DATABASE!$AV$14:$BC$968,SUMPRODUCT((ROW(DATABASE!$AV$14:$AV$968)) * (DATABASE!$AV$14:BH$968='Résultats observations'!$A43 ) * (DATABASE!$AW$14:$AW$968= O$4))-ROW(DATABASE!$AV$14)+1,O$5)),"")</f>
        <v/>
      </c>
      <c r="P43" s="116">
        <f t="array" ref="P43">IFERROR(_xlfn.SINGLE(INDEX(DATABASE!$AV$14:$BC$968,SUMPRODUCT((ROW(DATABASE!$AV$14:$AV$968)) * (DATABASE!$AV$14:BI$968='Résultats observations'!$A43 ) * (DATABASE!$AW$14:$AW$968= P$4))-ROW(DATABASE!$AV$14)+1,P$5)),"")</f>
        <v/>
      </c>
      <c r="Q43" s="116">
        <f t="array" ref="Q43">IFERROR(_xlfn.SINGLE(INDEX(DATABASE!$AV$14:$BC$968,SUMPRODUCT((ROW(DATABASE!$AV$14:$AV$968)) * (DATABASE!$AV$14:BJ$968='Résultats observations'!$A43 ) * (DATABASE!$AW$14:$AW$968= Q$4))-ROW(DATABASE!$AV$14)+1,Q$5)),"")</f>
        <v/>
      </c>
      <c r="R43" s="116">
        <f t="array" ref="R43">IFERROR(_xlfn.SINGLE(INDEX(DATABASE!$AV$14:$BC$968,SUMPRODUCT((ROW(DATABASE!$AV$14:$AV$968)) * (DATABASE!$AV$14:BK$968='Résultats observations'!$A43 ) * (DATABASE!$AW$14:$AW$968= R$4))-ROW(DATABASE!$AV$14)+1,R$5)),"")</f>
        <v/>
      </c>
      <c r="S43" s="116">
        <f t="array" ref="S43">IFERROR(_xlfn.SINGLE(INDEX(DATABASE!$AV$14:$BC$968,SUMPRODUCT((ROW(DATABASE!$AV$14:$AV$968)) * (DATABASE!$AV$14:BL$968='Résultats observations'!$A43 ) * (DATABASE!$AW$14:$AW$968= S$4))-ROW(DATABASE!$AV$14)+1,S$5)),"")</f>
        <v/>
      </c>
      <c r="T43" s="116">
        <f t="array" ref="T43">IFERROR(_xlfn.SINGLE(INDEX(DATABASE!$AV$14:$BC$968,SUMPRODUCT((ROW(DATABASE!$AV$14:$AV$968)) * (DATABASE!$AV$14:BM$968='Résultats observations'!$A43 ) * (DATABASE!$AW$14:$AW$968= T$4))-ROW(DATABASE!$AV$14)+1,T$5)),"")</f>
        <v/>
      </c>
      <c r="U43" s="116">
        <f t="array" ref="U43">IFERROR(_xlfn.SINGLE(INDEX(DATABASE!$AV$14:$BC$968,SUMPRODUCT((ROW(DATABASE!$AV$14:$AV$968)) * (DATABASE!$AV$14:BN$968='Résultats observations'!$A43 ) * (DATABASE!$AW$14:$AW$968= U$4))-ROW(DATABASE!$AV$14)+1,U$5)),"")</f>
        <v/>
      </c>
      <c r="V43" s="116">
        <f t="array" ref="V43">IFERROR(_xlfn.SINGLE(INDEX(DATABASE!$AV$14:$BC$968,SUMPRODUCT((ROW(DATABASE!$AV$14:$AV$968)) * (DATABASE!$AV$14:BO$968='Résultats observations'!$A43 ) * (DATABASE!$AW$14:$AW$968= V$4))-ROW(DATABASE!$AV$14)+1,V$5)),"")</f>
        <v/>
      </c>
      <c r="W43" s="116">
        <f t="array" ref="W43">IFERROR(_xlfn.SINGLE(INDEX(DATABASE!$AV$14:$BC$968,SUMPRODUCT((ROW(DATABASE!$AV$14:$AV$968)) * (DATABASE!$AV$14:BP$968='Résultats observations'!$A43 ) * (DATABASE!$AW$14:$AW$968= W$4))-ROW(DATABASE!$AV$14)+1,W$5)),"")</f>
        <v/>
      </c>
      <c r="X43" s="116">
        <f t="array" ref="X43">IFERROR(_xlfn.SINGLE(INDEX(DATABASE!$AV$14:$BC$968,SUMPRODUCT((ROW(DATABASE!$AV$14:$AV$968)) * (DATABASE!$AV$14:BQ$968='Résultats observations'!$A43 ) * (DATABASE!$AW$14:$AW$968= X$4))-ROW(DATABASE!$AV$14)+1,X$5)),"")</f>
        <v/>
      </c>
      <c r="Y43" s="116">
        <f t="array" ref="Y43">IFERROR(_xlfn.SINGLE(INDEX(DATABASE!$AV$14:$BC$968,SUMPRODUCT((ROW(DATABASE!$AV$14:$AV$968)) * (DATABASE!$AV$14:BR$968='Résultats observations'!$A43 ) * (DATABASE!$AW$14:$AW$968= Y$4))-ROW(DATABASE!$AV$14)+1,Y$5)),"")</f>
        <v/>
      </c>
      <c r="Z43" s="116">
        <f t="array" ref="Z43">IFERROR(_xlfn.SINGLE(INDEX(DATABASE!$AV$14:$BC$968,SUMPRODUCT((ROW(DATABASE!$AV$14:$AV$968)) * (DATABASE!$AV$14:BS$968='Résultats observations'!$A43 ) * (DATABASE!$AW$14:$AW$968= Z$4))-ROW(DATABASE!$AV$14)+1,Z$5)),"")</f>
        <v/>
      </c>
      <c r="AA43" s="116">
        <f t="array" ref="AA43">IFERROR(_xlfn.SINGLE(INDEX(DATABASE!$AV$14:$BC$968,SUMPRODUCT((ROW(DATABASE!$AV$14:$AV$968)) * (DATABASE!$AV$14:BT$968='Résultats observations'!$A43 ) * (DATABASE!$AW$14:$AW$968= AA$4))-ROW(DATABASE!$AV$14)+1,AA$5)),"")</f>
        <v/>
      </c>
      <c r="AB43" s="116">
        <f t="array" ref="AB43">IFERROR(_xlfn.SINGLE(INDEX(DATABASE!$AV$14:$BC$968,SUMPRODUCT((ROW(DATABASE!$AV$14:$AV$968)) * (DATABASE!$AV$14:BU$968='Résultats observations'!$A43 ) * (DATABASE!$AW$14:$AW$968= AB$4))-ROW(DATABASE!$AV$14)+1,AB$5)),"")</f>
        <v/>
      </c>
      <c r="AC43" s="116">
        <f t="array" ref="AC43">IFERROR(_xlfn.SINGLE(INDEX(DATABASE!$AV$14:$BC$968,SUMPRODUCT((ROW(DATABASE!$AV$14:$AV$968)) * (DATABASE!$AV$14:BV$968='Résultats observations'!$A43 ) * (DATABASE!$AW$14:$AW$968= AC$4))-ROW(DATABASE!$AV$14)+1,AC$5)),"")</f>
        <v/>
      </c>
      <c r="AD43" s="116">
        <f t="array" ref="AD43">IFERROR(_xlfn.SINGLE(INDEX(DATABASE!$AV$14:$BC$968,SUMPRODUCT((ROW(DATABASE!$AV$14:$AV$968)) * (DATABASE!$AV$14:BW$968='Résultats observations'!$A43 ) * (DATABASE!$AW$14:$AW$968= AD$4))-ROW(DATABASE!$AV$14)+1,AD$5)),"")</f>
        <v/>
      </c>
      <c r="AE43" s="116">
        <f t="array" ref="AE43">IFERROR(_xlfn.SINGLE(INDEX(DATABASE!$AV$14:$BC$968,SUMPRODUCT((ROW(DATABASE!$AV$14:$AV$968)) * (DATABASE!$AV$14:BX$968='Résultats observations'!$A43 ) * (DATABASE!$AW$14:$AW$968= AE$4))-ROW(DATABASE!$AV$14)+1,AE$5)),"")</f>
        <v/>
      </c>
      <c r="AF43" s="116">
        <f t="array" ref="AF43">IFERROR(_xlfn.SINGLE(INDEX(DATABASE!$AV$14:$BC$968,SUMPRODUCT((ROW(DATABASE!$AV$14:$AV$968)) * (DATABASE!$AV$14:BY$968='Résultats observations'!$A43 ) * (DATABASE!$AW$14:$AW$968= AF$4))-ROW(DATABASE!$AV$14)+1,AF$5)),"")</f>
        <v/>
      </c>
      <c r="AG43" s="116">
        <f t="array" ref="AG43">IFERROR(_xlfn.SINGLE(INDEX(DATABASE!$AV$14:$BC$968,SUMPRODUCT((ROW(DATABASE!$AV$14:$AV$968)) * (DATABASE!$AV$14:BZ$968='Résultats observations'!$A43 ) * (DATABASE!$AW$14:$AW$968= AG$4))-ROW(DATABASE!$AV$14)+1,AG$5)),"")</f>
        <v/>
      </c>
      <c r="AH43" s="116">
        <f t="array" ref="AH43">IFERROR(_xlfn.SINGLE(INDEX(DATABASE!$AV$14:$BC$968,SUMPRODUCT((ROW(DATABASE!$AV$14:$AV$968)) * (DATABASE!$AV$14:CA$968='Résultats observations'!$A43 ) * (DATABASE!$AW$14:$AW$968= AH$4))-ROW(DATABASE!$AV$14)+1,AH$5)),"")</f>
        <v/>
      </c>
      <c r="AI43" s="116">
        <f t="array" ref="AI43">IFERROR(_xlfn.SINGLE(INDEX(DATABASE!$AV$14:$BC$968,SUMPRODUCT((ROW(DATABASE!$AV$14:$AV$968)) * (DATABASE!$AV$14:CB$968='Résultats observations'!$A43 ) * (DATABASE!$AW$14:$AW$968= AI$4))-ROW(DATABASE!$AV$14)+1,AI$5)),"")</f>
        <v/>
      </c>
      <c r="AJ43" s="116">
        <f t="array" ref="AJ43">IFERROR(_xlfn.SINGLE(INDEX(DATABASE!$AV$14:$BC$968,SUMPRODUCT((ROW(DATABASE!$AV$14:$AV$968)) * (DATABASE!$AV$14:CC$968='Résultats observations'!$A43 ) * (DATABASE!$AW$14:$AW$968= AJ$4))-ROW(DATABASE!$AV$14)+1,AJ$5)),"")</f>
        <v/>
      </c>
      <c r="AK43" s="116">
        <f t="array" ref="AK43">IFERROR(_xlfn.SINGLE(INDEX(DATABASE!$AV$14:$BC$968,SUMPRODUCT((ROW(DATABASE!$AV$14:$AV$968)) * (DATABASE!$AV$14:CD$968='Résultats observations'!$A43 ) * (DATABASE!$AW$14:$AW$968= AK$4))-ROW(DATABASE!$AV$14)+1,AK$5)),"")</f>
        <v/>
      </c>
      <c r="AL43" s="116">
        <f t="array" ref="AL43">IFERROR(_xlfn.SINGLE(INDEX(DATABASE!$AV$14:$BC$968,SUMPRODUCT((ROW(DATABASE!$AV$14:$AV$968)) * (DATABASE!$AV$14:CE$968='Résultats observations'!$A43 ) * (DATABASE!$AW$14:$AW$968= AL$4))-ROW(DATABASE!$AV$14)+1,AL$5)),"")</f>
        <v/>
      </c>
      <c r="AM43" s="116">
        <f t="array" ref="AM43">IFERROR(_xlfn.SINGLE(INDEX(DATABASE!$AV$14:$BC$968,SUMPRODUCT((ROW(DATABASE!$AV$14:$AV$968)) * (DATABASE!$AV$14:CF$968='Résultats observations'!$A43 ) * (DATABASE!$AW$14:$AW$968= AM$4))-ROW(DATABASE!$AV$14)+1,AM$5)),"")</f>
        <v/>
      </c>
      <c r="AN43" s="116">
        <f t="array" ref="AN43">IFERROR(_xlfn.SINGLE(INDEX(DATABASE!$AV$14:$BC$968,SUMPRODUCT((ROW(DATABASE!$AV$14:$AV$968)) * (DATABASE!$AV$14:CG$968='Résultats observations'!$A43 ) * (DATABASE!$AW$14:$AW$968= AN$4))-ROW(DATABASE!$AV$14)+1,AN$5)),"")</f>
        <v/>
      </c>
      <c r="AO43" s="116">
        <f t="array" ref="AO43">IFERROR(_xlfn.SINGLE(INDEX(DATABASE!$AV$14:$BC$968,SUMPRODUCT((ROW(DATABASE!$AV$14:$AV$968)) * (DATABASE!$AV$14:CH$968='Résultats observations'!$A43 ) * (DATABASE!$AW$14:$AW$968= AO$4))-ROW(DATABASE!$AV$14)+1,AO$5)),"")</f>
        <v/>
      </c>
      <c r="AP43" s="116">
        <f t="array" ref="AP43">IFERROR(_xlfn.SINGLE(INDEX(DATABASE!$AV$14:$BC$968,SUMPRODUCT((ROW(DATABASE!$AV$14:$AV$968)) * (DATABASE!$AV$14:CI$968='Résultats observations'!$A43 ) * (DATABASE!$AW$14:$AW$968= AP$4))-ROW(DATABASE!$AV$14)+1,AP$5)),"")</f>
        <v/>
      </c>
      <c r="AQ43" s="116">
        <f t="array" ref="AQ43">IFERROR(_xlfn.SINGLE(INDEX(DATABASE!$AV$14:$BC$968,SUMPRODUCT((ROW(DATABASE!$AV$14:$AV$968)) * (DATABASE!$AV$14:CJ$968='Résultats observations'!$A43 ) * (DATABASE!$AW$14:$AW$968= AQ$4))-ROW(DATABASE!$AV$14)+1,AQ$5)),"")</f>
        <v/>
      </c>
      <c r="AR43" s="116">
        <f t="array" ref="AR43">IFERROR(_xlfn.SINGLE(INDEX(DATABASE!$AV$14:$BC$968,SUMPRODUCT((ROW(DATABASE!$AV$14:$AV$968)) * (DATABASE!$AV$14:CK$968='Résultats observations'!$A43 ) * (DATABASE!$AW$14:$AW$968= AR$4))-ROW(DATABASE!$AV$14)+1,AR$5)),"")</f>
        <v/>
      </c>
      <c r="AS43" s="116">
        <f t="array" ref="AS43">IFERROR(_xlfn.SINGLE(INDEX(DATABASE!$AV$14:$BC$968,SUMPRODUCT((ROW(DATABASE!$AV$14:$AV$968)) * (DATABASE!$AV$14:CL$968='Résultats observations'!$A43 ) * (DATABASE!$AW$14:$AW$968= AS$4))-ROW(DATABASE!$AV$14)+1,AS$5)),"")</f>
        <v/>
      </c>
      <c r="AT43" s="116">
        <f t="array" ref="AT43">IFERROR(_xlfn.SINGLE(INDEX(DATABASE!$AV$14:$BC$968,SUMPRODUCT((ROW(DATABASE!$AV$14:$AV$968)) * (DATABASE!$AV$14:CM$968='Résultats observations'!$A43 ) * (DATABASE!$AW$14:$AW$968= AT$4))-ROW(DATABASE!$AV$14)+1,AT$5)),"")</f>
        <v/>
      </c>
      <c r="AU43" s="116">
        <f t="array" ref="AU43">IFERROR(_xlfn.SINGLE(INDEX(DATABASE!$AV$14:$BC$968,SUMPRODUCT((ROW(DATABASE!$AV$14:$AV$968)) * (DATABASE!$AV$14:CN$968='Résultats observations'!$A43 ) * (DATABASE!$AW$14:$AW$968= AU$4))-ROW(DATABASE!$AV$14)+1,AU$5)),"")</f>
        <v/>
      </c>
      <c r="AV43" s="116">
        <f t="array" ref="AV43">IFERROR(_xlfn.SINGLE(INDEX(DATABASE!$AV$14:$BC$968,SUMPRODUCT((ROW(DATABASE!$AV$14:$AV$968)) * (DATABASE!$AV$14:CO$968='Résultats observations'!$A43 ) * (DATABASE!$AW$14:$AW$968= AV$4))-ROW(DATABASE!$AV$14)+1,AV$5)),"")</f>
        <v/>
      </c>
      <c r="AW43" s="116">
        <f t="array" ref="AW43">IFERROR(_xlfn.SINGLE(INDEX(DATABASE!$AV$14:$BC$968,SUMPRODUCT((ROW(DATABASE!$AV$14:$AV$968)) * (DATABASE!$AV$14:CP$968='Résultats observations'!$A43 ) * (DATABASE!$AW$14:$AW$968= AW$4))-ROW(DATABASE!$AV$14)+1,AW$5)),"")</f>
        <v/>
      </c>
      <c r="AX43" s="116">
        <f t="array" ref="AX43">IFERROR(_xlfn.SINGLE(INDEX(DATABASE!$AV$14:$BC$968,SUMPRODUCT((ROW(DATABASE!$AV$14:$AV$968)) * (DATABASE!$AV$14:CQ$968='Résultats observations'!$A43 ) * (DATABASE!$AW$14:$AW$968= AX$4))-ROW(DATABASE!$AV$14)+1,AX$5)),"")</f>
        <v/>
      </c>
      <c r="AY43" s="116">
        <f t="array" ref="AY43">IFERROR(_xlfn.SINGLE(INDEX(DATABASE!$AV$14:$BC$968,SUMPRODUCT((ROW(DATABASE!$AV$14:$AV$968)) * (DATABASE!$AV$14:CR$968='Résultats observations'!$A43 ) * (DATABASE!$AW$14:$AW$968= AY$4))-ROW(DATABASE!$AV$14)+1,AY$5)),"")</f>
        <v/>
      </c>
      <c r="AZ43" s="116">
        <f t="array" ref="AZ43">IFERROR(_xlfn.SINGLE(INDEX(DATABASE!$AV$14:$BC$968,SUMPRODUCT((ROW(DATABASE!$AV$14:$AV$968)) * (DATABASE!$AV$14:CS$968='Résultats observations'!$A43 ) * (DATABASE!$AW$14:$AW$968= AZ$4))-ROW(DATABASE!$AV$14)+1,AZ$5)),"")</f>
        <v/>
      </c>
      <c r="BA43" s="116">
        <f t="array" ref="BA43">IFERROR(_xlfn.SINGLE(INDEX(DATABASE!$AV$14:$BC$968,SUMPRODUCT((ROW(DATABASE!$AV$14:$AV$968)) * (DATABASE!$AV$14:CT$968='Résultats observations'!$A43 ) * (DATABASE!$AW$14:$AW$968= BA$4))-ROW(DATABASE!$AV$14)+1,BA$5)),"")</f>
        <v/>
      </c>
      <c r="BB43" s="116">
        <f t="array" ref="BB43">IFERROR(_xlfn.SINGLE(INDEX(DATABASE!$AV$14:$BC$968,SUMPRODUCT((ROW(DATABASE!$AV$14:$AV$968)) * (DATABASE!$AV$14:CU$968='Résultats observations'!$A43 ) * (DATABASE!$AW$14:$AW$968= BB$4))-ROW(DATABASE!$AV$14)+1,BB$5)),"")</f>
        <v/>
      </c>
      <c r="BC43" s="116">
        <f t="array" ref="BC43">IFERROR(_xlfn.SINGLE(INDEX(DATABASE!$AV$14:$BC$968,SUMPRODUCT((ROW(DATABASE!$AV$14:$AV$968)) * (DATABASE!$AV$14:CV$968='Résultats observations'!$A43 ) * (DATABASE!$AW$14:$AW$968= BC$4))-ROW(DATABASE!$AV$14)+1,BC$5)),"")</f>
        <v/>
      </c>
      <c r="BD43" s="116">
        <f t="array" ref="BD43">IFERROR(_xlfn.SINGLE(INDEX(DATABASE!$AV$14:$BC$968,SUMPRODUCT((ROW(DATABASE!$AV$14:$AV$968)) * (DATABASE!$AV$14:CW$968='Résultats observations'!$A43 ) * (DATABASE!$AW$14:$AW$968= BD$4))-ROW(DATABASE!$AV$14)+1,BD$5)),"")</f>
        <v/>
      </c>
      <c r="BE43" s="116">
        <f t="array" ref="BE43">IFERROR(_xlfn.SINGLE(INDEX(DATABASE!$AV$14:$BC$968,SUMPRODUCT((ROW(DATABASE!$AV$14:$AV$968)) * (DATABASE!$AV$14:CX$968='Résultats observations'!$A43 ) * (DATABASE!$AW$14:$AW$968= BE$4))-ROW(DATABASE!$AV$14)+1,BE$5)),"")</f>
        <v/>
      </c>
      <c r="BF43" s="116">
        <f t="array" ref="BF43">IFERROR(_xlfn.SINGLE(INDEX(DATABASE!$AV$14:$BC$968,SUMPRODUCT((ROW(DATABASE!$AV$14:$AV$968)) * (DATABASE!$AV$14:CY$968='Résultats observations'!$A43 ) * (DATABASE!$AW$14:$AW$968= BF$4))-ROW(DATABASE!$AV$14)+1,BF$5)),"")</f>
        <v/>
      </c>
      <c r="BG43" s="116">
        <f t="array" ref="BG43">IFERROR(_xlfn.SINGLE(INDEX(DATABASE!$AV$14:$BC$968,SUMPRODUCT((ROW(DATABASE!$AV$14:$AV$968)) * (DATABASE!$AV$14:CZ$968='Résultats observations'!$A43 ) * (DATABASE!$AW$14:$AW$968= BG$4))-ROW(DATABASE!$AV$14)+1,BG$5)),"")</f>
        <v/>
      </c>
      <c r="BH43" s="116">
        <f t="array" ref="BH43">IFERROR(_xlfn.SINGLE(INDEX(DATABASE!$AV$14:$BC$968,SUMPRODUCT((ROW(DATABASE!$AV$14:$AV$968)) * (DATABASE!$AV$14:DA$968='Résultats observations'!$A43 ) * (DATABASE!$AW$14:$AW$968= BH$4))-ROW(DATABASE!$AV$14)+1,BH$5)),"")</f>
        <v/>
      </c>
      <c r="BI43" s="116">
        <f t="array" ref="BI43">IFERROR(_xlfn.SINGLE(INDEX(DATABASE!$AV$14:$BC$968,SUMPRODUCT((ROW(DATABASE!$AV$14:$AV$968)) * (DATABASE!$AV$14:DB$968='Résultats observations'!$A43 ) * (DATABASE!$AW$14:$AW$968= BI$4))-ROW(DATABASE!$AV$14)+1,BI$5)),"")</f>
        <v/>
      </c>
      <c r="BJ43" s="116">
        <f t="array" ref="BJ43">IFERROR(_xlfn.SINGLE(INDEX(DATABASE!$AV$14:$BC$968,SUMPRODUCT((ROW(DATABASE!$AV$14:$AV$968)) * (DATABASE!$AV$14:DC$968='Résultats observations'!$A43 ) * (DATABASE!$AW$14:$AW$968= BJ$4))-ROW(DATABASE!$AV$14)+1,BJ$5)),"")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(DATABASE!AV$14:$AV$968='Résultats observations'!$A44 ) * (DATABASE!$AW$14:$AW$968= C$4))-ROW(DATABASE!$AV$14)+1,C$5)),"")</f>
        <v/>
      </c>
      <c r="D44" s="116">
        <f t="array" ref="D44">IFERROR(_xlfn.SINGLE(INDEX(DATABASE!$AV$14:$BC$968,SUMPRODUCT((ROW(DATABASE!$AV$14:$AV$968)) * (DATABASE!$AV$14:AW$968='Résultats observations'!$A44 ) * (DATABASE!$AW$14:$AW$968= D$4))-ROW(DATABASE!$AV$14)+1,D$5)),"")</f>
        <v/>
      </c>
      <c r="E44" s="116">
        <f t="array" ref="E44">IFERROR(_xlfn.SINGLE(INDEX(DATABASE!$AV$14:$BC$968,SUMPRODUCT((ROW(DATABASE!$AV$14:$AV$968)) * (DATABASE!$AV$14:AX$968='Résultats observations'!$A44 ) * (DATABASE!$AW$14:$AW$968= E$4))-ROW(DATABASE!$AV$14)+1,E$5)),"")</f>
        <v/>
      </c>
      <c r="F44" s="116">
        <f t="array" ref="F44">IFERROR(_xlfn.SINGLE(INDEX(DATABASE!$AV$14:$BC$968,SUMPRODUCT((ROW(DATABASE!$AV$14:$AV$968)) * (DATABASE!$AV$14:AY$968='Résultats observations'!$A44 ) * (DATABASE!$AW$14:$AW$968= F$4))-ROW(DATABASE!$AV$14)+1,F$5)),"")</f>
        <v/>
      </c>
      <c r="G44" s="116">
        <f t="array" ref="G44">IFERROR(_xlfn.SINGLE(INDEX(DATABASE!$AV$14:$BC$968,SUMPRODUCT((ROW(DATABASE!$AV$14:$AV$968)) * (DATABASE!$AV$14:AZ$968='Résultats observations'!$A44 ) * (DATABASE!$AW$14:$AW$968= G$4))-ROW(DATABASE!$AV$14)+1,G$5)),"")</f>
        <v/>
      </c>
      <c r="H44" s="116">
        <f t="array" ref="H44">IFERROR(_xlfn.SINGLE(INDEX(DATABASE!$AV$14:$BC$968,SUMPRODUCT((ROW(DATABASE!$AV$14:$AV$968)) * (DATABASE!$AV$14:BA$968='Résultats observations'!$A44 ) * (DATABASE!$AW$14:$AW$968= H$4))-ROW(DATABASE!$AV$14)+1,H$5)),"")</f>
        <v/>
      </c>
      <c r="I44" s="116">
        <f t="array" ref="I44">IFERROR(_xlfn.SINGLE(INDEX(DATABASE!$AV$14:$BC$968,SUMPRODUCT((ROW(DATABASE!$AV$14:$AV$968)) * (DATABASE!$AV$14:BB$968='Résultats observations'!$A44 ) * (DATABASE!$AW$14:$AW$968= I$4))-ROW(DATABASE!$AV$14)+1,I$5)),"")</f>
        <v/>
      </c>
      <c r="J44" s="116">
        <f t="array" ref="J44">IFERROR(_xlfn.SINGLE(INDEX(DATABASE!$AV$14:$BC$968,SUMPRODUCT((ROW(DATABASE!$AV$14:$AV$968)) * (DATABASE!$AV$14:BC$968='Résultats observations'!$A44 ) * (DATABASE!$AW$14:$AW$968= J$4))-ROW(DATABASE!$AV$14)+1,J$5)),"")</f>
        <v/>
      </c>
      <c r="K44" s="116">
        <f t="array" ref="K44">IFERROR(_xlfn.SINGLE(INDEX(DATABASE!$AV$14:$BC$968,SUMPRODUCT((ROW(DATABASE!$AV$14:$AV$968)) * (DATABASE!$AV$14:BD$968='Résultats observations'!$A44 ) * (DATABASE!$AW$14:$AW$968= K$4))-ROW(DATABASE!$AV$14)+1,K$5)),"")</f>
        <v/>
      </c>
      <c r="L44" s="116">
        <f t="array" ref="L44">IFERROR(_xlfn.SINGLE(INDEX(DATABASE!$AV$14:$BC$968,SUMPRODUCT((ROW(DATABASE!$AV$14:$AV$968)) * (DATABASE!$AV$14:BE$968='Résultats observations'!$A44 ) * (DATABASE!$AW$14:$AW$968= L$4))-ROW(DATABASE!$AV$14)+1,L$5)),"")</f>
        <v/>
      </c>
      <c r="M44" s="116">
        <f t="array" ref="M44">IFERROR(_xlfn.SINGLE(INDEX(DATABASE!$AV$14:$BC$968,SUMPRODUCT((ROW(DATABASE!$AV$14:$AV$968)) * (DATABASE!$AV$14:BF$968='Résultats observations'!$A44 ) * (DATABASE!$AW$14:$AW$968= M$4))-ROW(DATABASE!$AV$14)+1,M$5)),"")</f>
        <v/>
      </c>
      <c r="N44" s="116">
        <f t="array" ref="N44">IFERROR(_xlfn.SINGLE(INDEX(DATABASE!$AV$14:$BC$968,SUMPRODUCT((ROW(DATABASE!$AV$14:$AV$968)) * (DATABASE!$AV$14:BG$968='Résultats observations'!$A44 ) * (DATABASE!$AW$14:$AW$968= N$4))-ROW(DATABASE!$AV$14)+1,N$5)),"")</f>
        <v/>
      </c>
      <c r="O44" s="116">
        <f t="array" ref="O44">IFERROR(_xlfn.SINGLE(INDEX(DATABASE!$AV$14:$BC$968,SUMPRODUCT((ROW(DATABASE!$AV$14:$AV$968)) * (DATABASE!$AV$14:BH$968='Résultats observations'!$A44 ) * (DATABASE!$AW$14:$AW$968= O$4))-ROW(DATABASE!$AV$14)+1,O$5)),"")</f>
        <v/>
      </c>
      <c r="P44" s="116">
        <f t="array" ref="P44">IFERROR(_xlfn.SINGLE(INDEX(DATABASE!$AV$14:$BC$968,SUMPRODUCT((ROW(DATABASE!$AV$14:$AV$968)) * (DATABASE!$AV$14:BI$968='Résultats observations'!$A44 ) * (DATABASE!$AW$14:$AW$968= P$4))-ROW(DATABASE!$AV$14)+1,P$5)),"")</f>
        <v/>
      </c>
      <c r="Q44" s="116">
        <f t="array" ref="Q44">IFERROR(_xlfn.SINGLE(INDEX(DATABASE!$AV$14:$BC$968,SUMPRODUCT((ROW(DATABASE!$AV$14:$AV$968)) * (DATABASE!$AV$14:BJ$968='Résultats observations'!$A44 ) * (DATABASE!$AW$14:$AW$968= Q$4))-ROW(DATABASE!$AV$14)+1,Q$5)),"")</f>
        <v/>
      </c>
      <c r="R44" s="116">
        <f t="array" ref="R44">IFERROR(_xlfn.SINGLE(INDEX(DATABASE!$AV$14:$BC$968,SUMPRODUCT((ROW(DATABASE!$AV$14:$AV$968)) * (DATABASE!$AV$14:BK$968='Résultats observations'!$A44 ) * (DATABASE!$AW$14:$AW$968= R$4))-ROW(DATABASE!$AV$14)+1,R$5)),"")</f>
        <v/>
      </c>
      <c r="S44" s="116">
        <f t="array" ref="S44">IFERROR(_xlfn.SINGLE(INDEX(DATABASE!$AV$14:$BC$968,SUMPRODUCT((ROW(DATABASE!$AV$14:$AV$968)) * (DATABASE!$AV$14:BL$968='Résultats observations'!$A44 ) * (DATABASE!$AW$14:$AW$968= S$4))-ROW(DATABASE!$AV$14)+1,S$5)),"")</f>
        <v/>
      </c>
      <c r="T44" s="116">
        <f t="array" ref="T44">IFERROR(_xlfn.SINGLE(INDEX(DATABASE!$AV$14:$BC$968,SUMPRODUCT((ROW(DATABASE!$AV$14:$AV$968)) * (DATABASE!$AV$14:BM$968='Résultats observations'!$A44 ) * (DATABASE!$AW$14:$AW$968= T$4))-ROW(DATABASE!$AV$14)+1,T$5)),"")</f>
        <v/>
      </c>
      <c r="U44" s="116">
        <f t="array" ref="U44">IFERROR(_xlfn.SINGLE(INDEX(DATABASE!$AV$14:$BC$968,SUMPRODUCT((ROW(DATABASE!$AV$14:$AV$968)) * (DATABASE!$AV$14:BN$968='Résultats observations'!$A44 ) * (DATABASE!$AW$14:$AW$968= U$4))-ROW(DATABASE!$AV$14)+1,U$5)),"")</f>
        <v/>
      </c>
      <c r="V44" s="116">
        <f t="array" ref="V44">IFERROR(_xlfn.SINGLE(INDEX(DATABASE!$AV$14:$BC$968,SUMPRODUCT((ROW(DATABASE!$AV$14:$AV$968)) * (DATABASE!$AV$14:BO$968='Résultats observations'!$A44 ) * (DATABASE!$AW$14:$AW$968= V$4))-ROW(DATABASE!$AV$14)+1,V$5)),"")</f>
        <v/>
      </c>
      <c r="W44" s="116">
        <f t="array" ref="W44">IFERROR(_xlfn.SINGLE(INDEX(DATABASE!$AV$14:$BC$968,SUMPRODUCT((ROW(DATABASE!$AV$14:$AV$968)) * (DATABASE!$AV$14:BP$968='Résultats observations'!$A44 ) * (DATABASE!$AW$14:$AW$968= W$4))-ROW(DATABASE!$AV$14)+1,W$5)),"")</f>
        <v/>
      </c>
      <c r="X44" s="116">
        <f t="array" ref="X44">IFERROR(_xlfn.SINGLE(INDEX(DATABASE!$AV$14:$BC$968,SUMPRODUCT((ROW(DATABASE!$AV$14:$AV$968)) * (DATABASE!$AV$14:BQ$968='Résultats observations'!$A44 ) * (DATABASE!$AW$14:$AW$968= X$4))-ROW(DATABASE!$AV$14)+1,X$5)),"")</f>
        <v/>
      </c>
      <c r="Y44" s="116">
        <f t="array" ref="Y44">IFERROR(_xlfn.SINGLE(INDEX(DATABASE!$AV$14:$BC$968,SUMPRODUCT((ROW(DATABASE!$AV$14:$AV$968)) * (DATABASE!$AV$14:BR$968='Résultats observations'!$A44 ) * (DATABASE!$AW$14:$AW$968= Y$4))-ROW(DATABASE!$AV$14)+1,Y$5)),"")</f>
        <v/>
      </c>
      <c r="Z44" s="116">
        <f t="array" ref="Z44">IFERROR(_xlfn.SINGLE(INDEX(DATABASE!$AV$14:$BC$968,SUMPRODUCT((ROW(DATABASE!$AV$14:$AV$968)) * (DATABASE!$AV$14:BS$968='Résultats observations'!$A44 ) * (DATABASE!$AW$14:$AW$968= Z$4))-ROW(DATABASE!$AV$14)+1,Z$5)),"")</f>
        <v/>
      </c>
      <c r="AA44" s="116">
        <f t="array" ref="AA44">IFERROR(_xlfn.SINGLE(INDEX(DATABASE!$AV$14:$BC$968,SUMPRODUCT((ROW(DATABASE!$AV$14:$AV$968)) * (DATABASE!$AV$14:BT$968='Résultats observations'!$A44 ) * (DATABASE!$AW$14:$AW$968= AA$4))-ROW(DATABASE!$AV$14)+1,AA$5)),"")</f>
        <v/>
      </c>
      <c r="AB44" s="116">
        <f t="array" ref="AB44">IFERROR(_xlfn.SINGLE(INDEX(DATABASE!$AV$14:$BC$968,SUMPRODUCT((ROW(DATABASE!$AV$14:$AV$968)) * (DATABASE!$AV$14:BU$968='Résultats observations'!$A44 ) * (DATABASE!$AW$14:$AW$968= AB$4))-ROW(DATABASE!$AV$14)+1,AB$5)),"")</f>
        <v/>
      </c>
      <c r="AC44" s="116">
        <f t="array" ref="AC44">IFERROR(_xlfn.SINGLE(INDEX(DATABASE!$AV$14:$BC$968,SUMPRODUCT((ROW(DATABASE!$AV$14:$AV$968)) * (DATABASE!$AV$14:BV$968='Résultats observations'!$A44 ) * (DATABASE!$AW$14:$AW$968= AC$4))-ROW(DATABASE!$AV$14)+1,AC$5)),"")</f>
        <v/>
      </c>
      <c r="AD44" s="116">
        <f t="array" ref="AD44">IFERROR(_xlfn.SINGLE(INDEX(DATABASE!$AV$14:$BC$968,SUMPRODUCT((ROW(DATABASE!$AV$14:$AV$968)) * (DATABASE!$AV$14:BW$968='Résultats observations'!$A44 ) * (DATABASE!$AW$14:$AW$968= AD$4))-ROW(DATABASE!$AV$14)+1,AD$5)),"")</f>
        <v/>
      </c>
      <c r="AE44" s="116">
        <f t="array" ref="AE44">IFERROR(_xlfn.SINGLE(INDEX(DATABASE!$AV$14:$BC$968,SUMPRODUCT((ROW(DATABASE!$AV$14:$AV$968)) * (DATABASE!$AV$14:BX$968='Résultats observations'!$A44 ) * (DATABASE!$AW$14:$AW$968= AE$4))-ROW(DATABASE!$AV$14)+1,AE$5)),"")</f>
        <v/>
      </c>
      <c r="AF44" s="116">
        <f t="array" ref="AF44">IFERROR(_xlfn.SINGLE(INDEX(DATABASE!$AV$14:$BC$968,SUMPRODUCT((ROW(DATABASE!$AV$14:$AV$968)) * (DATABASE!$AV$14:BY$968='Résultats observations'!$A44 ) * (DATABASE!$AW$14:$AW$968= AF$4))-ROW(DATABASE!$AV$14)+1,AF$5)),"")</f>
        <v/>
      </c>
      <c r="AG44" s="116">
        <f t="array" ref="AG44">IFERROR(_xlfn.SINGLE(INDEX(DATABASE!$AV$14:$BC$968,SUMPRODUCT((ROW(DATABASE!$AV$14:$AV$968)) * (DATABASE!$AV$14:BZ$968='Résultats observations'!$A44 ) * (DATABASE!$AW$14:$AW$968= AG$4))-ROW(DATABASE!$AV$14)+1,AG$5)),"")</f>
        <v/>
      </c>
      <c r="AH44" s="116">
        <f t="array" ref="AH44">IFERROR(_xlfn.SINGLE(INDEX(DATABASE!$AV$14:$BC$968,SUMPRODUCT((ROW(DATABASE!$AV$14:$AV$968)) * (DATABASE!$AV$14:CA$968='Résultats observations'!$A44 ) * (DATABASE!$AW$14:$AW$968= AH$4))-ROW(DATABASE!$AV$14)+1,AH$5)),"")</f>
        <v/>
      </c>
      <c r="AI44" s="116">
        <f t="array" ref="AI44">IFERROR(_xlfn.SINGLE(INDEX(DATABASE!$AV$14:$BC$968,SUMPRODUCT((ROW(DATABASE!$AV$14:$AV$968)) * (DATABASE!$AV$14:CB$968='Résultats observations'!$A44 ) * (DATABASE!$AW$14:$AW$968= AI$4))-ROW(DATABASE!$AV$14)+1,AI$5)),"")</f>
        <v/>
      </c>
      <c r="AJ44" s="116">
        <f t="array" ref="AJ44">IFERROR(_xlfn.SINGLE(INDEX(DATABASE!$AV$14:$BC$968,SUMPRODUCT((ROW(DATABASE!$AV$14:$AV$968)) * (DATABASE!$AV$14:CC$968='Résultats observations'!$A44 ) * (DATABASE!$AW$14:$AW$968= AJ$4))-ROW(DATABASE!$AV$14)+1,AJ$5)),"")</f>
        <v/>
      </c>
      <c r="AK44" s="116">
        <f t="array" ref="AK44">IFERROR(_xlfn.SINGLE(INDEX(DATABASE!$AV$14:$BC$968,SUMPRODUCT((ROW(DATABASE!$AV$14:$AV$968)) * (DATABASE!$AV$14:CD$968='Résultats observations'!$A44 ) * (DATABASE!$AW$14:$AW$968= AK$4))-ROW(DATABASE!$AV$14)+1,AK$5)),"")</f>
        <v/>
      </c>
      <c r="AL44" s="116">
        <f t="array" ref="AL44">IFERROR(_xlfn.SINGLE(INDEX(DATABASE!$AV$14:$BC$968,SUMPRODUCT((ROW(DATABASE!$AV$14:$AV$968)) * (DATABASE!$AV$14:CE$968='Résultats observations'!$A44 ) * (DATABASE!$AW$14:$AW$968= AL$4))-ROW(DATABASE!$AV$14)+1,AL$5)),"")</f>
        <v/>
      </c>
      <c r="AM44" s="116">
        <f t="array" ref="AM44">IFERROR(_xlfn.SINGLE(INDEX(DATABASE!$AV$14:$BC$968,SUMPRODUCT((ROW(DATABASE!$AV$14:$AV$968)) * (DATABASE!$AV$14:CF$968='Résultats observations'!$A44 ) * (DATABASE!$AW$14:$AW$968= AM$4))-ROW(DATABASE!$AV$14)+1,AM$5)),"")</f>
        <v/>
      </c>
      <c r="AN44" s="116">
        <f t="array" ref="AN44">IFERROR(_xlfn.SINGLE(INDEX(DATABASE!$AV$14:$BC$968,SUMPRODUCT((ROW(DATABASE!$AV$14:$AV$968)) * (DATABASE!$AV$14:CG$968='Résultats observations'!$A44 ) * (DATABASE!$AW$14:$AW$968= AN$4))-ROW(DATABASE!$AV$14)+1,AN$5)),"")</f>
        <v/>
      </c>
      <c r="AO44" s="116">
        <f t="array" ref="AO44">IFERROR(_xlfn.SINGLE(INDEX(DATABASE!$AV$14:$BC$968,SUMPRODUCT((ROW(DATABASE!$AV$14:$AV$968)) * (DATABASE!$AV$14:CH$968='Résultats observations'!$A44 ) * (DATABASE!$AW$14:$AW$968= AO$4))-ROW(DATABASE!$AV$14)+1,AO$5)),"")</f>
        <v/>
      </c>
      <c r="AP44" s="116">
        <f t="array" ref="AP44">IFERROR(_xlfn.SINGLE(INDEX(DATABASE!$AV$14:$BC$968,SUMPRODUCT((ROW(DATABASE!$AV$14:$AV$968)) * (DATABASE!$AV$14:CI$968='Résultats observations'!$A44 ) * (DATABASE!$AW$14:$AW$968= AP$4))-ROW(DATABASE!$AV$14)+1,AP$5)),"")</f>
        <v/>
      </c>
      <c r="AQ44" s="116">
        <f t="array" ref="AQ44">IFERROR(_xlfn.SINGLE(INDEX(DATABASE!$AV$14:$BC$968,SUMPRODUCT((ROW(DATABASE!$AV$14:$AV$968)) * (DATABASE!$AV$14:CJ$968='Résultats observations'!$A44 ) * (DATABASE!$AW$14:$AW$968= AQ$4))-ROW(DATABASE!$AV$14)+1,AQ$5)),"")</f>
        <v/>
      </c>
      <c r="AR44" s="116">
        <f t="array" ref="AR44">IFERROR(_xlfn.SINGLE(INDEX(DATABASE!$AV$14:$BC$968,SUMPRODUCT((ROW(DATABASE!$AV$14:$AV$968)) * (DATABASE!$AV$14:CK$968='Résultats observations'!$A44 ) * (DATABASE!$AW$14:$AW$968= AR$4))-ROW(DATABASE!$AV$14)+1,AR$5)),"")</f>
        <v/>
      </c>
      <c r="AS44" s="116">
        <f t="array" ref="AS44">IFERROR(_xlfn.SINGLE(INDEX(DATABASE!$AV$14:$BC$968,SUMPRODUCT((ROW(DATABASE!$AV$14:$AV$968)) * (DATABASE!$AV$14:CL$968='Résultats observations'!$A44 ) * (DATABASE!$AW$14:$AW$968= AS$4))-ROW(DATABASE!$AV$14)+1,AS$5)),"")</f>
        <v/>
      </c>
      <c r="AT44" s="116">
        <f t="array" ref="AT44">IFERROR(_xlfn.SINGLE(INDEX(DATABASE!$AV$14:$BC$968,SUMPRODUCT((ROW(DATABASE!$AV$14:$AV$968)) * (DATABASE!$AV$14:CM$968='Résultats observations'!$A44 ) * (DATABASE!$AW$14:$AW$968= AT$4))-ROW(DATABASE!$AV$14)+1,AT$5)),"")</f>
        <v/>
      </c>
      <c r="AU44" s="116">
        <f t="array" ref="AU44">IFERROR(_xlfn.SINGLE(INDEX(DATABASE!$AV$14:$BC$968,SUMPRODUCT((ROW(DATABASE!$AV$14:$AV$968)) * (DATABASE!$AV$14:CN$968='Résultats observations'!$A44 ) * (DATABASE!$AW$14:$AW$968= AU$4))-ROW(DATABASE!$AV$14)+1,AU$5)),"")</f>
        <v/>
      </c>
      <c r="AV44" s="116">
        <f t="array" ref="AV44">IFERROR(_xlfn.SINGLE(INDEX(DATABASE!$AV$14:$BC$968,SUMPRODUCT((ROW(DATABASE!$AV$14:$AV$968)) * (DATABASE!$AV$14:CO$968='Résultats observations'!$A44 ) * (DATABASE!$AW$14:$AW$968= AV$4))-ROW(DATABASE!$AV$14)+1,AV$5)),"")</f>
        <v/>
      </c>
      <c r="AW44" s="116">
        <f t="array" ref="AW44">IFERROR(_xlfn.SINGLE(INDEX(DATABASE!$AV$14:$BC$968,SUMPRODUCT((ROW(DATABASE!$AV$14:$AV$968)) * (DATABASE!$AV$14:CP$968='Résultats observations'!$A44 ) * (DATABASE!$AW$14:$AW$968= AW$4))-ROW(DATABASE!$AV$14)+1,AW$5)),"")</f>
        <v/>
      </c>
      <c r="AX44" s="116">
        <f t="array" ref="AX44">IFERROR(_xlfn.SINGLE(INDEX(DATABASE!$AV$14:$BC$968,SUMPRODUCT((ROW(DATABASE!$AV$14:$AV$968)) * (DATABASE!$AV$14:CQ$968='Résultats observations'!$A44 ) * (DATABASE!$AW$14:$AW$968= AX$4))-ROW(DATABASE!$AV$14)+1,AX$5)),"")</f>
        <v/>
      </c>
      <c r="AY44" s="116">
        <f t="array" ref="AY44">IFERROR(_xlfn.SINGLE(INDEX(DATABASE!$AV$14:$BC$968,SUMPRODUCT((ROW(DATABASE!$AV$14:$AV$968)) * (DATABASE!$AV$14:CR$968='Résultats observations'!$A44 ) * (DATABASE!$AW$14:$AW$968= AY$4))-ROW(DATABASE!$AV$14)+1,AY$5)),"")</f>
        <v/>
      </c>
      <c r="AZ44" s="116">
        <f t="array" ref="AZ44">IFERROR(_xlfn.SINGLE(INDEX(DATABASE!$AV$14:$BC$968,SUMPRODUCT((ROW(DATABASE!$AV$14:$AV$968)) * (DATABASE!$AV$14:CS$968='Résultats observations'!$A44 ) * (DATABASE!$AW$14:$AW$968= AZ$4))-ROW(DATABASE!$AV$14)+1,AZ$5)),"")</f>
        <v/>
      </c>
      <c r="BA44" s="116">
        <f t="array" ref="BA44">IFERROR(_xlfn.SINGLE(INDEX(DATABASE!$AV$14:$BC$968,SUMPRODUCT((ROW(DATABASE!$AV$14:$AV$968)) * (DATABASE!$AV$14:CT$968='Résultats observations'!$A44 ) * (DATABASE!$AW$14:$AW$968= BA$4))-ROW(DATABASE!$AV$14)+1,BA$5)),"")</f>
        <v/>
      </c>
      <c r="BB44" s="116">
        <f t="array" ref="BB44">IFERROR(_xlfn.SINGLE(INDEX(DATABASE!$AV$14:$BC$968,SUMPRODUCT((ROW(DATABASE!$AV$14:$AV$968)) * (DATABASE!$AV$14:CU$968='Résultats observations'!$A44 ) * (DATABASE!$AW$14:$AW$968= BB$4))-ROW(DATABASE!$AV$14)+1,BB$5)),"")</f>
        <v/>
      </c>
      <c r="BC44" s="116">
        <f t="array" ref="BC44">IFERROR(_xlfn.SINGLE(INDEX(DATABASE!$AV$14:$BC$968,SUMPRODUCT((ROW(DATABASE!$AV$14:$AV$968)) * (DATABASE!$AV$14:CV$968='Résultats observations'!$A44 ) * (DATABASE!$AW$14:$AW$968= BC$4))-ROW(DATABASE!$AV$14)+1,BC$5)),"")</f>
        <v/>
      </c>
      <c r="BD44" s="116">
        <f t="array" ref="BD44">IFERROR(_xlfn.SINGLE(INDEX(DATABASE!$AV$14:$BC$968,SUMPRODUCT((ROW(DATABASE!$AV$14:$AV$968)) * (DATABASE!$AV$14:CW$968='Résultats observations'!$A44 ) * (DATABASE!$AW$14:$AW$968= BD$4))-ROW(DATABASE!$AV$14)+1,BD$5)),"")</f>
        <v/>
      </c>
      <c r="BE44" s="116">
        <f t="array" ref="BE44">IFERROR(_xlfn.SINGLE(INDEX(DATABASE!$AV$14:$BC$968,SUMPRODUCT((ROW(DATABASE!$AV$14:$AV$968)) * (DATABASE!$AV$14:CX$968='Résultats observations'!$A44 ) * (DATABASE!$AW$14:$AW$968= BE$4))-ROW(DATABASE!$AV$14)+1,BE$5)),"")</f>
        <v/>
      </c>
      <c r="BF44" s="116">
        <f t="array" ref="BF44">IFERROR(_xlfn.SINGLE(INDEX(DATABASE!$AV$14:$BC$968,SUMPRODUCT((ROW(DATABASE!$AV$14:$AV$968)) * (DATABASE!$AV$14:CY$968='Résultats observations'!$A44 ) * (DATABASE!$AW$14:$AW$968= BF$4))-ROW(DATABASE!$AV$14)+1,BF$5)),"")</f>
        <v/>
      </c>
      <c r="BG44" s="116">
        <f t="array" ref="BG44">IFERROR(_xlfn.SINGLE(INDEX(DATABASE!$AV$14:$BC$968,SUMPRODUCT((ROW(DATABASE!$AV$14:$AV$968)) * (DATABASE!$AV$14:CZ$968='Résultats observations'!$A44 ) * (DATABASE!$AW$14:$AW$968= BG$4))-ROW(DATABASE!$AV$14)+1,BG$5)),"")</f>
        <v/>
      </c>
      <c r="BH44" s="116">
        <f t="array" ref="BH44">IFERROR(_xlfn.SINGLE(INDEX(DATABASE!$AV$14:$BC$968,SUMPRODUCT((ROW(DATABASE!$AV$14:$AV$968)) * (DATABASE!$AV$14:DA$968='Résultats observations'!$A44 ) * (DATABASE!$AW$14:$AW$968= BH$4))-ROW(DATABASE!$AV$14)+1,BH$5)),"")</f>
        <v/>
      </c>
      <c r="BI44" s="116">
        <f t="array" ref="BI44">IFERROR(_xlfn.SINGLE(INDEX(DATABASE!$AV$14:$BC$968,SUMPRODUCT((ROW(DATABASE!$AV$14:$AV$968)) * (DATABASE!$AV$14:DB$968='Résultats observations'!$A44 ) * (DATABASE!$AW$14:$AW$968= BI$4))-ROW(DATABASE!$AV$14)+1,BI$5)),"")</f>
        <v/>
      </c>
      <c r="BJ44" s="116">
        <f t="array" ref="BJ44">IFERROR(_xlfn.SINGLE(INDEX(DATABASE!$AV$14:$BC$968,SUMPRODUCT((ROW(DATABASE!$AV$14:$AV$968)) * (DATABASE!$AV$14:DC$968='Résultats observations'!$A44 ) * (DATABASE!$AW$14:$AW$968= BJ$4))-ROW(DATABASE!$AV$14)+1,BJ$5)),"")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(DATABASE!AV$14:$AV$968='Résultats observations'!$A45 ) * (DATABASE!$AW$14:$AW$968= C$4))-ROW(DATABASE!$AV$14)+1,C$5)),"")</f>
        <v/>
      </c>
      <c r="D45" s="116">
        <f t="array" ref="D45">IFERROR(_xlfn.SINGLE(INDEX(DATABASE!$AV$14:$BC$968,SUMPRODUCT((ROW(DATABASE!$AV$14:$AV$968)) * (DATABASE!$AV$14:AW$968='Résultats observations'!$A45 ) * (DATABASE!$AW$14:$AW$968= D$4))-ROW(DATABASE!$AV$14)+1,D$5)),"")</f>
        <v/>
      </c>
      <c r="E45" s="116">
        <f t="array" ref="E45">IFERROR(_xlfn.SINGLE(INDEX(DATABASE!$AV$14:$BC$968,SUMPRODUCT((ROW(DATABASE!$AV$14:$AV$968)) * (DATABASE!$AV$14:AX$968='Résultats observations'!$A45 ) * (DATABASE!$AW$14:$AW$968= E$4))-ROW(DATABASE!$AV$14)+1,E$5)),"")</f>
        <v/>
      </c>
      <c r="F45" s="116">
        <f t="array" ref="F45">IFERROR(_xlfn.SINGLE(INDEX(DATABASE!$AV$14:$BC$968,SUMPRODUCT((ROW(DATABASE!$AV$14:$AV$968)) * (DATABASE!$AV$14:AY$968='Résultats observations'!$A45 ) * (DATABASE!$AW$14:$AW$968= F$4))-ROW(DATABASE!$AV$14)+1,F$5)),"")</f>
        <v/>
      </c>
      <c r="G45" s="116">
        <f t="array" ref="G45">IFERROR(_xlfn.SINGLE(INDEX(DATABASE!$AV$14:$BC$968,SUMPRODUCT((ROW(DATABASE!$AV$14:$AV$968)) * (DATABASE!$AV$14:AZ$968='Résultats observations'!$A45 ) * (DATABASE!$AW$14:$AW$968= G$4))-ROW(DATABASE!$AV$14)+1,G$5)),"")</f>
        <v/>
      </c>
      <c r="H45" s="116">
        <f t="array" ref="H45">IFERROR(_xlfn.SINGLE(INDEX(DATABASE!$AV$14:$BC$968,SUMPRODUCT((ROW(DATABASE!$AV$14:$AV$968)) * (DATABASE!$AV$14:BA$968='Résultats observations'!$A45 ) * (DATABASE!$AW$14:$AW$968= H$4))-ROW(DATABASE!$AV$14)+1,H$5)),"")</f>
        <v/>
      </c>
      <c r="I45" s="116">
        <f t="array" ref="I45">IFERROR(_xlfn.SINGLE(INDEX(DATABASE!$AV$14:$BC$968,SUMPRODUCT((ROW(DATABASE!$AV$14:$AV$968)) * (DATABASE!$AV$14:BB$968='Résultats observations'!$A45 ) * (DATABASE!$AW$14:$AW$968= I$4))-ROW(DATABASE!$AV$14)+1,I$5)),"")</f>
        <v/>
      </c>
      <c r="J45" s="116">
        <f t="array" ref="J45">IFERROR(_xlfn.SINGLE(INDEX(DATABASE!$AV$14:$BC$968,SUMPRODUCT((ROW(DATABASE!$AV$14:$AV$968)) * (DATABASE!$AV$14:BC$968='Résultats observations'!$A45 ) * (DATABASE!$AW$14:$AW$968= J$4))-ROW(DATABASE!$AV$14)+1,J$5)),"")</f>
        <v/>
      </c>
      <c r="K45" s="116">
        <f t="array" ref="K45">IFERROR(_xlfn.SINGLE(INDEX(DATABASE!$AV$14:$BC$968,SUMPRODUCT((ROW(DATABASE!$AV$14:$AV$968)) * (DATABASE!$AV$14:BD$968='Résultats observations'!$A45 ) * (DATABASE!$AW$14:$AW$968= K$4))-ROW(DATABASE!$AV$14)+1,K$5)),"")</f>
        <v/>
      </c>
      <c r="L45" s="116">
        <f t="array" ref="L45">IFERROR(_xlfn.SINGLE(INDEX(DATABASE!$AV$14:$BC$968,SUMPRODUCT((ROW(DATABASE!$AV$14:$AV$968)) * (DATABASE!$AV$14:BE$968='Résultats observations'!$A45 ) * (DATABASE!$AW$14:$AW$968= L$4))-ROW(DATABASE!$AV$14)+1,L$5)),"")</f>
        <v/>
      </c>
      <c r="M45" s="116">
        <f t="array" ref="M45">IFERROR(_xlfn.SINGLE(INDEX(DATABASE!$AV$14:$BC$968,SUMPRODUCT((ROW(DATABASE!$AV$14:$AV$968)) * (DATABASE!$AV$14:BF$968='Résultats observations'!$A45 ) * (DATABASE!$AW$14:$AW$968= M$4))-ROW(DATABASE!$AV$14)+1,M$5)),"")</f>
        <v/>
      </c>
      <c r="N45" s="116">
        <f t="array" ref="N45">IFERROR(_xlfn.SINGLE(INDEX(DATABASE!$AV$14:$BC$968,SUMPRODUCT((ROW(DATABASE!$AV$14:$AV$968)) * (DATABASE!$AV$14:BG$968='Résultats observations'!$A45 ) * (DATABASE!$AW$14:$AW$968= N$4))-ROW(DATABASE!$AV$14)+1,N$5)),"")</f>
        <v/>
      </c>
      <c r="O45" s="116">
        <f t="array" ref="O45">IFERROR(_xlfn.SINGLE(INDEX(DATABASE!$AV$14:$BC$968,SUMPRODUCT((ROW(DATABASE!$AV$14:$AV$968)) * (DATABASE!$AV$14:BH$968='Résultats observations'!$A45 ) * (DATABASE!$AW$14:$AW$968= O$4))-ROW(DATABASE!$AV$14)+1,O$5)),"")</f>
        <v/>
      </c>
      <c r="P45" s="116">
        <f t="array" ref="P45">IFERROR(_xlfn.SINGLE(INDEX(DATABASE!$AV$14:$BC$968,SUMPRODUCT((ROW(DATABASE!$AV$14:$AV$968)) * (DATABASE!$AV$14:BI$968='Résultats observations'!$A45 ) * (DATABASE!$AW$14:$AW$968= P$4))-ROW(DATABASE!$AV$14)+1,P$5)),"")</f>
        <v/>
      </c>
      <c r="Q45" s="116">
        <f t="array" ref="Q45">IFERROR(_xlfn.SINGLE(INDEX(DATABASE!$AV$14:$BC$968,SUMPRODUCT((ROW(DATABASE!$AV$14:$AV$968)) * (DATABASE!$AV$14:BJ$968='Résultats observations'!$A45 ) * (DATABASE!$AW$14:$AW$968= Q$4))-ROW(DATABASE!$AV$14)+1,Q$5)),"")</f>
        <v/>
      </c>
      <c r="R45" s="116">
        <f t="array" ref="R45">IFERROR(_xlfn.SINGLE(INDEX(DATABASE!$AV$14:$BC$968,SUMPRODUCT((ROW(DATABASE!$AV$14:$AV$968)) * (DATABASE!$AV$14:BK$968='Résultats observations'!$A45 ) * (DATABASE!$AW$14:$AW$968= R$4))-ROW(DATABASE!$AV$14)+1,R$5)),"")</f>
        <v/>
      </c>
      <c r="S45" s="116">
        <f t="array" ref="S45">IFERROR(_xlfn.SINGLE(INDEX(DATABASE!$AV$14:$BC$968,SUMPRODUCT((ROW(DATABASE!$AV$14:$AV$968)) * (DATABASE!$AV$14:BL$968='Résultats observations'!$A45 ) * (DATABASE!$AW$14:$AW$968= S$4))-ROW(DATABASE!$AV$14)+1,S$5)),"")</f>
        <v/>
      </c>
      <c r="T45" s="116">
        <f t="array" ref="T45">IFERROR(_xlfn.SINGLE(INDEX(DATABASE!$AV$14:$BC$968,SUMPRODUCT((ROW(DATABASE!$AV$14:$AV$968)) * (DATABASE!$AV$14:BM$968='Résultats observations'!$A45 ) * (DATABASE!$AW$14:$AW$968= T$4))-ROW(DATABASE!$AV$14)+1,T$5)),"")</f>
        <v/>
      </c>
      <c r="U45" s="116">
        <f t="array" ref="U45">IFERROR(_xlfn.SINGLE(INDEX(DATABASE!$AV$14:$BC$968,SUMPRODUCT((ROW(DATABASE!$AV$14:$AV$968)) * (DATABASE!$AV$14:BN$968='Résultats observations'!$A45 ) * (DATABASE!$AW$14:$AW$968= U$4))-ROW(DATABASE!$AV$14)+1,U$5)),"")</f>
        <v/>
      </c>
      <c r="V45" s="116">
        <f t="array" ref="V45">IFERROR(_xlfn.SINGLE(INDEX(DATABASE!$AV$14:$BC$968,SUMPRODUCT((ROW(DATABASE!$AV$14:$AV$968)) * (DATABASE!$AV$14:BO$968='Résultats observations'!$A45 ) * (DATABASE!$AW$14:$AW$968= V$4))-ROW(DATABASE!$AV$14)+1,V$5)),"")</f>
        <v/>
      </c>
      <c r="W45" s="116">
        <f t="array" ref="W45">IFERROR(_xlfn.SINGLE(INDEX(DATABASE!$AV$14:$BC$968,SUMPRODUCT((ROW(DATABASE!$AV$14:$AV$968)) * (DATABASE!$AV$14:BP$968='Résultats observations'!$A45 ) * (DATABASE!$AW$14:$AW$968= W$4))-ROW(DATABASE!$AV$14)+1,W$5)),"")</f>
        <v/>
      </c>
      <c r="X45" s="116">
        <f t="array" ref="X45">IFERROR(_xlfn.SINGLE(INDEX(DATABASE!$AV$14:$BC$968,SUMPRODUCT((ROW(DATABASE!$AV$14:$AV$968)) * (DATABASE!$AV$14:BQ$968='Résultats observations'!$A45 ) * (DATABASE!$AW$14:$AW$968= X$4))-ROW(DATABASE!$AV$14)+1,X$5)),"")</f>
        <v/>
      </c>
      <c r="Y45" s="116">
        <f t="array" ref="Y45">IFERROR(_xlfn.SINGLE(INDEX(DATABASE!$AV$14:$BC$968,SUMPRODUCT((ROW(DATABASE!$AV$14:$AV$968)) * (DATABASE!$AV$14:BR$968='Résultats observations'!$A45 ) * (DATABASE!$AW$14:$AW$968= Y$4))-ROW(DATABASE!$AV$14)+1,Y$5)),"")</f>
        <v/>
      </c>
      <c r="Z45" s="116">
        <f t="array" ref="Z45">IFERROR(_xlfn.SINGLE(INDEX(DATABASE!$AV$14:$BC$968,SUMPRODUCT((ROW(DATABASE!$AV$14:$AV$968)) * (DATABASE!$AV$14:BS$968='Résultats observations'!$A45 ) * (DATABASE!$AW$14:$AW$968= Z$4))-ROW(DATABASE!$AV$14)+1,Z$5)),"")</f>
        <v/>
      </c>
      <c r="AA45" s="116">
        <f t="array" ref="AA45">IFERROR(_xlfn.SINGLE(INDEX(DATABASE!$AV$14:$BC$968,SUMPRODUCT((ROW(DATABASE!$AV$14:$AV$968)) * (DATABASE!$AV$14:BT$968='Résultats observations'!$A45 ) * (DATABASE!$AW$14:$AW$968= AA$4))-ROW(DATABASE!$AV$14)+1,AA$5)),"")</f>
        <v/>
      </c>
      <c r="AB45" s="116">
        <f t="array" ref="AB45">IFERROR(_xlfn.SINGLE(INDEX(DATABASE!$AV$14:$BC$968,SUMPRODUCT((ROW(DATABASE!$AV$14:$AV$968)) * (DATABASE!$AV$14:BU$968='Résultats observations'!$A45 ) * (DATABASE!$AW$14:$AW$968= AB$4))-ROW(DATABASE!$AV$14)+1,AB$5)),"")</f>
        <v/>
      </c>
      <c r="AC45" s="116">
        <f t="array" ref="AC45">IFERROR(_xlfn.SINGLE(INDEX(DATABASE!$AV$14:$BC$968,SUMPRODUCT((ROW(DATABASE!$AV$14:$AV$968)) * (DATABASE!$AV$14:BV$968='Résultats observations'!$A45 ) * (DATABASE!$AW$14:$AW$968= AC$4))-ROW(DATABASE!$AV$14)+1,AC$5)),"")</f>
        <v/>
      </c>
      <c r="AD45" s="116">
        <f t="array" ref="AD45">IFERROR(_xlfn.SINGLE(INDEX(DATABASE!$AV$14:$BC$968,SUMPRODUCT((ROW(DATABASE!$AV$14:$AV$968)) * (DATABASE!$AV$14:BW$968='Résultats observations'!$A45 ) * (DATABASE!$AW$14:$AW$968= AD$4))-ROW(DATABASE!$AV$14)+1,AD$5)),"")</f>
        <v/>
      </c>
      <c r="AE45" s="116">
        <f t="array" ref="AE45">IFERROR(_xlfn.SINGLE(INDEX(DATABASE!$AV$14:$BC$968,SUMPRODUCT((ROW(DATABASE!$AV$14:$AV$968)) * (DATABASE!$AV$14:BX$968='Résultats observations'!$A45 ) * (DATABASE!$AW$14:$AW$968= AE$4))-ROW(DATABASE!$AV$14)+1,AE$5)),"")</f>
        <v/>
      </c>
      <c r="AF45" s="116">
        <f t="array" ref="AF45">IFERROR(_xlfn.SINGLE(INDEX(DATABASE!$AV$14:$BC$968,SUMPRODUCT((ROW(DATABASE!$AV$14:$AV$968)) * (DATABASE!$AV$14:BY$968='Résultats observations'!$A45 ) * (DATABASE!$AW$14:$AW$968= AF$4))-ROW(DATABASE!$AV$14)+1,AF$5)),"")</f>
        <v/>
      </c>
      <c r="AG45" s="116">
        <f t="array" ref="AG45">IFERROR(_xlfn.SINGLE(INDEX(DATABASE!$AV$14:$BC$968,SUMPRODUCT((ROW(DATABASE!$AV$14:$AV$968)) * (DATABASE!$AV$14:BZ$968='Résultats observations'!$A45 ) * (DATABASE!$AW$14:$AW$968= AG$4))-ROW(DATABASE!$AV$14)+1,AG$5)),"")</f>
        <v/>
      </c>
      <c r="AH45" s="116">
        <f t="array" ref="AH45">IFERROR(_xlfn.SINGLE(INDEX(DATABASE!$AV$14:$BC$968,SUMPRODUCT((ROW(DATABASE!$AV$14:$AV$968)) * (DATABASE!$AV$14:CA$968='Résultats observations'!$A45 ) * (DATABASE!$AW$14:$AW$968= AH$4))-ROW(DATABASE!$AV$14)+1,AH$5)),"")</f>
        <v/>
      </c>
      <c r="AI45" s="116">
        <f t="array" ref="AI45">IFERROR(_xlfn.SINGLE(INDEX(DATABASE!$AV$14:$BC$968,SUMPRODUCT((ROW(DATABASE!$AV$14:$AV$968)) * (DATABASE!$AV$14:CB$968='Résultats observations'!$A45 ) * (DATABASE!$AW$14:$AW$968= AI$4))-ROW(DATABASE!$AV$14)+1,AI$5)),"")</f>
        <v/>
      </c>
      <c r="AJ45" s="116">
        <f t="array" ref="AJ45">IFERROR(_xlfn.SINGLE(INDEX(DATABASE!$AV$14:$BC$968,SUMPRODUCT((ROW(DATABASE!$AV$14:$AV$968)) * (DATABASE!$AV$14:CC$968='Résultats observations'!$A45 ) * (DATABASE!$AW$14:$AW$968= AJ$4))-ROW(DATABASE!$AV$14)+1,AJ$5)),"")</f>
        <v/>
      </c>
      <c r="AK45" s="116">
        <f t="array" ref="AK45">IFERROR(_xlfn.SINGLE(INDEX(DATABASE!$AV$14:$BC$968,SUMPRODUCT((ROW(DATABASE!$AV$14:$AV$968)) * (DATABASE!$AV$14:CD$968='Résultats observations'!$A45 ) * (DATABASE!$AW$14:$AW$968= AK$4))-ROW(DATABASE!$AV$14)+1,AK$5)),"")</f>
        <v/>
      </c>
      <c r="AL45" s="116">
        <f t="array" ref="AL45">IFERROR(_xlfn.SINGLE(INDEX(DATABASE!$AV$14:$BC$968,SUMPRODUCT((ROW(DATABASE!$AV$14:$AV$968)) * (DATABASE!$AV$14:CE$968='Résultats observations'!$A45 ) * (DATABASE!$AW$14:$AW$968= AL$4))-ROW(DATABASE!$AV$14)+1,AL$5)),"")</f>
        <v/>
      </c>
      <c r="AM45" s="116">
        <f t="array" ref="AM45">IFERROR(_xlfn.SINGLE(INDEX(DATABASE!$AV$14:$BC$968,SUMPRODUCT((ROW(DATABASE!$AV$14:$AV$968)) * (DATABASE!$AV$14:CF$968='Résultats observations'!$A45 ) * (DATABASE!$AW$14:$AW$968= AM$4))-ROW(DATABASE!$AV$14)+1,AM$5)),"")</f>
        <v/>
      </c>
      <c r="AN45" s="116">
        <f t="array" ref="AN45">IFERROR(_xlfn.SINGLE(INDEX(DATABASE!$AV$14:$BC$968,SUMPRODUCT((ROW(DATABASE!$AV$14:$AV$968)) * (DATABASE!$AV$14:CG$968='Résultats observations'!$A45 ) * (DATABASE!$AW$14:$AW$968= AN$4))-ROW(DATABASE!$AV$14)+1,AN$5)),"")</f>
        <v/>
      </c>
      <c r="AO45" s="116">
        <f t="array" ref="AO45">IFERROR(_xlfn.SINGLE(INDEX(DATABASE!$AV$14:$BC$968,SUMPRODUCT((ROW(DATABASE!$AV$14:$AV$968)) * (DATABASE!$AV$14:CH$968='Résultats observations'!$A45 ) * (DATABASE!$AW$14:$AW$968= AO$4))-ROW(DATABASE!$AV$14)+1,AO$5)),"")</f>
        <v/>
      </c>
      <c r="AP45" s="116">
        <f t="array" ref="AP45">IFERROR(_xlfn.SINGLE(INDEX(DATABASE!$AV$14:$BC$968,SUMPRODUCT((ROW(DATABASE!$AV$14:$AV$968)) * (DATABASE!$AV$14:CI$968='Résultats observations'!$A45 ) * (DATABASE!$AW$14:$AW$968= AP$4))-ROW(DATABASE!$AV$14)+1,AP$5)),"")</f>
        <v/>
      </c>
      <c r="AQ45" s="116">
        <f t="array" ref="AQ45">IFERROR(_xlfn.SINGLE(INDEX(DATABASE!$AV$14:$BC$968,SUMPRODUCT((ROW(DATABASE!$AV$14:$AV$968)) * (DATABASE!$AV$14:CJ$968='Résultats observations'!$A45 ) * (DATABASE!$AW$14:$AW$968= AQ$4))-ROW(DATABASE!$AV$14)+1,AQ$5)),"")</f>
        <v/>
      </c>
      <c r="AR45" s="116">
        <f t="array" ref="AR45">IFERROR(_xlfn.SINGLE(INDEX(DATABASE!$AV$14:$BC$968,SUMPRODUCT((ROW(DATABASE!$AV$14:$AV$968)) * (DATABASE!$AV$14:CK$968='Résultats observations'!$A45 ) * (DATABASE!$AW$14:$AW$968= AR$4))-ROW(DATABASE!$AV$14)+1,AR$5)),"")</f>
        <v/>
      </c>
      <c r="AS45" s="116">
        <f t="array" ref="AS45">IFERROR(_xlfn.SINGLE(INDEX(DATABASE!$AV$14:$BC$968,SUMPRODUCT((ROW(DATABASE!$AV$14:$AV$968)) * (DATABASE!$AV$14:CL$968='Résultats observations'!$A45 ) * (DATABASE!$AW$14:$AW$968= AS$4))-ROW(DATABASE!$AV$14)+1,AS$5)),"")</f>
        <v/>
      </c>
      <c r="AT45" s="116">
        <f t="array" ref="AT45">IFERROR(_xlfn.SINGLE(INDEX(DATABASE!$AV$14:$BC$968,SUMPRODUCT((ROW(DATABASE!$AV$14:$AV$968)) * (DATABASE!$AV$14:CM$968='Résultats observations'!$A45 ) * (DATABASE!$AW$14:$AW$968= AT$4))-ROW(DATABASE!$AV$14)+1,AT$5)),"")</f>
        <v/>
      </c>
      <c r="AU45" s="116">
        <f t="array" ref="AU45">IFERROR(_xlfn.SINGLE(INDEX(DATABASE!$AV$14:$BC$968,SUMPRODUCT((ROW(DATABASE!$AV$14:$AV$968)) * (DATABASE!$AV$14:CN$968='Résultats observations'!$A45 ) * (DATABASE!$AW$14:$AW$968= AU$4))-ROW(DATABASE!$AV$14)+1,AU$5)),"")</f>
        <v/>
      </c>
      <c r="AV45" s="116">
        <f t="array" ref="AV45">IFERROR(_xlfn.SINGLE(INDEX(DATABASE!$AV$14:$BC$968,SUMPRODUCT((ROW(DATABASE!$AV$14:$AV$968)) * (DATABASE!$AV$14:CO$968='Résultats observations'!$A45 ) * (DATABASE!$AW$14:$AW$968= AV$4))-ROW(DATABASE!$AV$14)+1,AV$5)),"")</f>
        <v/>
      </c>
      <c r="AW45" s="116">
        <f t="array" ref="AW45">IFERROR(_xlfn.SINGLE(INDEX(DATABASE!$AV$14:$BC$968,SUMPRODUCT((ROW(DATABASE!$AV$14:$AV$968)) * (DATABASE!$AV$14:CP$968='Résultats observations'!$A45 ) * (DATABASE!$AW$14:$AW$968= AW$4))-ROW(DATABASE!$AV$14)+1,AW$5)),"")</f>
        <v/>
      </c>
      <c r="AX45" s="116">
        <f t="array" ref="AX45">IFERROR(_xlfn.SINGLE(INDEX(DATABASE!$AV$14:$BC$968,SUMPRODUCT((ROW(DATABASE!$AV$14:$AV$968)) * (DATABASE!$AV$14:CQ$968='Résultats observations'!$A45 ) * (DATABASE!$AW$14:$AW$968= AX$4))-ROW(DATABASE!$AV$14)+1,AX$5)),"")</f>
        <v/>
      </c>
      <c r="AY45" s="116">
        <f t="array" ref="AY45">IFERROR(_xlfn.SINGLE(INDEX(DATABASE!$AV$14:$BC$968,SUMPRODUCT((ROW(DATABASE!$AV$14:$AV$968)) * (DATABASE!$AV$14:CR$968='Résultats observations'!$A45 ) * (DATABASE!$AW$14:$AW$968= AY$4))-ROW(DATABASE!$AV$14)+1,AY$5)),"")</f>
        <v/>
      </c>
      <c r="AZ45" s="116">
        <f t="array" ref="AZ45">IFERROR(_xlfn.SINGLE(INDEX(DATABASE!$AV$14:$BC$968,SUMPRODUCT((ROW(DATABASE!$AV$14:$AV$968)) * (DATABASE!$AV$14:CS$968='Résultats observations'!$A45 ) * (DATABASE!$AW$14:$AW$968= AZ$4))-ROW(DATABASE!$AV$14)+1,AZ$5)),"")</f>
        <v/>
      </c>
      <c r="BA45" s="116">
        <f t="array" ref="BA45">IFERROR(_xlfn.SINGLE(INDEX(DATABASE!$AV$14:$BC$968,SUMPRODUCT((ROW(DATABASE!$AV$14:$AV$968)) * (DATABASE!$AV$14:CT$968='Résultats observations'!$A45 ) * (DATABASE!$AW$14:$AW$968= BA$4))-ROW(DATABASE!$AV$14)+1,BA$5)),"")</f>
        <v/>
      </c>
      <c r="BB45" s="116">
        <f t="array" ref="BB45">IFERROR(_xlfn.SINGLE(INDEX(DATABASE!$AV$14:$BC$968,SUMPRODUCT((ROW(DATABASE!$AV$14:$AV$968)) * (DATABASE!$AV$14:CU$968='Résultats observations'!$A45 ) * (DATABASE!$AW$14:$AW$968= BB$4))-ROW(DATABASE!$AV$14)+1,BB$5)),"")</f>
        <v/>
      </c>
      <c r="BC45" s="116">
        <f t="array" ref="BC45">IFERROR(_xlfn.SINGLE(INDEX(DATABASE!$AV$14:$BC$968,SUMPRODUCT((ROW(DATABASE!$AV$14:$AV$968)) * (DATABASE!$AV$14:CV$968='Résultats observations'!$A45 ) * (DATABASE!$AW$14:$AW$968= BC$4))-ROW(DATABASE!$AV$14)+1,BC$5)),"")</f>
        <v/>
      </c>
      <c r="BD45" s="116">
        <f t="array" ref="BD45">IFERROR(_xlfn.SINGLE(INDEX(DATABASE!$AV$14:$BC$968,SUMPRODUCT((ROW(DATABASE!$AV$14:$AV$968)) * (DATABASE!$AV$14:CW$968='Résultats observations'!$A45 ) * (DATABASE!$AW$14:$AW$968= BD$4))-ROW(DATABASE!$AV$14)+1,BD$5)),"")</f>
        <v/>
      </c>
      <c r="BE45" s="116">
        <f t="array" ref="BE45">IFERROR(_xlfn.SINGLE(INDEX(DATABASE!$AV$14:$BC$968,SUMPRODUCT((ROW(DATABASE!$AV$14:$AV$968)) * (DATABASE!$AV$14:CX$968='Résultats observations'!$A45 ) * (DATABASE!$AW$14:$AW$968= BE$4))-ROW(DATABASE!$AV$14)+1,BE$5)),"")</f>
        <v/>
      </c>
      <c r="BF45" s="116">
        <f t="array" ref="BF45">IFERROR(_xlfn.SINGLE(INDEX(DATABASE!$AV$14:$BC$968,SUMPRODUCT((ROW(DATABASE!$AV$14:$AV$968)) * (DATABASE!$AV$14:CY$968='Résultats observations'!$A45 ) * (DATABASE!$AW$14:$AW$968= BF$4))-ROW(DATABASE!$AV$14)+1,BF$5)),"")</f>
        <v/>
      </c>
      <c r="BG45" s="116">
        <f t="array" ref="BG45">IFERROR(_xlfn.SINGLE(INDEX(DATABASE!$AV$14:$BC$968,SUMPRODUCT((ROW(DATABASE!$AV$14:$AV$968)) * (DATABASE!$AV$14:CZ$968='Résultats observations'!$A45 ) * (DATABASE!$AW$14:$AW$968= BG$4))-ROW(DATABASE!$AV$14)+1,BG$5)),"")</f>
        <v/>
      </c>
      <c r="BH45" s="116">
        <f t="array" ref="BH45">IFERROR(_xlfn.SINGLE(INDEX(DATABASE!$AV$14:$BC$968,SUMPRODUCT((ROW(DATABASE!$AV$14:$AV$968)) * (DATABASE!$AV$14:DA$968='Résultats observations'!$A45 ) * (DATABASE!$AW$14:$AW$968= BH$4))-ROW(DATABASE!$AV$14)+1,BH$5)),"")</f>
        <v/>
      </c>
      <c r="BI45" s="116">
        <f t="array" ref="BI45">IFERROR(_xlfn.SINGLE(INDEX(DATABASE!$AV$14:$BC$968,SUMPRODUCT((ROW(DATABASE!$AV$14:$AV$968)) * (DATABASE!$AV$14:DB$968='Résultats observations'!$A45 ) * (DATABASE!$AW$14:$AW$968= BI$4))-ROW(DATABASE!$AV$14)+1,BI$5)),"")</f>
        <v/>
      </c>
      <c r="BJ45" s="116">
        <f t="array" ref="BJ45">IFERROR(_xlfn.SINGLE(INDEX(DATABASE!$AV$14:$BC$968,SUMPRODUCT((ROW(DATABASE!$AV$14:$AV$968)) * (DATABASE!$AV$14:DC$968='Résultats observations'!$A45 ) * (DATABASE!$AW$14:$AW$968= BJ$4))-ROW(DATABASE!$AV$14)+1,BJ$5)),"")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(DATABASE!AV$14:$AV$968='Résultats observations'!$A46 ) * (DATABASE!$AW$14:$AW$968= C$4))-ROW(DATABASE!$AV$14)+1,C$5)),"")</f>
        <v/>
      </c>
      <c r="D46" s="116">
        <f t="array" ref="D46">IFERROR(_xlfn.SINGLE(INDEX(DATABASE!$AV$14:$BC$968,SUMPRODUCT((ROW(DATABASE!$AV$14:$AV$968)) * (DATABASE!$AV$14:AW$968='Résultats observations'!$A46 ) * (DATABASE!$AW$14:$AW$968= D$4))-ROW(DATABASE!$AV$14)+1,D$5)),"")</f>
        <v/>
      </c>
      <c r="E46" s="116">
        <f t="array" ref="E46">IFERROR(_xlfn.SINGLE(INDEX(DATABASE!$AV$14:$BC$968,SUMPRODUCT((ROW(DATABASE!$AV$14:$AV$968)) * (DATABASE!$AV$14:AX$968='Résultats observations'!$A46 ) * (DATABASE!$AW$14:$AW$968= E$4))-ROW(DATABASE!$AV$14)+1,E$5)),"")</f>
        <v/>
      </c>
      <c r="F46" s="116">
        <f t="array" ref="F46">IFERROR(_xlfn.SINGLE(INDEX(DATABASE!$AV$14:$BC$968,SUMPRODUCT((ROW(DATABASE!$AV$14:$AV$968)) * (DATABASE!$AV$14:AY$968='Résultats observations'!$A46 ) * (DATABASE!$AW$14:$AW$968= F$4))-ROW(DATABASE!$AV$14)+1,F$5)),"")</f>
        <v/>
      </c>
      <c r="G46" s="116">
        <f t="array" ref="G46">IFERROR(_xlfn.SINGLE(INDEX(DATABASE!$AV$14:$BC$968,SUMPRODUCT((ROW(DATABASE!$AV$14:$AV$968)) * (DATABASE!$AV$14:AZ$968='Résultats observations'!$A46 ) * (DATABASE!$AW$14:$AW$968= G$4))-ROW(DATABASE!$AV$14)+1,G$5)),"")</f>
        <v/>
      </c>
      <c r="H46" s="116">
        <f t="array" ref="H46">IFERROR(_xlfn.SINGLE(INDEX(DATABASE!$AV$14:$BC$968,SUMPRODUCT((ROW(DATABASE!$AV$14:$AV$968)) * (DATABASE!$AV$14:BA$968='Résultats observations'!$A46 ) * (DATABASE!$AW$14:$AW$968= H$4))-ROW(DATABASE!$AV$14)+1,H$5)),"")</f>
        <v/>
      </c>
      <c r="I46" s="116">
        <f t="array" ref="I46">IFERROR(_xlfn.SINGLE(INDEX(DATABASE!$AV$14:$BC$968,SUMPRODUCT((ROW(DATABASE!$AV$14:$AV$968)) * (DATABASE!$AV$14:BB$968='Résultats observations'!$A46 ) * (DATABASE!$AW$14:$AW$968= I$4))-ROW(DATABASE!$AV$14)+1,I$5)),"")</f>
        <v/>
      </c>
      <c r="J46" s="116">
        <f t="array" ref="J46">IFERROR(_xlfn.SINGLE(INDEX(DATABASE!$AV$14:$BC$968,SUMPRODUCT((ROW(DATABASE!$AV$14:$AV$968)) * (DATABASE!$AV$14:BC$968='Résultats observations'!$A46 ) * (DATABASE!$AW$14:$AW$968= J$4))-ROW(DATABASE!$AV$14)+1,J$5)),"")</f>
        <v/>
      </c>
      <c r="K46" s="116">
        <f t="array" ref="K46">IFERROR(_xlfn.SINGLE(INDEX(DATABASE!$AV$14:$BC$968,SUMPRODUCT((ROW(DATABASE!$AV$14:$AV$968)) * (DATABASE!$AV$14:BD$968='Résultats observations'!$A46 ) * (DATABASE!$AW$14:$AW$968= K$4))-ROW(DATABASE!$AV$14)+1,K$5)),"")</f>
        <v/>
      </c>
      <c r="L46" s="116">
        <f t="array" ref="L46">IFERROR(_xlfn.SINGLE(INDEX(DATABASE!$AV$14:$BC$968,SUMPRODUCT((ROW(DATABASE!$AV$14:$AV$968)) * (DATABASE!$AV$14:BE$968='Résultats observations'!$A46 ) * (DATABASE!$AW$14:$AW$968= L$4))-ROW(DATABASE!$AV$14)+1,L$5)),"")</f>
        <v/>
      </c>
      <c r="M46" s="116">
        <f t="array" ref="M46">IFERROR(_xlfn.SINGLE(INDEX(DATABASE!$AV$14:$BC$968,SUMPRODUCT((ROW(DATABASE!$AV$14:$AV$968)) * (DATABASE!$AV$14:BF$968='Résultats observations'!$A46 ) * (DATABASE!$AW$14:$AW$968= M$4))-ROW(DATABASE!$AV$14)+1,M$5)),"")</f>
        <v/>
      </c>
      <c r="N46" s="116">
        <f t="array" ref="N46">IFERROR(_xlfn.SINGLE(INDEX(DATABASE!$AV$14:$BC$968,SUMPRODUCT((ROW(DATABASE!$AV$14:$AV$968)) * (DATABASE!$AV$14:BG$968='Résultats observations'!$A46 ) * (DATABASE!$AW$14:$AW$968= N$4))-ROW(DATABASE!$AV$14)+1,N$5)),"")</f>
        <v/>
      </c>
      <c r="O46" s="116">
        <f t="array" ref="O46">IFERROR(_xlfn.SINGLE(INDEX(DATABASE!$AV$14:$BC$968,SUMPRODUCT((ROW(DATABASE!$AV$14:$AV$968)) * (DATABASE!$AV$14:BH$968='Résultats observations'!$A46 ) * (DATABASE!$AW$14:$AW$968= O$4))-ROW(DATABASE!$AV$14)+1,O$5)),"")</f>
        <v/>
      </c>
      <c r="P46" s="116">
        <f t="array" ref="P46">IFERROR(_xlfn.SINGLE(INDEX(DATABASE!$AV$14:$BC$968,SUMPRODUCT((ROW(DATABASE!$AV$14:$AV$968)) * (DATABASE!$AV$14:BI$968='Résultats observations'!$A46 ) * (DATABASE!$AW$14:$AW$968= P$4))-ROW(DATABASE!$AV$14)+1,P$5)),"")</f>
        <v/>
      </c>
      <c r="Q46" s="116">
        <f t="array" ref="Q46">IFERROR(_xlfn.SINGLE(INDEX(DATABASE!$AV$14:$BC$968,SUMPRODUCT((ROW(DATABASE!$AV$14:$AV$968)) * (DATABASE!$AV$14:BJ$968='Résultats observations'!$A46 ) * (DATABASE!$AW$14:$AW$968= Q$4))-ROW(DATABASE!$AV$14)+1,Q$5)),"")</f>
        <v/>
      </c>
      <c r="R46" s="116">
        <f t="array" ref="R46">IFERROR(_xlfn.SINGLE(INDEX(DATABASE!$AV$14:$BC$968,SUMPRODUCT((ROW(DATABASE!$AV$14:$AV$968)) * (DATABASE!$AV$14:BK$968='Résultats observations'!$A46 ) * (DATABASE!$AW$14:$AW$968= R$4))-ROW(DATABASE!$AV$14)+1,R$5)),"")</f>
        <v/>
      </c>
      <c r="S46" s="116">
        <f t="array" ref="S46">IFERROR(_xlfn.SINGLE(INDEX(DATABASE!$AV$14:$BC$968,SUMPRODUCT((ROW(DATABASE!$AV$14:$AV$968)) * (DATABASE!$AV$14:BL$968='Résultats observations'!$A46 ) * (DATABASE!$AW$14:$AW$968= S$4))-ROW(DATABASE!$AV$14)+1,S$5)),"")</f>
        <v/>
      </c>
      <c r="T46" s="116">
        <f t="array" ref="T46">IFERROR(_xlfn.SINGLE(INDEX(DATABASE!$AV$14:$BC$968,SUMPRODUCT((ROW(DATABASE!$AV$14:$AV$968)) * (DATABASE!$AV$14:BM$968='Résultats observations'!$A46 ) * (DATABASE!$AW$14:$AW$968= T$4))-ROW(DATABASE!$AV$14)+1,T$5)),"")</f>
        <v/>
      </c>
      <c r="U46" s="116">
        <f t="array" ref="U46">IFERROR(_xlfn.SINGLE(INDEX(DATABASE!$AV$14:$BC$968,SUMPRODUCT((ROW(DATABASE!$AV$14:$AV$968)) * (DATABASE!$AV$14:BN$968='Résultats observations'!$A46 ) * (DATABASE!$AW$14:$AW$968= U$4))-ROW(DATABASE!$AV$14)+1,U$5)),"")</f>
        <v/>
      </c>
      <c r="V46" s="116">
        <f t="array" ref="V46">IFERROR(_xlfn.SINGLE(INDEX(DATABASE!$AV$14:$BC$968,SUMPRODUCT((ROW(DATABASE!$AV$14:$AV$968)) * (DATABASE!$AV$14:BO$968='Résultats observations'!$A46 ) * (DATABASE!$AW$14:$AW$968= V$4))-ROW(DATABASE!$AV$14)+1,V$5)),"")</f>
        <v/>
      </c>
      <c r="W46" s="116">
        <f t="array" ref="W46">IFERROR(_xlfn.SINGLE(INDEX(DATABASE!$AV$14:$BC$968,SUMPRODUCT((ROW(DATABASE!$AV$14:$AV$968)) * (DATABASE!$AV$14:BP$968='Résultats observations'!$A46 ) * (DATABASE!$AW$14:$AW$968= W$4))-ROW(DATABASE!$AV$14)+1,W$5)),"")</f>
        <v/>
      </c>
      <c r="X46" s="116">
        <f t="array" ref="X46">IFERROR(_xlfn.SINGLE(INDEX(DATABASE!$AV$14:$BC$968,SUMPRODUCT((ROW(DATABASE!$AV$14:$AV$968)) * (DATABASE!$AV$14:BQ$968='Résultats observations'!$A46 ) * (DATABASE!$AW$14:$AW$968= X$4))-ROW(DATABASE!$AV$14)+1,X$5)),"")</f>
        <v/>
      </c>
      <c r="Y46" s="116">
        <f t="array" ref="Y46">IFERROR(_xlfn.SINGLE(INDEX(DATABASE!$AV$14:$BC$968,SUMPRODUCT((ROW(DATABASE!$AV$14:$AV$968)) * (DATABASE!$AV$14:BR$968='Résultats observations'!$A46 ) * (DATABASE!$AW$14:$AW$968= Y$4))-ROW(DATABASE!$AV$14)+1,Y$5)),"")</f>
        <v/>
      </c>
      <c r="Z46" s="116">
        <f t="array" ref="Z46">IFERROR(_xlfn.SINGLE(INDEX(DATABASE!$AV$14:$BC$968,SUMPRODUCT((ROW(DATABASE!$AV$14:$AV$968)) * (DATABASE!$AV$14:BS$968='Résultats observations'!$A46 ) * (DATABASE!$AW$14:$AW$968= Z$4))-ROW(DATABASE!$AV$14)+1,Z$5)),"")</f>
        <v/>
      </c>
      <c r="AA46" s="116">
        <f t="array" ref="AA46">IFERROR(_xlfn.SINGLE(INDEX(DATABASE!$AV$14:$BC$968,SUMPRODUCT((ROW(DATABASE!$AV$14:$AV$968)) * (DATABASE!$AV$14:BT$968='Résultats observations'!$A46 ) * (DATABASE!$AW$14:$AW$968= AA$4))-ROW(DATABASE!$AV$14)+1,AA$5)),"")</f>
        <v/>
      </c>
      <c r="AB46" s="116">
        <f t="array" ref="AB46">IFERROR(_xlfn.SINGLE(INDEX(DATABASE!$AV$14:$BC$968,SUMPRODUCT((ROW(DATABASE!$AV$14:$AV$968)) * (DATABASE!$AV$14:BU$968='Résultats observations'!$A46 ) * (DATABASE!$AW$14:$AW$968= AB$4))-ROW(DATABASE!$AV$14)+1,AB$5)),"")</f>
        <v/>
      </c>
      <c r="AC46" s="116">
        <f t="array" ref="AC46">IFERROR(_xlfn.SINGLE(INDEX(DATABASE!$AV$14:$BC$968,SUMPRODUCT((ROW(DATABASE!$AV$14:$AV$968)) * (DATABASE!$AV$14:BV$968='Résultats observations'!$A46 ) * (DATABASE!$AW$14:$AW$968= AC$4))-ROW(DATABASE!$AV$14)+1,AC$5)),"")</f>
        <v/>
      </c>
      <c r="AD46" s="116">
        <f t="array" ref="AD46">IFERROR(_xlfn.SINGLE(INDEX(DATABASE!$AV$14:$BC$968,SUMPRODUCT((ROW(DATABASE!$AV$14:$AV$968)) * (DATABASE!$AV$14:BW$968='Résultats observations'!$A46 ) * (DATABASE!$AW$14:$AW$968= AD$4))-ROW(DATABASE!$AV$14)+1,AD$5)),"")</f>
        <v/>
      </c>
      <c r="AE46" s="116">
        <f t="array" ref="AE46">IFERROR(_xlfn.SINGLE(INDEX(DATABASE!$AV$14:$BC$968,SUMPRODUCT((ROW(DATABASE!$AV$14:$AV$968)) * (DATABASE!$AV$14:BX$968='Résultats observations'!$A46 ) * (DATABASE!$AW$14:$AW$968= AE$4))-ROW(DATABASE!$AV$14)+1,AE$5)),"")</f>
        <v/>
      </c>
      <c r="AF46" s="116">
        <f t="array" ref="AF46">IFERROR(_xlfn.SINGLE(INDEX(DATABASE!$AV$14:$BC$968,SUMPRODUCT((ROW(DATABASE!$AV$14:$AV$968)) * (DATABASE!$AV$14:BY$968='Résultats observations'!$A46 ) * (DATABASE!$AW$14:$AW$968= AF$4))-ROW(DATABASE!$AV$14)+1,AF$5)),"")</f>
        <v/>
      </c>
      <c r="AG46" s="116">
        <f t="array" ref="AG46">IFERROR(_xlfn.SINGLE(INDEX(DATABASE!$AV$14:$BC$968,SUMPRODUCT((ROW(DATABASE!$AV$14:$AV$968)) * (DATABASE!$AV$14:BZ$968='Résultats observations'!$A46 ) * (DATABASE!$AW$14:$AW$968= AG$4))-ROW(DATABASE!$AV$14)+1,AG$5)),"")</f>
        <v/>
      </c>
      <c r="AH46" s="116">
        <f t="array" ref="AH46">IFERROR(_xlfn.SINGLE(INDEX(DATABASE!$AV$14:$BC$968,SUMPRODUCT((ROW(DATABASE!$AV$14:$AV$968)) * (DATABASE!$AV$14:CA$968='Résultats observations'!$A46 ) * (DATABASE!$AW$14:$AW$968= AH$4))-ROW(DATABASE!$AV$14)+1,AH$5)),"")</f>
        <v/>
      </c>
      <c r="AI46" s="116">
        <f t="array" ref="AI46">IFERROR(_xlfn.SINGLE(INDEX(DATABASE!$AV$14:$BC$968,SUMPRODUCT((ROW(DATABASE!$AV$14:$AV$968)) * (DATABASE!$AV$14:CB$968='Résultats observations'!$A46 ) * (DATABASE!$AW$14:$AW$968= AI$4))-ROW(DATABASE!$AV$14)+1,AI$5)),"")</f>
        <v/>
      </c>
      <c r="AJ46" s="116">
        <f t="array" ref="AJ46">IFERROR(_xlfn.SINGLE(INDEX(DATABASE!$AV$14:$BC$968,SUMPRODUCT((ROW(DATABASE!$AV$14:$AV$968)) * (DATABASE!$AV$14:CC$968='Résultats observations'!$A46 ) * (DATABASE!$AW$14:$AW$968= AJ$4))-ROW(DATABASE!$AV$14)+1,AJ$5)),"")</f>
        <v/>
      </c>
      <c r="AK46" s="116">
        <f t="array" ref="AK46">IFERROR(_xlfn.SINGLE(INDEX(DATABASE!$AV$14:$BC$968,SUMPRODUCT((ROW(DATABASE!$AV$14:$AV$968)) * (DATABASE!$AV$14:CD$968='Résultats observations'!$A46 ) * (DATABASE!$AW$14:$AW$968= AK$4))-ROW(DATABASE!$AV$14)+1,AK$5)),"")</f>
        <v/>
      </c>
      <c r="AL46" s="116">
        <f t="array" ref="AL46">IFERROR(_xlfn.SINGLE(INDEX(DATABASE!$AV$14:$BC$968,SUMPRODUCT((ROW(DATABASE!$AV$14:$AV$968)) * (DATABASE!$AV$14:CE$968='Résultats observations'!$A46 ) * (DATABASE!$AW$14:$AW$968= AL$4))-ROW(DATABASE!$AV$14)+1,AL$5)),"")</f>
        <v/>
      </c>
      <c r="AM46" s="116">
        <f t="array" ref="AM46">IFERROR(_xlfn.SINGLE(INDEX(DATABASE!$AV$14:$BC$968,SUMPRODUCT((ROW(DATABASE!$AV$14:$AV$968)) * (DATABASE!$AV$14:CF$968='Résultats observations'!$A46 ) * (DATABASE!$AW$14:$AW$968= AM$4))-ROW(DATABASE!$AV$14)+1,AM$5)),"")</f>
        <v/>
      </c>
      <c r="AN46" s="116">
        <f t="array" ref="AN46">IFERROR(_xlfn.SINGLE(INDEX(DATABASE!$AV$14:$BC$968,SUMPRODUCT((ROW(DATABASE!$AV$14:$AV$968)) * (DATABASE!$AV$14:CG$968='Résultats observations'!$A46 ) * (DATABASE!$AW$14:$AW$968= AN$4))-ROW(DATABASE!$AV$14)+1,AN$5)),"")</f>
        <v/>
      </c>
      <c r="AO46" s="116">
        <f t="array" ref="AO46">IFERROR(_xlfn.SINGLE(INDEX(DATABASE!$AV$14:$BC$968,SUMPRODUCT((ROW(DATABASE!$AV$14:$AV$968)) * (DATABASE!$AV$14:CH$968='Résultats observations'!$A46 ) * (DATABASE!$AW$14:$AW$968= AO$4))-ROW(DATABASE!$AV$14)+1,AO$5)),"")</f>
        <v/>
      </c>
      <c r="AP46" s="116">
        <f t="array" ref="AP46">IFERROR(_xlfn.SINGLE(INDEX(DATABASE!$AV$14:$BC$968,SUMPRODUCT((ROW(DATABASE!$AV$14:$AV$968)) * (DATABASE!$AV$14:CI$968='Résultats observations'!$A46 ) * (DATABASE!$AW$14:$AW$968= AP$4))-ROW(DATABASE!$AV$14)+1,AP$5)),"")</f>
        <v/>
      </c>
      <c r="AQ46" s="116">
        <f t="array" ref="AQ46">IFERROR(_xlfn.SINGLE(INDEX(DATABASE!$AV$14:$BC$968,SUMPRODUCT((ROW(DATABASE!$AV$14:$AV$968)) * (DATABASE!$AV$14:CJ$968='Résultats observations'!$A46 ) * (DATABASE!$AW$14:$AW$968= AQ$4))-ROW(DATABASE!$AV$14)+1,AQ$5)),"")</f>
        <v/>
      </c>
      <c r="AR46" s="116">
        <f t="array" ref="AR46">IFERROR(_xlfn.SINGLE(INDEX(DATABASE!$AV$14:$BC$968,SUMPRODUCT((ROW(DATABASE!$AV$14:$AV$968)) * (DATABASE!$AV$14:CK$968='Résultats observations'!$A46 ) * (DATABASE!$AW$14:$AW$968= AR$4))-ROW(DATABASE!$AV$14)+1,AR$5)),"")</f>
        <v/>
      </c>
      <c r="AS46" s="116">
        <f t="array" ref="AS46">IFERROR(_xlfn.SINGLE(INDEX(DATABASE!$AV$14:$BC$968,SUMPRODUCT((ROW(DATABASE!$AV$14:$AV$968)) * (DATABASE!$AV$14:CL$968='Résultats observations'!$A46 ) * (DATABASE!$AW$14:$AW$968= AS$4))-ROW(DATABASE!$AV$14)+1,AS$5)),"")</f>
        <v/>
      </c>
      <c r="AT46" s="116">
        <f t="array" ref="AT46">IFERROR(_xlfn.SINGLE(INDEX(DATABASE!$AV$14:$BC$968,SUMPRODUCT((ROW(DATABASE!$AV$14:$AV$968)) * (DATABASE!$AV$14:CM$968='Résultats observations'!$A46 ) * (DATABASE!$AW$14:$AW$968= AT$4))-ROW(DATABASE!$AV$14)+1,AT$5)),"")</f>
        <v/>
      </c>
      <c r="AU46" s="116">
        <f t="array" ref="AU46">IFERROR(_xlfn.SINGLE(INDEX(DATABASE!$AV$14:$BC$968,SUMPRODUCT((ROW(DATABASE!$AV$14:$AV$968)) * (DATABASE!$AV$14:CN$968='Résultats observations'!$A46 ) * (DATABASE!$AW$14:$AW$968= AU$4))-ROW(DATABASE!$AV$14)+1,AU$5)),"")</f>
        <v/>
      </c>
      <c r="AV46" s="116">
        <f t="array" ref="AV46">IFERROR(_xlfn.SINGLE(INDEX(DATABASE!$AV$14:$BC$968,SUMPRODUCT((ROW(DATABASE!$AV$14:$AV$968)) * (DATABASE!$AV$14:CO$968='Résultats observations'!$A46 ) * (DATABASE!$AW$14:$AW$968= AV$4))-ROW(DATABASE!$AV$14)+1,AV$5)),"")</f>
        <v/>
      </c>
      <c r="AW46" s="116">
        <f t="array" ref="AW46">IFERROR(_xlfn.SINGLE(INDEX(DATABASE!$AV$14:$BC$968,SUMPRODUCT((ROW(DATABASE!$AV$14:$AV$968)) * (DATABASE!$AV$14:CP$968='Résultats observations'!$A46 ) * (DATABASE!$AW$14:$AW$968= AW$4))-ROW(DATABASE!$AV$14)+1,AW$5)),"")</f>
        <v/>
      </c>
      <c r="AX46" s="116">
        <f t="array" ref="AX46">IFERROR(_xlfn.SINGLE(INDEX(DATABASE!$AV$14:$BC$968,SUMPRODUCT((ROW(DATABASE!$AV$14:$AV$968)) * (DATABASE!$AV$14:CQ$968='Résultats observations'!$A46 ) * (DATABASE!$AW$14:$AW$968= AX$4))-ROW(DATABASE!$AV$14)+1,AX$5)),"")</f>
        <v/>
      </c>
      <c r="AY46" s="116">
        <f t="array" ref="AY46">IFERROR(_xlfn.SINGLE(INDEX(DATABASE!$AV$14:$BC$968,SUMPRODUCT((ROW(DATABASE!$AV$14:$AV$968)) * (DATABASE!$AV$14:CR$968='Résultats observations'!$A46 ) * (DATABASE!$AW$14:$AW$968= AY$4))-ROW(DATABASE!$AV$14)+1,AY$5)),"")</f>
        <v/>
      </c>
      <c r="AZ46" s="116">
        <f t="array" ref="AZ46">IFERROR(_xlfn.SINGLE(INDEX(DATABASE!$AV$14:$BC$968,SUMPRODUCT((ROW(DATABASE!$AV$14:$AV$968)) * (DATABASE!$AV$14:CS$968='Résultats observations'!$A46 ) * (DATABASE!$AW$14:$AW$968= AZ$4))-ROW(DATABASE!$AV$14)+1,AZ$5)),"")</f>
        <v/>
      </c>
      <c r="BA46" s="116">
        <f t="array" ref="BA46">IFERROR(_xlfn.SINGLE(INDEX(DATABASE!$AV$14:$BC$968,SUMPRODUCT((ROW(DATABASE!$AV$14:$AV$968)) * (DATABASE!$AV$14:CT$968='Résultats observations'!$A46 ) * (DATABASE!$AW$14:$AW$968= BA$4))-ROW(DATABASE!$AV$14)+1,BA$5)),"")</f>
        <v/>
      </c>
      <c r="BB46" s="116">
        <f t="array" ref="BB46">IFERROR(_xlfn.SINGLE(INDEX(DATABASE!$AV$14:$BC$968,SUMPRODUCT((ROW(DATABASE!$AV$14:$AV$968)) * (DATABASE!$AV$14:CU$968='Résultats observations'!$A46 ) * (DATABASE!$AW$14:$AW$968= BB$4))-ROW(DATABASE!$AV$14)+1,BB$5)),"")</f>
        <v/>
      </c>
      <c r="BC46" s="116">
        <f t="array" ref="BC46">IFERROR(_xlfn.SINGLE(INDEX(DATABASE!$AV$14:$BC$968,SUMPRODUCT((ROW(DATABASE!$AV$14:$AV$968)) * (DATABASE!$AV$14:CV$968='Résultats observations'!$A46 ) * (DATABASE!$AW$14:$AW$968= BC$4))-ROW(DATABASE!$AV$14)+1,BC$5)),"")</f>
        <v/>
      </c>
      <c r="BD46" s="116">
        <f t="array" ref="BD46">IFERROR(_xlfn.SINGLE(INDEX(DATABASE!$AV$14:$BC$968,SUMPRODUCT((ROW(DATABASE!$AV$14:$AV$968)) * (DATABASE!$AV$14:CW$968='Résultats observations'!$A46 ) * (DATABASE!$AW$14:$AW$968= BD$4))-ROW(DATABASE!$AV$14)+1,BD$5)),"")</f>
        <v/>
      </c>
      <c r="BE46" s="116">
        <f t="array" ref="BE46">IFERROR(_xlfn.SINGLE(INDEX(DATABASE!$AV$14:$BC$968,SUMPRODUCT((ROW(DATABASE!$AV$14:$AV$968)) * (DATABASE!$AV$14:CX$968='Résultats observations'!$A46 ) * (DATABASE!$AW$14:$AW$968= BE$4))-ROW(DATABASE!$AV$14)+1,BE$5)),"")</f>
        <v/>
      </c>
      <c r="BF46" s="116">
        <f t="array" ref="BF46">IFERROR(_xlfn.SINGLE(INDEX(DATABASE!$AV$14:$BC$968,SUMPRODUCT((ROW(DATABASE!$AV$14:$AV$968)) * (DATABASE!$AV$14:CY$968='Résultats observations'!$A46 ) * (DATABASE!$AW$14:$AW$968= BF$4))-ROW(DATABASE!$AV$14)+1,BF$5)),"")</f>
        <v/>
      </c>
      <c r="BG46" s="116">
        <f t="array" ref="BG46">IFERROR(_xlfn.SINGLE(INDEX(DATABASE!$AV$14:$BC$968,SUMPRODUCT((ROW(DATABASE!$AV$14:$AV$968)) * (DATABASE!$AV$14:CZ$968='Résultats observations'!$A46 ) * (DATABASE!$AW$14:$AW$968= BG$4))-ROW(DATABASE!$AV$14)+1,BG$5)),"")</f>
        <v/>
      </c>
      <c r="BH46" s="116">
        <f t="array" ref="BH46">IFERROR(_xlfn.SINGLE(INDEX(DATABASE!$AV$14:$BC$968,SUMPRODUCT((ROW(DATABASE!$AV$14:$AV$968)) * (DATABASE!$AV$14:DA$968='Résultats observations'!$A46 ) * (DATABASE!$AW$14:$AW$968= BH$4))-ROW(DATABASE!$AV$14)+1,BH$5)),"")</f>
        <v/>
      </c>
      <c r="BI46" s="116">
        <f t="array" ref="BI46">IFERROR(_xlfn.SINGLE(INDEX(DATABASE!$AV$14:$BC$968,SUMPRODUCT((ROW(DATABASE!$AV$14:$AV$968)) * (DATABASE!$AV$14:DB$968='Résultats observations'!$A46 ) * (DATABASE!$AW$14:$AW$968= BI$4))-ROW(DATABASE!$AV$14)+1,BI$5)),"")</f>
        <v/>
      </c>
      <c r="BJ46" s="116">
        <f t="array" ref="BJ46">IFERROR(_xlfn.SINGLE(INDEX(DATABASE!$AV$14:$BC$968,SUMPRODUCT((ROW(DATABASE!$AV$14:$AV$968)) * (DATABASE!$AV$14:DC$968='Résultats observations'!$A46 ) * (DATABASE!$AW$14:$AW$968= BJ$4))-ROW(DATABASE!$AV$14)+1,BJ$5)),"")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(DATABASE!AV$14:$AV$968='Résultats observations'!$A47 ) * (DATABASE!$AW$14:$AW$968= C$4))-ROW(DATABASE!$AV$14)+1,C$5)),"")</f>
        <v/>
      </c>
      <c r="D47" s="116">
        <f t="array" ref="D47">IFERROR(_xlfn.SINGLE(INDEX(DATABASE!$AV$14:$BC$968,SUMPRODUCT((ROW(DATABASE!$AV$14:$AV$968)) * (DATABASE!$AV$14:AW$968='Résultats observations'!$A47 ) * (DATABASE!$AW$14:$AW$968= D$4))-ROW(DATABASE!$AV$14)+1,D$5)),"")</f>
        <v/>
      </c>
      <c r="E47" s="116">
        <f t="array" ref="E47">IFERROR(_xlfn.SINGLE(INDEX(DATABASE!$AV$14:$BC$968,SUMPRODUCT((ROW(DATABASE!$AV$14:$AV$968)) * (DATABASE!$AV$14:AX$968='Résultats observations'!$A47 ) * (DATABASE!$AW$14:$AW$968= E$4))-ROW(DATABASE!$AV$14)+1,E$5)),"")</f>
        <v/>
      </c>
      <c r="F47" s="116">
        <f t="array" ref="F47">IFERROR(_xlfn.SINGLE(INDEX(DATABASE!$AV$14:$BC$968,SUMPRODUCT((ROW(DATABASE!$AV$14:$AV$968)) * (DATABASE!$AV$14:AY$968='Résultats observations'!$A47 ) * (DATABASE!$AW$14:$AW$968= F$4))-ROW(DATABASE!$AV$14)+1,F$5)),"")</f>
        <v/>
      </c>
      <c r="G47" s="116">
        <f t="array" ref="G47">IFERROR(_xlfn.SINGLE(INDEX(DATABASE!$AV$14:$BC$968,SUMPRODUCT((ROW(DATABASE!$AV$14:$AV$968)) * (DATABASE!$AV$14:AZ$968='Résultats observations'!$A47 ) * (DATABASE!$AW$14:$AW$968= G$4))-ROW(DATABASE!$AV$14)+1,G$5)),"")</f>
        <v/>
      </c>
      <c r="H47" s="116">
        <f t="array" ref="H47">IFERROR(_xlfn.SINGLE(INDEX(DATABASE!$AV$14:$BC$968,SUMPRODUCT((ROW(DATABASE!$AV$14:$AV$968)) * (DATABASE!$AV$14:BA$968='Résultats observations'!$A47 ) * (DATABASE!$AW$14:$AW$968= H$4))-ROW(DATABASE!$AV$14)+1,H$5)),"")</f>
        <v/>
      </c>
      <c r="I47" s="116">
        <f t="array" ref="I47">IFERROR(_xlfn.SINGLE(INDEX(DATABASE!$AV$14:$BC$968,SUMPRODUCT((ROW(DATABASE!$AV$14:$AV$968)) * (DATABASE!$AV$14:BB$968='Résultats observations'!$A47 ) * (DATABASE!$AW$14:$AW$968= I$4))-ROW(DATABASE!$AV$14)+1,I$5)),"")</f>
        <v/>
      </c>
      <c r="J47" s="116">
        <f t="array" ref="J47">IFERROR(_xlfn.SINGLE(INDEX(DATABASE!$AV$14:$BC$968,SUMPRODUCT((ROW(DATABASE!$AV$14:$AV$968)) * (DATABASE!$AV$14:BC$968='Résultats observations'!$A47 ) * (DATABASE!$AW$14:$AW$968= J$4))-ROW(DATABASE!$AV$14)+1,J$5)),"")</f>
        <v/>
      </c>
      <c r="K47" s="116">
        <f t="array" ref="K47">IFERROR(_xlfn.SINGLE(INDEX(DATABASE!$AV$14:$BC$968,SUMPRODUCT((ROW(DATABASE!$AV$14:$AV$968)) * (DATABASE!$AV$14:BD$968='Résultats observations'!$A47 ) * (DATABASE!$AW$14:$AW$968= K$4))-ROW(DATABASE!$AV$14)+1,K$5)),"")</f>
        <v/>
      </c>
      <c r="L47" s="116">
        <f t="array" ref="L47">IFERROR(_xlfn.SINGLE(INDEX(DATABASE!$AV$14:$BC$968,SUMPRODUCT((ROW(DATABASE!$AV$14:$AV$968)) * (DATABASE!$AV$14:BE$968='Résultats observations'!$A47 ) * (DATABASE!$AW$14:$AW$968= L$4))-ROW(DATABASE!$AV$14)+1,L$5)),"")</f>
        <v/>
      </c>
      <c r="M47" s="116">
        <f t="array" ref="M47">IFERROR(_xlfn.SINGLE(INDEX(DATABASE!$AV$14:$BC$968,SUMPRODUCT((ROW(DATABASE!$AV$14:$AV$968)) * (DATABASE!$AV$14:BF$968='Résultats observations'!$A47 ) * (DATABASE!$AW$14:$AW$968= M$4))-ROW(DATABASE!$AV$14)+1,M$5)),"")</f>
        <v/>
      </c>
      <c r="N47" s="116">
        <f t="array" ref="N47">IFERROR(_xlfn.SINGLE(INDEX(DATABASE!$AV$14:$BC$968,SUMPRODUCT((ROW(DATABASE!$AV$14:$AV$968)) * (DATABASE!$AV$14:BG$968='Résultats observations'!$A47 ) * (DATABASE!$AW$14:$AW$968= N$4))-ROW(DATABASE!$AV$14)+1,N$5)),"")</f>
        <v/>
      </c>
      <c r="O47" s="116">
        <f t="array" ref="O47">IFERROR(_xlfn.SINGLE(INDEX(DATABASE!$AV$14:$BC$968,SUMPRODUCT((ROW(DATABASE!$AV$14:$AV$968)) * (DATABASE!$AV$14:BH$968='Résultats observations'!$A47 ) * (DATABASE!$AW$14:$AW$968= O$4))-ROW(DATABASE!$AV$14)+1,O$5)),"")</f>
        <v/>
      </c>
      <c r="P47" s="116">
        <f t="array" ref="P47">IFERROR(_xlfn.SINGLE(INDEX(DATABASE!$AV$14:$BC$968,SUMPRODUCT((ROW(DATABASE!$AV$14:$AV$968)) * (DATABASE!$AV$14:BI$968='Résultats observations'!$A47 ) * (DATABASE!$AW$14:$AW$968= P$4))-ROW(DATABASE!$AV$14)+1,P$5)),"")</f>
        <v/>
      </c>
      <c r="Q47" s="116">
        <f t="array" ref="Q47">IFERROR(_xlfn.SINGLE(INDEX(DATABASE!$AV$14:$BC$968,SUMPRODUCT((ROW(DATABASE!$AV$14:$AV$968)) * (DATABASE!$AV$14:BJ$968='Résultats observations'!$A47 ) * (DATABASE!$AW$14:$AW$968= Q$4))-ROW(DATABASE!$AV$14)+1,Q$5)),"")</f>
        <v/>
      </c>
      <c r="R47" s="116">
        <f t="array" ref="R47">IFERROR(_xlfn.SINGLE(INDEX(DATABASE!$AV$14:$BC$968,SUMPRODUCT((ROW(DATABASE!$AV$14:$AV$968)) * (DATABASE!$AV$14:BK$968='Résultats observations'!$A47 ) * (DATABASE!$AW$14:$AW$968= R$4))-ROW(DATABASE!$AV$14)+1,R$5)),"")</f>
        <v/>
      </c>
      <c r="S47" s="116">
        <f t="array" ref="S47">IFERROR(_xlfn.SINGLE(INDEX(DATABASE!$AV$14:$BC$968,SUMPRODUCT((ROW(DATABASE!$AV$14:$AV$968)) * (DATABASE!$AV$14:BL$968='Résultats observations'!$A47 ) * (DATABASE!$AW$14:$AW$968= S$4))-ROW(DATABASE!$AV$14)+1,S$5)),"")</f>
        <v/>
      </c>
      <c r="T47" s="116">
        <f t="array" ref="T47">IFERROR(_xlfn.SINGLE(INDEX(DATABASE!$AV$14:$BC$968,SUMPRODUCT((ROW(DATABASE!$AV$14:$AV$968)) * (DATABASE!$AV$14:BM$968='Résultats observations'!$A47 ) * (DATABASE!$AW$14:$AW$968= T$4))-ROW(DATABASE!$AV$14)+1,T$5)),"")</f>
        <v/>
      </c>
      <c r="U47" s="116">
        <f t="array" ref="U47">IFERROR(_xlfn.SINGLE(INDEX(DATABASE!$AV$14:$BC$968,SUMPRODUCT((ROW(DATABASE!$AV$14:$AV$968)) * (DATABASE!$AV$14:BN$968='Résultats observations'!$A47 ) * (DATABASE!$AW$14:$AW$968= U$4))-ROW(DATABASE!$AV$14)+1,U$5)),"")</f>
        <v/>
      </c>
      <c r="V47" s="116">
        <f t="array" ref="V47">IFERROR(_xlfn.SINGLE(INDEX(DATABASE!$AV$14:$BC$968,SUMPRODUCT((ROW(DATABASE!$AV$14:$AV$968)) * (DATABASE!$AV$14:BO$968='Résultats observations'!$A47 ) * (DATABASE!$AW$14:$AW$968= V$4))-ROW(DATABASE!$AV$14)+1,V$5)),"")</f>
        <v/>
      </c>
      <c r="W47" s="116">
        <f t="array" ref="W47">IFERROR(_xlfn.SINGLE(INDEX(DATABASE!$AV$14:$BC$968,SUMPRODUCT((ROW(DATABASE!$AV$14:$AV$968)) * (DATABASE!$AV$14:BP$968='Résultats observations'!$A47 ) * (DATABASE!$AW$14:$AW$968= W$4))-ROW(DATABASE!$AV$14)+1,W$5)),"")</f>
        <v/>
      </c>
      <c r="X47" s="116">
        <f t="array" ref="X47">IFERROR(_xlfn.SINGLE(INDEX(DATABASE!$AV$14:$BC$968,SUMPRODUCT((ROW(DATABASE!$AV$14:$AV$968)) * (DATABASE!$AV$14:BQ$968='Résultats observations'!$A47 ) * (DATABASE!$AW$14:$AW$968= X$4))-ROW(DATABASE!$AV$14)+1,X$5)),"")</f>
        <v/>
      </c>
      <c r="Y47" s="116">
        <f t="array" ref="Y47">IFERROR(_xlfn.SINGLE(INDEX(DATABASE!$AV$14:$BC$968,SUMPRODUCT((ROW(DATABASE!$AV$14:$AV$968)) * (DATABASE!$AV$14:BR$968='Résultats observations'!$A47 ) * (DATABASE!$AW$14:$AW$968= Y$4))-ROW(DATABASE!$AV$14)+1,Y$5)),"")</f>
        <v/>
      </c>
      <c r="Z47" s="116">
        <f t="array" ref="Z47">IFERROR(_xlfn.SINGLE(INDEX(DATABASE!$AV$14:$BC$968,SUMPRODUCT((ROW(DATABASE!$AV$14:$AV$968)) * (DATABASE!$AV$14:BS$968='Résultats observations'!$A47 ) * (DATABASE!$AW$14:$AW$968= Z$4))-ROW(DATABASE!$AV$14)+1,Z$5)),"")</f>
        <v/>
      </c>
      <c r="AA47" s="116">
        <f t="array" ref="AA47">IFERROR(_xlfn.SINGLE(INDEX(DATABASE!$AV$14:$BC$968,SUMPRODUCT((ROW(DATABASE!$AV$14:$AV$968)) * (DATABASE!$AV$14:BT$968='Résultats observations'!$A47 ) * (DATABASE!$AW$14:$AW$968= AA$4))-ROW(DATABASE!$AV$14)+1,AA$5)),"")</f>
        <v/>
      </c>
      <c r="AB47" s="116">
        <f t="array" ref="AB47">IFERROR(_xlfn.SINGLE(INDEX(DATABASE!$AV$14:$BC$968,SUMPRODUCT((ROW(DATABASE!$AV$14:$AV$968)) * (DATABASE!$AV$14:BU$968='Résultats observations'!$A47 ) * (DATABASE!$AW$14:$AW$968= AB$4))-ROW(DATABASE!$AV$14)+1,AB$5)),"")</f>
        <v/>
      </c>
      <c r="AC47" s="116">
        <f t="array" ref="AC47">IFERROR(_xlfn.SINGLE(INDEX(DATABASE!$AV$14:$BC$968,SUMPRODUCT((ROW(DATABASE!$AV$14:$AV$968)) * (DATABASE!$AV$14:BV$968='Résultats observations'!$A47 ) * (DATABASE!$AW$14:$AW$968= AC$4))-ROW(DATABASE!$AV$14)+1,AC$5)),"")</f>
        <v/>
      </c>
      <c r="AD47" s="116">
        <f t="array" ref="AD47">IFERROR(_xlfn.SINGLE(INDEX(DATABASE!$AV$14:$BC$968,SUMPRODUCT((ROW(DATABASE!$AV$14:$AV$968)) * (DATABASE!$AV$14:BW$968='Résultats observations'!$A47 ) * (DATABASE!$AW$14:$AW$968= AD$4))-ROW(DATABASE!$AV$14)+1,AD$5)),"")</f>
        <v/>
      </c>
      <c r="AE47" s="116">
        <f t="array" ref="AE47">IFERROR(_xlfn.SINGLE(INDEX(DATABASE!$AV$14:$BC$968,SUMPRODUCT((ROW(DATABASE!$AV$14:$AV$968)) * (DATABASE!$AV$14:BX$968='Résultats observations'!$A47 ) * (DATABASE!$AW$14:$AW$968= AE$4))-ROW(DATABASE!$AV$14)+1,AE$5)),"")</f>
        <v/>
      </c>
      <c r="AF47" s="116">
        <f t="array" ref="AF47">IFERROR(_xlfn.SINGLE(INDEX(DATABASE!$AV$14:$BC$968,SUMPRODUCT((ROW(DATABASE!$AV$14:$AV$968)) * (DATABASE!$AV$14:BY$968='Résultats observations'!$A47 ) * (DATABASE!$AW$14:$AW$968= AF$4))-ROW(DATABASE!$AV$14)+1,AF$5)),"")</f>
        <v/>
      </c>
      <c r="AG47" s="116">
        <f t="array" ref="AG47">IFERROR(_xlfn.SINGLE(INDEX(DATABASE!$AV$14:$BC$968,SUMPRODUCT((ROW(DATABASE!$AV$14:$AV$968)) * (DATABASE!$AV$14:BZ$968='Résultats observations'!$A47 ) * (DATABASE!$AW$14:$AW$968= AG$4))-ROW(DATABASE!$AV$14)+1,AG$5)),"")</f>
        <v/>
      </c>
      <c r="AH47" s="116">
        <f t="array" ref="AH47">IFERROR(_xlfn.SINGLE(INDEX(DATABASE!$AV$14:$BC$968,SUMPRODUCT((ROW(DATABASE!$AV$14:$AV$968)) * (DATABASE!$AV$14:CA$968='Résultats observations'!$A47 ) * (DATABASE!$AW$14:$AW$968= AH$4))-ROW(DATABASE!$AV$14)+1,AH$5)),"")</f>
        <v/>
      </c>
      <c r="AI47" s="116">
        <f t="array" ref="AI47">IFERROR(_xlfn.SINGLE(INDEX(DATABASE!$AV$14:$BC$968,SUMPRODUCT((ROW(DATABASE!$AV$14:$AV$968)) * (DATABASE!$AV$14:CB$968='Résultats observations'!$A47 ) * (DATABASE!$AW$14:$AW$968= AI$4))-ROW(DATABASE!$AV$14)+1,AI$5)),"")</f>
        <v/>
      </c>
      <c r="AJ47" s="116">
        <f t="array" ref="AJ47">IFERROR(_xlfn.SINGLE(INDEX(DATABASE!$AV$14:$BC$968,SUMPRODUCT((ROW(DATABASE!$AV$14:$AV$968)) * (DATABASE!$AV$14:CC$968='Résultats observations'!$A47 ) * (DATABASE!$AW$14:$AW$968= AJ$4))-ROW(DATABASE!$AV$14)+1,AJ$5)),"")</f>
        <v/>
      </c>
      <c r="AK47" s="116">
        <f t="array" ref="AK47">IFERROR(_xlfn.SINGLE(INDEX(DATABASE!$AV$14:$BC$968,SUMPRODUCT((ROW(DATABASE!$AV$14:$AV$968)) * (DATABASE!$AV$14:CD$968='Résultats observations'!$A47 ) * (DATABASE!$AW$14:$AW$968= AK$4))-ROW(DATABASE!$AV$14)+1,AK$5)),"")</f>
        <v/>
      </c>
      <c r="AL47" s="116">
        <f t="array" ref="AL47">IFERROR(_xlfn.SINGLE(INDEX(DATABASE!$AV$14:$BC$968,SUMPRODUCT((ROW(DATABASE!$AV$14:$AV$968)) * (DATABASE!$AV$14:CE$968='Résultats observations'!$A47 ) * (DATABASE!$AW$14:$AW$968= AL$4))-ROW(DATABASE!$AV$14)+1,AL$5)),"")</f>
        <v/>
      </c>
      <c r="AM47" s="116">
        <f t="array" ref="AM47">IFERROR(_xlfn.SINGLE(INDEX(DATABASE!$AV$14:$BC$968,SUMPRODUCT((ROW(DATABASE!$AV$14:$AV$968)) * (DATABASE!$AV$14:CF$968='Résultats observations'!$A47 ) * (DATABASE!$AW$14:$AW$968= AM$4))-ROW(DATABASE!$AV$14)+1,AM$5)),"")</f>
        <v/>
      </c>
      <c r="AN47" s="116">
        <f t="array" ref="AN47">IFERROR(_xlfn.SINGLE(INDEX(DATABASE!$AV$14:$BC$968,SUMPRODUCT((ROW(DATABASE!$AV$14:$AV$968)) * (DATABASE!$AV$14:CG$968='Résultats observations'!$A47 ) * (DATABASE!$AW$14:$AW$968= AN$4))-ROW(DATABASE!$AV$14)+1,AN$5)),"")</f>
        <v/>
      </c>
      <c r="AO47" s="116">
        <f t="array" ref="AO47">IFERROR(_xlfn.SINGLE(INDEX(DATABASE!$AV$14:$BC$968,SUMPRODUCT((ROW(DATABASE!$AV$14:$AV$968)) * (DATABASE!$AV$14:CH$968='Résultats observations'!$A47 ) * (DATABASE!$AW$14:$AW$968= AO$4))-ROW(DATABASE!$AV$14)+1,AO$5)),"")</f>
        <v/>
      </c>
      <c r="AP47" s="116">
        <f t="array" ref="AP47">IFERROR(_xlfn.SINGLE(INDEX(DATABASE!$AV$14:$BC$968,SUMPRODUCT((ROW(DATABASE!$AV$14:$AV$968)) * (DATABASE!$AV$14:CI$968='Résultats observations'!$A47 ) * (DATABASE!$AW$14:$AW$968= AP$4))-ROW(DATABASE!$AV$14)+1,AP$5)),"")</f>
        <v/>
      </c>
      <c r="AQ47" s="116">
        <f t="array" ref="AQ47">IFERROR(_xlfn.SINGLE(INDEX(DATABASE!$AV$14:$BC$968,SUMPRODUCT((ROW(DATABASE!$AV$14:$AV$968)) * (DATABASE!$AV$14:CJ$968='Résultats observations'!$A47 ) * (DATABASE!$AW$14:$AW$968= AQ$4))-ROW(DATABASE!$AV$14)+1,AQ$5)),"")</f>
        <v/>
      </c>
      <c r="AR47" s="116">
        <f t="array" ref="AR47">IFERROR(_xlfn.SINGLE(INDEX(DATABASE!$AV$14:$BC$968,SUMPRODUCT((ROW(DATABASE!$AV$14:$AV$968)) * (DATABASE!$AV$14:CK$968='Résultats observations'!$A47 ) * (DATABASE!$AW$14:$AW$968= AR$4))-ROW(DATABASE!$AV$14)+1,AR$5)),"")</f>
        <v/>
      </c>
      <c r="AS47" s="116">
        <f t="array" ref="AS47">IFERROR(_xlfn.SINGLE(INDEX(DATABASE!$AV$14:$BC$968,SUMPRODUCT((ROW(DATABASE!$AV$14:$AV$968)) * (DATABASE!$AV$14:CL$968='Résultats observations'!$A47 ) * (DATABASE!$AW$14:$AW$968= AS$4))-ROW(DATABASE!$AV$14)+1,AS$5)),"")</f>
        <v/>
      </c>
      <c r="AT47" s="116">
        <f t="array" ref="AT47">IFERROR(_xlfn.SINGLE(INDEX(DATABASE!$AV$14:$BC$968,SUMPRODUCT((ROW(DATABASE!$AV$14:$AV$968)) * (DATABASE!$AV$14:CM$968='Résultats observations'!$A47 ) * (DATABASE!$AW$14:$AW$968= AT$4))-ROW(DATABASE!$AV$14)+1,AT$5)),"")</f>
        <v/>
      </c>
      <c r="AU47" s="116">
        <f t="array" ref="AU47">IFERROR(_xlfn.SINGLE(INDEX(DATABASE!$AV$14:$BC$968,SUMPRODUCT((ROW(DATABASE!$AV$14:$AV$968)) * (DATABASE!$AV$14:CN$968='Résultats observations'!$A47 ) * (DATABASE!$AW$14:$AW$968= AU$4))-ROW(DATABASE!$AV$14)+1,AU$5)),"")</f>
        <v/>
      </c>
      <c r="AV47" s="116">
        <f t="array" ref="AV47">IFERROR(_xlfn.SINGLE(INDEX(DATABASE!$AV$14:$BC$968,SUMPRODUCT((ROW(DATABASE!$AV$14:$AV$968)) * (DATABASE!$AV$14:CO$968='Résultats observations'!$A47 ) * (DATABASE!$AW$14:$AW$968= AV$4))-ROW(DATABASE!$AV$14)+1,AV$5)),"")</f>
        <v/>
      </c>
      <c r="AW47" s="116">
        <f t="array" ref="AW47">IFERROR(_xlfn.SINGLE(INDEX(DATABASE!$AV$14:$BC$968,SUMPRODUCT((ROW(DATABASE!$AV$14:$AV$968)) * (DATABASE!$AV$14:CP$968='Résultats observations'!$A47 ) * (DATABASE!$AW$14:$AW$968= AW$4))-ROW(DATABASE!$AV$14)+1,AW$5)),"")</f>
        <v/>
      </c>
      <c r="AX47" s="116">
        <f t="array" ref="AX47">IFERROR(_xlfn.SINGLE(INDEX(DATABASE!$AV$14:$BC$968,SUMPRODUCT((ROW(DATABASE!$AV$14:$AV$968)) * (DATABASE!$AV$14:CQ$968='Résultats observations'!$A47 ) * (DATABASE!$AW$14:$AW$968= AX$4))-ROW(DATABASE!$AV$14)+1,AX$5)),"")</f>
        <v/>
      </c>
      <c r="AY47" s="116">
        <f t="array" ref="AY47">IFERROR(_xlfn.SINGLE(INDEX(DATABASE!$AV$14:$BC$968,SUMPRODUCT((ROW(DATABASE!$AV$14:$AV$968)) * (DATABASE!$AV$14:CR$968='Résultats observations'!$A47 ) * (DATABASE!$AW$14:$AW$968= AY$4))-ROW(DATABASE!$AV$14)+1,AY$5)),"")</f>
        <v/>
      </c>
      <c r="AZ47" s="116">
        <f t="array" ref="AZ47">IFERROR(_xlfn.SINGLE(INDEX(DATABASE!$AV$14:$BC$968,SUMPRODUCT((ROW(DATABASE!$AV$14:$AV$968)) * (DATABASE!$AV$14:CS$968='Résultats observations'!$A47 ) * (DATABASE!$AW$14:$AW$968= AZ$4))-ROW(DATABASE!$AV$14)+1,AZ$5)),"")</f>
        <v/>
      </c>
      <c r="BA47" s="116">
        <f t="array" ref="BA47">IFERROR(_xlfn.SINGLE(INDEX(DATABASE!$AV$14:$BC$968,SUMPRODUCT((ROW(DATABASE!$AV$14:$AV$968)) * (DATABASE!$AV$14:CT$968='Résultats observations'!$A47 ) * (DATABASE!$AW$14:$AW$968= BA$4))-ROW(DATABASE!$AV$14)+1,BA$5)),"")</f>
        <v/>
      </c>
      <c r="BB47" s="116">
        <f t="array" ref="BB47">IFERROR(_xlfn.SINGLE(INDEX(DATABASE!$AV$14:$BC$968,SUMPRODUCT((ROW(DATABASE!$AV$14:$AV$968)) * (DATABASE!$AV$14:CU$968='Résultats observations'!$A47 ) * (DATABASE!$AW$14:$AW$968= BB$4))-ROW(DATABASE!$AV$14)+1,BB$5)),"")</f>
        <v/>
      </c>
      <c r="BC47" s="116">
        <f t="array" ref="BC47">IFERROR(_xlfn.SINGLE(INDEX(DATABASE!$AV$14:$BC$968,SUMPRODUCT((ROW(DATABASE!$AV$14:$AV$968)) * (DATABASE!$AV$14:CV$968='Résultats observations'!$A47 ) * (DATABASE!$AW$14:$AW$968= BC$4))-ROW(DATABASE!$AV$14)+1,BC$5)),"")</f>
        <v/>
      </c>
      <c r="BD47" s="116">
        <f t="array" ref="BD47">IFERROR(_xlfn.SINGLE(INDEX(DATABASE!$AV$14:$BC$968,SUMPRODUCT((ROW(DATABASE!$AV$14:$AV$968)) * (DATABASE!$AV$14:CW$968='Résultats observations'!$A47 ) * (DATABASE!$AW$14:$AW$968= BD$4))-ROW(DATABASE!$AV$14)+1,BD$5)),"")</f>
        <v/>
      </c>
      <c r="BE47" s="116">
        <f t="array" ref="BE47">IFERROR(_xlfn.SINGLE(INDEX(DATABASE!$AV$14:$BC$968,SUMPRODUCT((ROW(DATABASE!$AV$14:$AV$968)) * (DATABASE!$AV$14:CX$968='Résultats observations'!$A47 ) * (DATABASE!$AW$14:$AW$968= BE$4))-ROW(DATABASE!$AV$14)+1,BE$5)),"")</f>
        <v/>
      </c>
      <c r="BF47" s="116">
        <f t="array" ref="BF47">IFERROR(_xlfn.SINGLE(INDEX(DATABASE!$AV$14:$BC$968,SUMPRODUCT((ROW(DATABASE!$AV$14:$AV$968)) * (DATABASE!$AV$14:CY$968='Résultats observations'!$A47 ) * (DATABASE!$AW$14:$AW$968= BF$4))-ROW(DATABASE!$AV$14)+1,BF$5)),"")</f>
        <v/>
      </c>
      <c r="BG47" s="116">
        <f t="array" ref="BG47">IFERROR(_xlfn.SINGLE(INDEX(DATABASE!$AV$14:$BC$968,SUMPRODUCT((ROW(DATABASE!$AV$14:$AV$968)) * (DATABASE!$AV$14:CZ$968='Résultats observations'!$A47 ) * (DATABASE!$AW$14:$AW$968= BG$4))-ROW(DATABASE!$AV$14)+1,BG$5)),"")</f>
        <v/>
      </c>
      <c r="BH47" s="116">
        <f t="array" ref="BH47">IFERROR(_xlfn.SINGLE(INDEX(DATABASE!$AV$14:$BC$968,SUMPRODUCT((ROW(DATABASE!$AV$14:$AV$968)) * (DATABASE!$AV$14:DA$968='Résultats observations'!$A47 ) * (DATABASE!$AW$14:$AW$968= BH$4))-ROW(DATABASE!$AV$14)+1,BH$5)),"")</f>
        <v/>
      </c>
      <c r="BI47" s="116">
        <f t="array" ref="BI47">IFERROR(_xlfn.SINGLE(INDEX(DATABASE!$AV$14:$BC$968,SUMPRODUCT((ROW(DATABASE!$AV$14:$AV$968)) * (DATABASE!$AV$14:DB$968='Résultats observations'!$A47 ) * (DATABASE!$AW$14:$AW$968= BI$4))-ROW(DATABASE!$AV$14)+1,BI$5)),"")</f>
        <v/>
      </c>
      <c r="BJ47" s="116">
        <f t="array" ref="BJ47">IFERROR(_xlfn.SINGLE(INDEX(DATABASE!$AV$14:$BC$968,SUMPRODUCT((ROW(DATABASE!$AV$14:$AV$968)) * (DATABASE!$AV$14:DC$968='Résultats observations'!$A47 ) * (DATABASE!$AW$14:$AW$968= BJ$4))-ROW(DATABASE!$AV$14)+1,BJ$5)),"")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(DATABASE!AV$14:$AV$968='Résultats observations'!$A48 ) * (DATABASE!$AW$14:$AW$968= C$4))-ROW(DATABASE!$AV$14)+1,C$5)),"")</f>
        <v/>
      </c>
      <c r="D48" s="116">
        <f t="array" ref="D48">IFERROR(_xlfn.SINGLE(INDEX(DATABASE!$AV$14:$BC$968,SUMPRODUCT((ROW(DATABASE!$AV$14:$AV$968)) * (DATABASE!$AV$14:AW$968='Résultats observations'!$A48 ) * (DATABASE!$AW$14:$AW$968= D$4))-ROW(DATABASE!$AV$14)+1,D$5)),"")</f>
        <v/>
      </c>
      <c r="E48" s="116">
        <f t="array" ref="E48">IFERROR(_xlfn.SINGLE(INDEX(DATABASE!$AV$14:$BC$968,SUMPRODUCT((ROW(DATABASE!$AV$14:$AV$968)) * (DATABASE!$AV$14:AX$968='Résultats observations'!$A48 ) * (DATABASE!$AW$14:$AW$968= E$4))-ROW(DATABASE!$AV$14)+1,E$5)),"")</f>
        <v/>
      </c>
      <c r="F48" s="116">
        <f t="array" ref="F48">IFERROR(_xlfn.SINGLE(INDEX(DATABASE!$AV$14:$BC$968,SUMPRODUCT((ROW(DATABASE!$AV$14:$AV$968)) * (DATABASE!$AV$14:AY$968='Résultats observations'!$A48 ) * (DATABASE!$AW$14:$AW$968= F$4))-ROW(DATABASE!$AV$14)+1,F$5)),"")</f>
        <v/>
      </c>
      <c r="G48" s="116">
        <f t="array" ref="G48">IFERROR(_xlfn.SINGLE(INDEX(DATABASE!$AV$14:$BC$968,SUMPRODUCT((ROW(DATABASE!$AV$14:$AV$968)) * (DATABASE!$AV$14:AZ$968='Résultats observations'!$A48 ) * (DATABASE!$AW$14:$AW$968= G$4))-ROW(DATABASE!$AV$14)+1,G$5)),"")</f>
        <v/>
      </c>
      <c r="H48" s="116">
        <f t="array" ref="H48">IFERROR(_xlfn.SINGLE(INDEX(DATABASE!$AV$14:$BC$968,SUMPRODUCT((ROW(DATABASE!$AV$14:$AV$968)) * (DATABASE!$AV$14:BA$968='Résultats observations'!$A48 ) * (DATABASE!$AW$14:$AW$968= H$4))-ROW(DATABASE!$AV$14)+1,H$5)),"")</f>
        <v/>
      </c>
      <c r="I48" s="116">
        <f t="array" ref="I48">IFERROR(_xlfn.SINGLE(INDEX(DATABASE!$AV$14:$BC$968,SUMPRODUCT((ROW(DATABASE!$AV$14:$AV$968)) * (DATABASE!$AV$14:BB$968='Résultats observations'!$A48 ) * (DATABASE!$AW$14:$AW$968= I$4))-ROW(DATABASE!$AV$14)+1,I$5)),"")</f>
        <v/>
      </c>
      <c r="J48" s="116">
        <f t="array" ref="J48">IFERROR(_xlfn.SINGLE(INDEX(DATABASE!$AV$14:$BC$968,SUMPRODUCT((ROW(DATABASE!$AV$14:$AV$968)) * (DATABASE!$AV$14:BC$968='Résultats observations'!$A48 ) * (DATABASE!$AW$14:$AW$968= J$4))-ROW(DATABASE!$AV$14)+1,J$5)),"")</f>
        <v/>
      </c>
      <c r="K48" s="116">
        <f t="array" ref="K48">IFERROR(_xlfn.SINGLE(INDEX(DATABASE!$AV$14:$BC$968,SUMPRODUCT((ROW(DATABASE!$AV$14:$AV$968)) * (DATABASE!$AV$14:BD$968='Résultats observations'!$A48 ) * (DATABASE!$AW$14:$AW$968= K$4))-ROW(DATABASE!$AV$14)+1,K$5)),"")</f>
        <v/>
      </c>
      <c r="L48" s="116">
        <f t="array" ref="L48">IFERROR(_xlfn.SINGLE(INDEX(DATABASE!$AV$14:$BC$968,SUMPRODUCT((ROW(DATABASE!$AV$14:$AV$968)) * (DATABASE!$AV$14:BE$968='Résultats observations'!$A48 ) * (DATABASE!$AW$14:$AW$968= L$4))-ROW(DATABASE!$AV$14)+1,L$5)),"")</f>
        <v/>
      </c>
      <c r="M48" s="116">
        <f t="array" ref="M48">IFERROR(_xlfn.SINGLE(INDEX(DATABASE!$AV$14:$BC$968,SUMPRODUCT((ROW(DATABASE!$AV$14:$AV$968)) * (DATABASE!$AV$14:BF$968='Résultats observations'!$A48 ) * (DATABASE!$AW$14:$AW$968= M$4))-ROW(DATABASE!$AV$14)+1,M$5)),"")</f>
        <v/>
      </c>
      <c r="N48" s="116">
        <f t="array" ref="N48">IFERROR(_xlfn.SINGLE(INDEX(DATABASE!$AV$14:$BC$968,SUMPRODUCT((ROW(DATABASE!$AV$14:$AV$968)) * (DATABASE!$AV$14:BG$968='Résultats observations'!$A48 ) * (DATABASE!$AW$14:$AW$968= N$4))-ROW(DATABASE!$AV$14)+1,N$5)),"")</f>
        <v/>
      </c>
      <c r="O48" s="116">
        <f t="array" ref="O48">IFERROR(_xlfn.SINGLE(INDEX(DATABASE!$AV$14:$BC$968,SUMPRODUCT((ROW(DATABASE!$AV$14:$AV$968)) * (DATABASE!$AV$14:BH$968='Résultats observations'!$A48 ) * (DATABASE!$AW$14:$AW$968= O$4))-ROW(DATABASE!$AV$14)+1,O$5)),"")</f>
        <v/>
      </c>
      <c r="P48" s="116">
        <f t="array" ref="P48">IFERROR(_xlfn.SINGLE(INDEX(DATABASE!$AV$14:$BC$968,SUMPRODUCT((ROW(DATABASE!$AV$14:$AV$968)) * (DATABASE!$AV$14:BI$968='Résultats observations'!$A48 ) * (DATABASE!$AW$14:$AW$968= P$4))-ROW(DATABASE!$AV$14)+1,P$5)),"")</f>
        <v/>
      </c>
      <c r="Q48" s="116">
        <f t="array" ref="Q48">IFERROR(_xlfn.SINGLE(INDEX(DATABASE!$AV$14:$BC$968,SUMPRODUCT((ROW(DATABASE!$AV$14:$AV$968)) * (DATABASE!$AV$14:BJ$968='Résultats observations'!$A48 ) * (DATABASE!$AW$14:$AW$968= Q$4))-ROW(DATABASE!$AV$14)+1,Q$5)),"")</f>
        <v/>
      </c>
      <c r="R48" s="116">
        <f t="array" ref="R48">IFERROR(_xlfn.SINGLE(INDEX(DATABASE!$AV$14:$BC$968,SUMPRODUCT((ROW(DATABASE!$AV$14:$AV$968)) * (DATABASE!$AV$14:BK$968='Résultats observations'!$A48 ) * (DATABASE!$AW$14:$AW$968= R$4))-ROW(DATABASE!$AV$14)+1,R$5)),"")</f>
        <v/>
      </c>
      <c r="S48" s="116">
        <f t="array" ref="S48">IFERROR(_xlfn.SINGLE(INDEX(DATABASE!$AV$14:$BC$968,SUMPRODUCT((ROW(DATABASE!$AV$14:$AV$968)) * (DATABASE!$AV$14:BL$968='Résultats observations'!$A48 ) * (DATABASE!$AW$14:$AW$968= S$4))-ROW(DATABASE!$AV$14)+1,S$5)),"")</f>
        <v/>
      </c>
      <c r="T48" s="116">
        <f t="array" ref="T48">IFERROR(_xlfn.SINGLE(INDEX(DATABASE!$AV$14:$BC$968,SUMPRODUCT((ROW(DATABASE!$AV$14:$AV$968)) * (DATABASE!$AV$14:BM$968='Résultats observations'!$A48 ) * (DATABASE!$AW$14:$AW$968= T$4))-ROW(DATABASE!$AV$14)+1,T$5)),"")</f>
        <v/>
      </c>
      <c r="U48" s="116">
        <f t="array" ref="U48">IFERROR(_xlfn.SINGLE(INDEX(DATABASE!$AV$14:$BC$968,SUMPRODUCT((ROW(DATABASE!$AV$14:$AV$968)) * (DATABASE!$AV$14:BN$968='Résultats observations'!$A48 ) * (DATABASE!$AW$14:$AW$968= U$4))-ROW(DATABASE!$AV$14)+1,U$5)),"")</f>
        <v/>
      </c>
      <c r="V48" s="116">
        <f t="array" ref="V48">IFERROR(_xlfn.SINGLE(INDEX(DATABASE!$AV$14:$BC$968,SUMPRODUCT((ROW(DATABASE!$AV$14:$AV$968)) * (DATABASE!$AV$14:BO$968='Résultats observations'!$A48 ) * (DATABASE!$AW$14:$AW$968= V$4))-ROW(DATABASE!$AV$14)+1,V$5)),"")</f>
        <v/>
      </c>
      <c r="W48" s="116">
        <f t="array" ref="W48">IFERROR(_xlfn.SINGLE(INDEX(DATABASE!$AV$14:$BC$968,SUMPRODUCT((ROW(DATABASE!$AV$14:$AV$968)) * (DATABASE!$AV$14:BP$968='Résultats observations'!$A48 ) * (DATABASE!$AW$14:$AW$968= W$4))-ROW(DATABASE!$AV$14)+1,W$5)),"")</f>
        <v/>
      </c>
      <c r="X48" s="116">
        <f t="array" ref="X48">IFERROR(_xlfn.SINGLE(INDEX(DATABASE!$AV$14:$BC$968,SUMPRODUCT((ROW(DATABASE!$AV$14:$AV$968)) * (DATABASE!$AV$14:BQ$968='Résultats observations'!$A48 ) * (DATABASE!$AW$14:$AW$968= X$4))-ROW(DATABASE!$AV$14)+1,X$5)),"")</f>
        <v/>
      </c>
      <c r="Y48" s="116">
        <f t="array" ref="Y48">IFERROR(_xlfn.SINGLE(INDEX(DATABASE!$AV$14:$BC$968,SUMPRODUCT((ROW(DATABASE!$AV$14:$AV$968)) * (DATABASE!$AV$14:BR$968='Résultats observations'!$A48 ) * (DATABASE!$AW$14:$AW$968= Y$4))-ROW(DATABASE!$AV$14)+1,Y$5)),"")</f>
        <v/>
      </c>
      <c r="Z48" s="116">
        <f t="array" ref="Z48">IFERROR(_xlfn.SINGLE(INDEX(DATABASE!$AV$14:$BC$968,SUMPRODUCT((ROW(DATABASE!$AV$14:$AV$968)) * (DATABASE!$AV$14:BS$968='Résultats observations'!$A48 ) * (DATABASE!$AW$14:$AW$968= Z$4))-ROW(DATABASE!$AV$14)+1,Z$5)),"")</f>
        <v/>
      </c>
      <c r="AA48" s="116">
        <f t="array" ref="AA48">IFERROR(_xlfn.SINGLE(INDEX(DATABASE!$AV$14:$BC$968,SUMPRODUCT((ROW(DATABASE!$AV$14:$AV$968)) * (DATABASE!$AV$14:BT$968='Résultats observations'!$A48 ) * (DATABASE!$AW$14:$AW$968= AA$4))-ROW(DATABASE!$AV$14)+1,AA$5)),"")</f>
        <v/>
      </c>
      <c r="AB48" s="116">
        <f t="array" ref="AB48">IFERROR(_xlfn.SINGLE(INDEX(DATABASE!$AV$14:$BC$968,SUMPRODUCT((ROW(DATABASE!$AV$14:$AV$968)) * (DATABASE!$AV$14:BU$968='Résultats observations'!$A48 ) * (DATABASE!$AW$14:$AW$968= AB$4))-ROW(DATABASE!$AV$14)+1,AB$5)),"")</f>
        <v/>
      </c>
      <c r="AC48" s="116">
        <f t="array" ref="AC48">IFERROR(_xlfn.SINGLE(INDEX(DATABASE!$AV$14:$BC$968,SUMPRODUCT((ROW(DATABASE!$AV$14:$AV$968)) * (DATABASE!$AV$14:BV$968='Résultats observations'!$A48 ) * (DATABASE!$AW$14:$AW$968= AC$4))-ROW(DATABASE!$AV$14)+1,AC$5)),"")</f>
        <v/>
      </c>
      <c r="AD48" s="116">
        <f t="array" ref="AD48">IFERROR(_xlfn.SINGLE(INDEX(DATABASE!$AV$14:$BC$968,SUMPRODUCT((ROW(DATABASE!$AV$14:$AV$968)) * (DATABASE!$AV$14:BW$968='Résultats observations'!$A48 ) * (DATABASE!$AW$14:$AW$968= AD$4))-ROW(DATABASE!$AV$14)+1,AD$5)),"")</f>
        <v/>
      </c>
      <c r="AE48" s="116">
        <f t="array" ref="AE48">IFERROR(_xlfn.SINGLE(INDEX(DATABASE!$AV$14:$BC$968,SUMPRODUCT((ROW(DATABASE!$AV$14:$AV$968)) * (DATABASE!$AV$14:BX$968='Résultats observations'!$A48 ) * (DATABASE!$AW$14:$AW$968= AE$4))-ROW(DATABASE!$AV$14)+1,AE$5)),"")</f>
        <v/>
      </c>
      <c r="AF48" s="116">
        <f t="array" ref="AF48">IFERROR(_xlfn.SINGLE(INDEX(DATABASE!$AV$14:$BC$968,SUMPRODUCT((ROW(DATABASE!$AV$14:$AV$968)) * (DATABASE!$AV$14:BY$968='Résultats observations'!$A48 ) * (DATABASE!$AW$14:$AW$968= AF$4))-ROW(DATABASE!$AV$14)+1,AF$5)),"")</f>
        <v/>
      </c>
      <c r="AG48" s="116">
        <f t="array" ref="AG48">IFERROR(_xlfn.SINGLE(INDEX(DATABASE!$AV$14:$BC$968,SUMPRODUCT((ROW(DATABASE!$AV$14:$AV$968)) * (DATABASE!$AV$14:BZ$968='Résultats observations'!$A48 ) * (DATABASE!$AW$14:$AW$968= AG$4))-ROW(DATABASE!$AV$14)+1,AG$5)),"")</f>
        <v/>
      </c>
      <c r="AH48" s="116">
        <f t="array" ref="AH48">IFERROR(_xlfn.SINGLE(INDEX(DATABASE!$AV$14:$BC$968,SUMPRODUCT((ROW(DATABASE!$AV$14:$AV$968)) * (DATABASE!$AV$14:CA$968='Résultats observations'!$A48 ) * (DATABASE!$AW$14:$AW$968= AH$4))-ROW(DATABASE!$AV$14)+1,AH$5)),"")</f>
        <v/>
      </c>
      <c r="AI48" s="116">
        <f t="array" ref="AI48">IFERROR(_xlfn.SINGLE(INDEX(DATABASE!$AV$14:$BC$968,SUMPRODUCT((ROW(DATABASE!$AV$14:$AV$968)) * (DATABASE!$AV$14:CB$968='Résultats observations'!$A48 ) * (DATABASE!$AW$14:$AW$968= AI$4))-ROW(DATABASE!$AV$14)+1,AI$5)),"")</f>
        <v/>
      </c>
      <c r="AJ48" s="116">
        <f t="array" ref="AJ48">IFERROR(_xlfn.SINGLE(INDEX(DATABASE!$AV$14:$BC$968,SUMPRODUCT((ROW(DATABASE!$AV$14:$AV$968)) * (DATABASE!$AV$14:CC$968='Résultats observations'!$A48 ) * (DATABASE!$AW$14:$AW$968= AJ$4))-ROW(DATABASE!$AV$14)+1,AJ$5)),"")</f>
        <v/>
      </c>
      <c r="AK48" s="116">
        <f t="array" ref="AK48">IFERROR(_xlfn.SINGLE(INDEX(DATABASE!$AV$14:$BC$968,SUMPRODUCT((ROW(DATABASE!$AV$14:$AV$968)) * (DATABASE!$AV$14:CD$968='Résultats observations'!$A48 ) * (DATABASE!$AW$14:$AW$968= AK$4))-ROW(DATABASE!$AV$14)+1,AK$5)),"")</f>
        <v/>
      </c>
      <c r="AL48" s="116">
        <f t="array" ref="AL48">IFERROR(_xlfn.SINGLE(INDEX(DATABASE!$AV$14:$BC$968,SUMPRODUCT((ROW(DATABASE!$AV$14:$AV$968)) * (DATABASE!$AV$14:CE$968='Résultats observations'!$A48 ) * (DATABASE!$AW$14:$AW$968= AL$4))-ROW(DATABASE!$AV$14)+1,AL$5)),"")</f>
        <v/>
      </c>
      <c r="AM48" s="116">
        <f t="array" ref="AM48">IFERROR(_xlfn.SINGLE(INDEX(DATABASE!$AV$14:$BC$968,SUMPRODUCT((ROW(DATABASE!$AV$14:$AV$968)) * (DATABASE!$AV$14:CF$968='Résultats observations'!$A48 ) * (DATABASE!$AW$14:$AW$968= AM$4))-ROW(DATABASE!$AV$14)+1,AM$5)),"")</f>
        <v/>
      </c>
      <c r="AN48" s="116">
        <f t="array" ref="AN48">IFERROR(_xlfn.SINGLE(INDEX(DATABASE!$AV$14:$BC$968,SUMPRODUCT((ROW(DATABASE!$AV$14:$AV$968)) * (DATABASE!$AV$14:CG$968='Résultats observations'!$A48 ) * (DATABASE!$AW$14:$AW$968= AN$4))-ROW(DATABASE!$AV$14)+1,AN$5)),"")</f>
        <v/>
      </c>
      <c r="AO48" s="116">
        <f t="array" ref="AO48">IFERROR(_xlfn.SINGLE(INDEX(DATABASE!$AV$14:$BC$968,SUMPRODUCT((ROW(DATABASE!$AV$14:$AV$968)) * (DATABASE!$AV$14:CH$968='Résultats observations'!$A48 ) * (DATABASE!$AW$14:$AW$968= AO$4))-ROW(DATABASE!$AV$14)+1,AO$5)),"")</f>
        <v/>
      </c>
      <c r="AP48" s="116">
        <f t="array" ref="AP48">IFERROR(_xlfn.SINGLE(INDEX(DATABASE!$AV$14:$BC$968,SUMPRODUCT((ROW(DATABASE!$AV$14:$AV$968)) * (DATABASE!$AV$14:CI$968='Résultats observations'!$A48 ) * (DATABASE!$AW$14:$AW$968= AP$4))-ROW(DATABASE!$AV$14)+1,AP$5)),"")</f>
        <v/>
      </c>
      <c r="AQ48" s="116">
        <f t="array" ref="AQ48">IFERROR(_xlfn.SINGLE(INDEX(DATABASE!$AV$14:$BC$968,SUMPRODUCT((ROW(DATABASE!$AV$14:$AV$968)) * (DATABASE!$AV$14:CJ$968='Résultats observations'!$A48 ) * (DATABASE!$AW$14:$AW$968= AQ$4))-ROW(DATABASE!$AV$14)+1,AQ$5)),"")</f>
        <v/>
      </c>
      <c r="AR48" s="116">
        <f t="array" ref="AR48">IFERROR(_xlfn.SINGLE(INDEX(DATABASE!$AV$14:$BC$968,SUMPRODUCT((ROW(DATABASE!$AV$14:$AV$968)) * (DATABASE!$AV$14:CK$968='Résultats observations'!$A48 ) * (DATABASE!$AW$14:$AW$968= AR$4))-ROW(DATABASE!$AV$14)+1,AR$5)),"")</f>
        <v/>
      </c>
      <c r="AS48" s="116">
        <f t="array" ref="AS48">IFERROR(_xlfn.SINGLE(INDEX(DATABASE!$AV$14:$BC$968,SUMPRODUCT((ROW(DATABASE!$AV$14:$AV$968)) * (DATABASE!$AV$14:CL$968='Résultats observations'!$A48 ) * (DATABASE!$AW$14:$AW$968= AS$4))-ROW(DATABASE!$AV$14)+1,AS$5)),"")</f>
        <v/>
      </c>
      <c r="AT48" s="116">
        <f t="array" ref="AT48">IFERROR(_xlfn.SINGLE(INDEX(DATABASE!$AV$14:$BC$968,SUMPRODUCT((ROW(DATABASE!$AV$14:$AV$968)) * (DATABASE!$AV$14:CM$968='Résultats observations'!$A48 ) * (DATABASE!$AW$14:$AW$968= AT$4))-ROW(DATABASE!$AV$14)+1,AT$5)),"")</f>
        <v/>
      </c>
      <c r="AU48" s="116">
        <f t="array" ref="AU48">IFERROR(_xlfn.SINGLE(INDEX(DATABASE!$AV$14:$BC$968,SUMPRODUCT((ROW(DATABASE!$AV$14:$AV$968)) * (DATABASE!$AV$14:CN$968='Résultats observations'!$A48 ) * (DATABASE!$AW$14:$AW$968= AU$4))-ROW(DATABASE!$AV$14)+1,AU$5)),"")</f>
        <v/>
      </c>
      <c r="AV48" s="116">
        <f t="array" ref="AV48">IFERROR(_xlfn.SINGLE(INDEX(DATABASE!$AV$14:$BC$968,SUMPRODUCT((ROW(DATABASE!$AV$14:$AV$968)) * (DATABASE!$AV$14:CO$968='Résultats observations'!$A48 ) * (DATABASE!$AW$14:$AW$968= AV$4))-ROW(DATABASE!$AV$14)+1,AV$5)),"")</f>
        <v/>
      </c>
      <c r="AW48" s="116">
        <f t="array" ref="AW48">IFERROR(_xlfn.SINGLE(INDEX(DATABASE!$AV$14:$BC$968,SUMPRODUCT((ROW(DATABASE!$AV$14:$AV$968)) * (DATABASE!$AV$14:CP$968='Résultats observations'!$A48 ) * (DATABASE!$AW$14:$AW$968= AW$4))-ROW(DATABASE!$AV$14)+1,AW$5)),"")</f>
        <v/>
      </c>
      <c r="AX48" s="116">
        <f t="array" ref="AX48">IFERROR(_xlfn.SINGLE(INDEX(DATABASE!$AV$14:$BC$968,SUMPRODUCT((ROW(DATABASE!$AV$14:$AV$968)) * (DATABASE!$AV$14:CQ$968='Résultats observations'!$A48 ) * (DATABASE!$AW$14:$AW$968= AX$4))-ROW(DATABASE!$AV$14)+1,AX$5)),"")</f>
        <v/>
      </c>
      <c r="AY48" s="116">
        <f t="array" ref="AY48">IFERROR(_xlfn.SINGLE(INDEX(DATABASE!$AV$14:$BC$968,SUMPRODUCT((ROW(DATABASE!$AV$14:$AV$968)) * (DATABASE!$AV$14:CR$968='Résultats observations'!$A48 ) * (DATABASE!$AW$14:$AW$968= AY$4))-ROW(DATABASE!$AV$14)+1,AY$5)),"")</f>
        <v/>
      </c>
      <c r="AZ48" s="116">
        <f t="array" ref="AZ48">IFERROR(_xlfn.SINGLE(INDEX(DATABASE!$AV$14:$BC$968,SUMPRODUCT((ROW(DATABASE!$AV$14:$AV$968)) * (DATABASE!$AV$14:CS$968='Résultats observations'!$A48 ) * (DATABASE!$AW$14:$AW$968= AZ$4))-ROW(DATABASE!$AV$14)+1,AZ$5)),"")</f>
        <v/>
      </c>
      <c r="BA48" s="116">
        <f t="array" ref="BA48">IFERROR(_xlfn.SINGLE(INDEX(DATABASE!$AV$14:$BC$968,SUMPRODUCT((ROW(DATABASE!$AV$14:$AV$968)) * (DATABASE!$AV$14:CT$968='Résultats observations'!$A48 ) * (DATABASE!$AW$14:$AW$968= BA$4))-ROW(DATABASE!$AV$14)+1,BA$5)),"")</f>
        <v/>
      </c>
      <c r="BB48" s="116">
        <f t="array" ref="BB48">IFERROR(_xlfn.SINGLE(INDEX(DATABASE!$AV$14:$BC$968,SUMPRODUCT((ROW(DATABASE!$AV$14:$AV$968)) * (DATABASE!$AV$14:CU$968='Résultats observations'!$A48 ) * (DATABASE!$AW$14:$AW$968= BB$4))-ROW(DATABASE!$AV$14)+1,BB$5)),"")</f>
        <v/>
      </c>
      <c r="BC48" s="116">
        <f t="array" ref="BC48">IFERROR(_xlfn.SINGLE(INDEX(DATABASE!$AV$14:$BC$968,SUMPRODUCT((ROW(DATABASE!$AV$14:$AV$968)) * (DATABASE!$AV$14:CV$968='Résultats observations'!$A48 ) * (DATABASE!$AW$14:$AW$968= BC$4))-ROW(DATABASE!$AV$14)+1,BC$5)),"")</f>
        <v/>
      </c>
      <c r="BD48" s="116">
        <f t="array" ref="BD48">IFERROR(_xlfn.SINGLE(INDEX(DATABASE!$AV$14:$BC$968,SUMPRODUCT((ROW(DATABASE!$AV$14:$AV$968)) * (DATABASE!$AV$14:CW$968='Résultats observations'!$A48 ) * (DATABASE!$AW$14:$AW$968= BD$4))-ROW(DATABASE!$AV$14)+1,BD$5)),"")</f>
        <v/>
      </c>
      <c r="BE48" s="116">
        <f t="array" ref="BE48">IFERROR(_xlfn.SINGLE(INDEX(DATABASE!$AV$14:$BC$968,SUMPRODUCT((ROW(DATABASE!$AV$14:$AV$968)) * (DATABASE!$AV$14:CX$968='Résultats observations'!$A48 ) * (DATABASE!$AW$14:$AW$968= BE$4))-ROW(DATABASE!$AV$14)+1,BE$5)),"")</f>
        <v/>
      </c>
      <c r="BF48" s="116">
        <f t="array" ref="BF48">IFERROR(_xlfn.SINGLE(INDEX(DATABASE!$AV$14:$BC$968,SUMPRODUCT((ROW(DATABASE!$AV$14:$AV$968)) * (DATABASE!$AV$14:CY$968='Résultats observations'!$A48 ) * (DATABASE!$AW$14:$AW$968= BF$4))-ROW(DATABASE!$AV$14)+1,BF$5)),"")</f>
        <v/>
      </c>
      <c r="BG48" s="116">
        <f t="array" ref="BG48">IFERROR(_xlfn.SINGLE(INDEX(DATABASE!$AV$14:$BC$968,SUMPRODUCT((ROW(DATABASE!$AV$14:$AV$968)) * (DATABASE!$AV$14:CZ$968='Résultats observations'!$A48 ) * (DATABASE!$AW$14:$AW$968= BG$4))-ROW(DATABASE!$AV$14)+1,BG$5)),"")</f>
        <v/>
      </c>
      <c r="BH48" s="116">
        <f t="array" ref="BH48">IFERROR(_xlfn.SINGLE(INDEX(DATABASE!$AV$14:$BC$968,SUMPRODUCT((ROW(DATABASE!$AV$14:$AV$968)) * (DATABASE!$AV$14:DA$968='Résultats observations'!$A48 ) * (DATABASE!$AW$14:$AW$968= BH$4))-ROW(DATABASE!$AV$14)+1,BH$5)),"")</f>
        <v/>
      </c>
      <c r="BI48" s="116">
        <f t="array" ref="BI48">IFERROR(_xlfn.SINGLE(INDEX(DATABASE!$AV$14:$BC$968,SUMPRODUCT((ROW(DATABASE!$AV$14:$AV$968)) * (DATABASE!$AV$14:DB$968='Résultats observations'!$A48 ) * (DATABASE!$AW$14:$AW$968= BI$4))-ROW(DATABASE!$AV$14)+1,BI$5)),"")</f>
        <v/>
      </c>
      <c r="BJ48" s="116">
        <f t="array" ref="BJ48">IFERROR(_xlfn.SINGLE(INDEX(DATABASE!$AV$14:$BC$968,SUMPRODUCT((ROW(DATABASE!$AV$14:$AV$968)) * (DATABASE!$AV$14:DC$968='Résultats observations'!$A48 ) * (DATABASE!$AW$14:$AW$968= BJ$4))-ROW(DATABASE!$AV$14)+1,BJ$5)),"")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(DATABASE!AV$14:$AV$968='Résultats observations'!$A49 ) * (DATABASE!$AW$14:$AW$968= C$4))-ROW(DATABASE!$AV$14)+1,C$5)),"")</f>
        <v/>
      </c>
      <c r="D49" s="116">
        <f t="array" ref="D49">IFERROR(_xlfn.SINGLE(INDEX(DATABASE!$AV$14:$BC$968,SUMPRODUCT((ROW(DATABASE!$AV$14:$AV$968)) * (DATABASE!$AV$14:AW$968='Résultats observations'!$A49 ) * (DATABASE!$AW$14:$AW$968= D$4))-ROW(DATABASE!$AV$14)+1,D$5)),"")</f>
        <v/>
      </c>
      <c r="E49" s="116">
        <f t="array" ref="E49">IFERROR(_xlfn.SINGLE(INDEX(DATABASE!$AV$14:$BC$968,SUMPRODUCT((ROW(DATABASE!$AV$14:$AV$968)) * (DATABASE!$AV$14:AX$968='Résultats observations'!$A49 ) * (DATABASE!$AW$14:$AW$968= E$4))-ROW(DATABASE!$AV$14)+1,E$5)),"")</f>
        <v/>
      </c>
      <c r="F49" s="116">
        <f t="array" ref="F49">IFERROR(_xlfn.SINGLE(INDEX(DATABASE!$AV$14:$BC$968,SUMPRODUCT((ROW(DATABASE!$AV$14:$AV$968)) * (DATABASE!$AV$14:AY$968='Résultats observations'!$A49 ) * (DATABASE!$AW$14:$AW$968= F$4))-ROW(DATABASE!$AV$14)+1,F$5)),"")</f>
        <v/>
      </c>
      <c r="G49" s="116">
        <f t="array" ref="G49">IFERROR(_xlfn.SINGLE(INDEX(DATABASE!$AV$14:$BC$968,SUMPRODUCT((ROW(DATABASE!$AV$14:$AV$968)) * (DATABASE!$AV$14:AZ$968='Résultats observations'!$A49 ) * (DATABASE!$AW$14:$AW$968= G$4))-ROW(DATABASE!$AV$14)+1,G$5)),"")</f>
        <v/>
      </c>
      <c r="H49" s="116">
        <f t="array" ref="H49">IFERROR(_xlfn.SINGLE(INDEX(DATABASE!$AV$14:$BC$968,SUMPRODUCT((ROW(DATABASE!$AV$14:$AV$968)) * (DATABASE!$AV$14:BA$968='Résultats observations'!$A49 ) * (DATABASE!$AW$14:$AW$968= H$4))-ROW(DATABASE!$AV$14)+1,H$5)),"")</f>
        <v/>
      </c>
      <c r="I49" s="116">
        <f t="array" ref="I49">IFERROR(_xlfn.SINGLE(INDEX(DATABASE!$AV$14:$BC$968,SUMPRODUCT((ROW(DATABASE!$AV$14:$AV$968)) * (DATABASE!$AV$14:BB$968='Résultats observations'!$A49 ) * (DATABASE!$AW$14:$AW$968= I$4))-ROW(DATABASE!$AV$14)+1,I$5)),"")</f>
        <v/>
      </c>
      <c r="J49" s="116">
        <f t="array" ref="J49">IFERROR(_xlfn.SINGLE(INDEX(DATABASE!$AV$14:$BC$968,SUMPRODUCT((ROW(DATABASE!$AV$14:$AV$968)) * (DATABASE!$AV$14:BC$968='Résultats observations'!$A49 ) * (DATABASE!$AW$14:$AW$968= J$4))-ROW(DATABASE!$AV$14)+1,J$5)),"")</f>
        <v/>
      </c>
      <c r="K49" s="116">
        <f t="array" ref="K49">IFERROR(_xlfn.SINGLE(INDEX(DATABASE!$AV$14:$BC$968,SUMPRODUCT((ROW(DATABASE!$AV$14:$AV$968)) * (DATABASE!$AV$14:BD$968='Résultats observations'!$A49 ) * (DATABASE!$AW$14:$AW$968= K$4))-ROW(DATABASE!$AV$14)+1,K$5)),"")</f>
        <v/>
      </c>
      <c r="L49" s="116">
        <f t="array" ref="L49">IFERROR(_xlfn.SINGLE(INDEX(DATABASE!$AV$14:$BC$968,SUMPRODUCT((ROW(DATABASE!$AV$14:$AV$968)) * (DATABASE!$AV$14:BE$968='Résultats observations'!$A49 ) * (DATABASE!$AW$14:$AW$968= L$4))-ROW(DATABASE!$AV$14)+1,L$5)),"")</f>
        <v/>
      </c>
      <c r="M49" s="116">
        <f t="array" ref="M49">IFERROR(_xlfn.SINGLE(INDEX(DATABASE!$AV$14:$BC$968,SUMPRODUCT((ROW(DATABASE!$AV$14:$AV$968)) * (DATABASE!$AV$14:BF$968='Résultats observations'!$A49 ) * (DATABASE!$AW$14:$AW$968= M$4))-ROW(DATABASE!$AV$14)+1,M$5)),"")</f>
        <v/>
      </c>
      <c r="N49" s="116">
        <f t="array" ref="N49">IFERROR(_xlfn.SINGLE(INDEX(DATABASE!$AV$14:$BC$968,SUMPRODUCT((ROW(DATABASE!$AV$14:$AV$968)) * (DATABASE!$AV$14:BG$968='Résultats observations'!$A49 ) * (DATABASE!$AW$14:$AW$968= N$4))-ROW(DATABASE!$AV$14)+1,N$5)),"")</f>
        <v/>
      </c>
      <c r="O49" s="116">
        <f t="array" ref="O49">IFERROR(_xlfn.SINGLE(INDEX(DATABASE!$AV$14:$BC$968,SUMPRODUCT((ROW(DATABASE!$AV$14:$AV$968)) * (DATABASE!$AV$14:BH$968='Résultats observations'!$A49 ) * (DATABASE!$AW$14:$AW$968= O$4))-ROW(DATABASE!$AV$14)+1,O$5)),"")</f>
        <v/>
      </c>
      <c r="P49" s="116">
        <f t="array" ref="P49">IFERROR(_xlfn.SINGLE(INDEX(DATABASE!$AV$14:$BC$968,SUMPRODUCT((ROW(DATABASE!$AV$14:$AV$968)) * (DATABASE!$AV$14:BI$968='Résultats observations'!$A49 ) * (DATABASE!$AW$14:$AW$968= P$4))-ROW(DATABASE!$AV$14)+1,P$5)),"")</f>
        <v/>
      </c>
      <c r="Q49" s="116">
        <f t="array" ref="Q49">IFERROR(_xlfn.SINGLE(INDEX(DATABASE!$AV$14:$BC$968,SUMPRODUCT((ROW(DATABASE!$AV$14:$AV$968)) * (DATABASE!$AV$14:BJ$968='Résultats observations'!$A49 ) * (DATABASE!$AW$14:$AW$968= Q$4))-ROW(DATABASE!$AV$14)+1,Q$5)),"")</f>
        <v/>
      </c>
      <c r="R49" s="116">
        <f t="array" ref="R49">IFERROR(_xlfn.SINGLE(INDEX(DATABASE!$AV$14:$BC$968,SUMPRODUCT((ROW(DATABASE!$AV$14:$AV$968)) * (DATABASE!$AV$14:BK$968='Résultats observations'!$A49 ) * (DATABASE!$AW$14:$AW$968= R$4))-ROW(DATABASE!$AV$14)+1,R$5)),"")</f>
        <v/>
      </c>
      <c r="S49" s="116">
        <f t="array" ref="S49">IFERROR(_xlfn.SINGLE(INDEX(DATABASE!$AV$14:$BC$968,SUMPRODUCT((ROW(DATABASE!$AV$14:$AV$968)) * (DATABASE!$AV$14:BL$968='Résultats observations'!$A49 ) * (DATABASE!$AW$14:$AW$968= S$4))-ROW(DATABASE!$AV$14)+1,S$5)),"")</f>
        <v/>
      </c>
      <c r="T49" s="116">
        <f t="array" ref="T49">IFERROR(_xlfn.SINGLE(INDEX(DATABASE!$AV$14:$BC$968,SUMPRODUCT((ROW(DATABASE!$AV$14:$AV$968)) * (DATABASE!$AV$14:BM$968='Résultats observations'!$A49 ) * (DATABASE!$AW$14:$AW$968= T$4))-ROW(DATABASE!$AV$14)+1,T$5)),"")</f>
        <v/>
      </c>
      <c r="U49" s="116">
        <f t="array" ref="U49">IFERROR(_xlfn.SINGLE(INDEX(DATABASE!$AV$14:$BC$968,SUMPRODUCT((ROW(DATABASE!$AV$14:$AV$968)) * (DATABASE!$AV$14:BN$968='Résultats observations'!$A49 ) * (DATABASE!$AW$14:$AW$968= U$4))-ROW(DATABASE!$AV$14)+1,U$5)),"")</f>
        <v/>
      </c>
      <c r="V49" s="116">
        <f t="array" ref="V49">IFERROR(_xlfn.SINGLE(INDEX(DATABASE!$AV$14:$BC$968,SUMPRODUCT((ROW(DATABASE!$AV$14:$AV$968)) * (DATABASE!$AV$14:BO$968='Résultats observations'!$A49 ) * (DATABASE!$AW$14:$AW$968= V$4))-ROW(DATABASE!$AV$14)+1,V$5)),"")</f>
        <v/>
      </c>
      <c r="W49" s="116">
        <f t="array" ref="W49">IFERROR(_xlfn.SINGLE(INDEX(DATABASE!$AV$14:$BC$968,SUMPRODUCT((ROW(DATABASE!$AV$14:$AV$968)) * (DATABASE!$AV$14:BP$968='Résultats observations'!$A49 ) * (DATABASE!$AW$14:$AW$968= W$4))-ROW(DATABASE!$AV$14)+1,W$5)),"")</f>
        <v/>
      </c>
      <c r="X49" s="116">
        <f t="array" ref="X49">IFERROR(_xlfn.SINGLE(INDEX(DATABASE!$AV$14:$BC$968,SUMPRODUCT((ROW(DATABASE!$AV$14:$AV$968)) * (DATABASE!$AV$14:BQ$968='Résultats observations'!$A49 ) * (DATABASE!$AW$14:$AW$968= X$4))-ROW(DATABASE!$AV$14)+1,X$5)),"")</f>
        <v/>
      </c>
      <c r="Y49" s="116">
        <f t="array" ref="Y49">IFERROR(_xlfn.SINGLE(INDEX(DATABASE!$AV$14:$BC$968,SUMPRODUCT((ROW(DATABASE!$AV$14:$AV$968)) * (DATABASE!$AV$14:BR$968='Résultats observations'!$A49 ) * (DATABASE!$AW$14:$AW$968= Y$4))-ROW(DATABASE!$AV$14)+1,Y$5)),"")</f>
        <v/>
      </c>
      <c r="Z49" s="116">
        <f t="array" ref="Z49">IFERROR(_xlfn.SINGLE(INDEX(DATABASE!$AV$14:$BC$968,SUMPRODUCT((ROW(DATABASE!$AV$14:$AV$968)) * (DATABASE!$AV$14:BS$968='Résultats observations'!$A49 )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(DATABASE!$AV$14:BT$968='Résultats observations'!$A49 )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(DATABASE!$AV$14:BU$968='Résultats observations'!$A49 )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(DATABASE!$AV$14:BV$968='Résultats observations'!$A49 )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(DATABASE!$AV$14:BW$968='Résultats observations'!$A49 )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(DATABASE!$AV$14:BX$968='Résultats observations'!$A49 )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(DATABASE!$AV$14:BY$968='Résultats observations'!$A49 )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(DATABASE!$AV$14:BZ$968='Résultats observations'!$A49 )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(DATABASE!$AV$14:CA$968='Résultats observations'!$A49 )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(DATABASE!$AV$14:CB$968='Résultats observations'!$A49 )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(DATABASE!$AV$14:CC$968='Résultats observations'!$A49 )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(DATABASE!$AV$14:CD$968='Résultats observations'!$A49 )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(DATABASE!$AV$14:CE$968='Résultats observations'!$A49 )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(DATABASE!$AV$14:CF$968='Résultats observations'!$A49 )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(DATABASE!$AV$14:CG$968='Résultats observations'!$A49 )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(DATABASE!$AV$14:CH$968='Résultats observations'!$A49 )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(DATABASE!$AV$14:CI$968='Résultats observations'!$A49 )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(DATABASE!$AV$14:CJ$968='Résultats observations'!$A49 )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(DATABASE!$AV$14:CK$968='Résultats observations'!$A49 )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(DATABASE!$AV$14:CL$968='Résultats observations'!$A49 )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(DATABASE!$AV$14:CM$968='Résultats observations'!$A49 )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(DATABASE!$AV$14:CN$968='Résultats observations'!$A49 )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(DATABASE!$AV$14:CO$968='Résultats observations'!$A49 )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(DATABASE!$AV$14:CP$968='Résultats observations'!$A49 )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(DATABASE!$AV$14:CQ$968='Résultats observations'!$A49 )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(DATABASE!$AV$14:CR$968='Résultats observations'!$A49 )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(DATABASE!$AV$14:CS$968='Résultats observations'!$A49 )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(DATABASE!$AV$14:CT$968='Résultats observations'!$A49 )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(DATABASE!$AV$14:CU$968='Résultats observations'!$A49 )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(DATABASE!$AV$14:CV$968='Résultats observations'!$A49 )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(DATABASE!$AV$14:CW$968='Résultats observations'!$A49 )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(DATABASE!$AV$14:CX$968='Résultats observations'!$A49 )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(DATABASE!$AV$14:CY$968='Résultats observations'!$A49 )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(DATABASE!$AV$14:CZ$968='Résultats observations'!$A49 )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(DATABASE!$AV$14:DA$968='Résultats observations'!$A49 )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(DATABASE!$AV$14:DB$968='Résultats observations'!$A49 )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(DATABASE!$AV$14:DC$968='Résultats observations'!$A49 )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(DATABASE!AV$14:$AV$968='Résultats observations'!$A50 ) * (DATABASE!$AW$14:$AW$968= C$4))-ROW(DATABASE!$AV$14)+1,C$5)),"")</f>
        <v/>
      </c>
      <c r="D50" s="116">
        <f t="array" ref="D50">IFERROR(_xlfn.SINGLE(INDEX(DATABASE!$AV$14:$BC$968,SUMPRODUCT((ROW(DATABASE!$AV$14:$AV$968)) * (DATABASE!$AV$14:AW$968='Résultats observations'!$A50 ) * (DATABASE!$AW$14:$AW$968= D$4))-ROW(DATABASE!$AV$14)+1,D$5)),"")</f>
        <v/>
      </c>
      <c r="E50" s="116">
        <f t="array" ref="E50">IFERROR(_xlfn.SINGLE(INDEX(DATABASE!$AV$14:$BC$968,SUMPRODUCT((ROW(DATABASE!$AV$14:$AV$968)) * (DATABASE!$AV$14:AX$968='Résultats observations'!$A50 ) * (DATABASE!$AW$14:$AW$968= E$4))-ROW(DATABASE!$AV$14)+1,E$5)),"")</f>
        <v/>
      </c>
      <c r="F50" s="116">
        <f t="array" ref="F50">IFERROR(_xlfn.SINGLE(INDEX(DATABASE!$AV$14:$BC$968,SUMPRODUCT((ROW(DATABASE!$AV$14:$AV$968)) * (DATABASE!$AV$14:AY$968='Résultats observations'!$A50 ) * (DATABASE!$AW$14:$AW$968= F$4))-ROW(DATABASE!$AV$14)+1,F$5)),"")</f>
        <v/>
      </c>
      <c r="G50" s="116">
        <f t="array" ref="G50">IFERROR(_xlfn.SINGLE(INDEX(DATABASE!$AV$14:$BC$968,SUMPRODUCT((ROW(DATABASE!$AV$14:$AV$968)) * (DATABASE!$AV$14:AZ$968='Résultats observations'!$A50 ) * (DATABASE!$AW$14:$AW$968= G$4))-ROW(DATABASE!$AV$14)+1,G$5)),"")</f>
        <v/>
      </c>
      <c r="H50" s="116">
        <f t="array" ref="H50">IFERROR(_xlfn.SINGLE(INDEX(DATABASE!$AV$14:$BC$968,SUMPRODUCT((ROW(DATABASE!$AV$14:$AV$968)) * (DATABASE!$AV$14:BA$968='Résultats observations'!$A50 ) * (DATABASE!$AW$14:$AW$968= H$4))-ROW(DATABASE!$AV$14)+1,H$5)),"")</f>
        <v/>
      </c>
      <c r="I50" s="116">
        <f t="array" ref="I50">IFERROR(_xlfn.SINGLE(INDEX(DATABASE!$AV$14:$BC$968,SUMPRODUCT((ROW(DATABASE!$AV$14:$AV$968)) * (DATABASE!$AV$14:BB$968='Résultats observations'!$A50 ) * (DATABASE!$AW$14:$AW$968= I$4))-ROW(DATABASE!$AV$14)+1,I$5)),"")</f>
        <v/>
      </c>
      <c r="J50" s="116">
        <f t="array" ref="J50">IFERROR(_xlfn.SINGLE(INDEX(DATABASE!$AV$14:$BC$968,SUMPRODUCT((ROW(DATABASE!$AV$14:$AV$968)) * (DATABASE!$AV$14:BC$968='Résultats observations'!$A50 ) * (DATABASE!$AW$14:$AW$968= J$4))-ROW(DATABASE!$AV$14)+1,J$5)),"")</f>
        <v/>
      </c>
      <c r="K50" s="116">
        <f t="array" ref="K50">IFERROR(_xlfn.SINGLE(INDEX(DATABASE!$AV$14:$BC$968,SUMPRODUCT((ROW(DATABASE!$AV$14:$AV$968)) * (DATABASE!$AV$14:BD$968='Résultats observations'!$A50 ) * (DATABASE!$AW$14:$AW$968= K$4))-ROW(DATABASE!$AV$14)+1,K$5)),"")</f>
        <v/>
      </c>
      <c r="L50" s="116">
        <f t="array" ref="L50">IFERROR(_xlfn.SINGLE(INDEX(DATABASE!$AV$14:$BC$968,SUMPRODUCT((ROW(DATABASE!$AV$14:$AV$968)) * (DATABASE!$AV$14:BE$968='Résultats observations'!$A50 ) * (DATABASE!$AW$14:$AW$968= L$4))-ROW(DATABASE!$AV$14)+1,L$5)),"")</f>
        <v/>
      </c>
      <c r="M50" s="116">
        <f t="array" ref="M50">IFERROR(_xlfn.SINGLE(INDEX(DATABASE!$AV$14:$BC$968,SUMPRODUCT((ROW(DATABASE!$AV$14:$AV$968)) * (DATABASE!$AV$14:BF$968='Résultats observations'!$A50 ) * (DATABASE!$AW$14:$AW$968= M$4))-ROW(DATABASE!$AV$14)+1,M$5)),"")</f>
        <v/>
      </c>
      <c r="N50" s="116">
        <f t="array" ref="N50">IFERROR(_xlfn.SINGLE(INDEX(DATABASE!$AV$14:$BC$968,SUMPRODUCT((ROW(DATABASE!$AV$14:$AV$968)) * (DATABASE!$AV$14:BG$968='Résultats observations'!$A50 ) * (DATABASE!$AW$14:$AW$968= N$4))-ROW(DATABASE!$AV$14)+1,N$5)),"")</f>
        <v/>
      </c>
      <c r="O50" s="116">
        <f t="array" ref="O50">IFERROR(_xlfn.SINGLE(INDEX(DATABASE!$AV$14:$BC$968,SUMPRODUCT((ROW(DATABASE!$AV$14:$AV$968)) * (DATABASE!$AV$14:BH$968='Résultats observations'!$A50 ) * (DATABASE!$AW$14:$AW$968= O$4))-ROW(DATABASE!$AV$14)+1,O$5)),"")</f>
        <v/>
      </c>
      <c r="P50" s="116">
        <f t="array" ref="P50">IFERROR(_xlfn.SINGLE(INDEX(DATABASE!$AV$14:$BC$968,SUMPRODUCT((ROW(DATABASE!$AV$14:$AV$968)) * (DATABASE!$AV$14:BI$968='Résultats observations'!$A50 ) * (DATABASE!$AW$14:$AW$968= P$4))-ROW(DATABASE!$AV$14)+1,P$5)),"")</f>
        <v/>
      </c>
      <c r="Q50" s="116">
        <f t="array" ref="Q50">IFERROR(_xlfn.SINGLE(INDEX(DATABASE!$AV$14:$BC$968,SUMPRODUCT((ROW(DATABASE!$AV$14:$AV$968)) * (DATABASE!$AV$14:BJ$968='Résultats observations'!$A50 ) * (DATABASE!$AW$14:$AW$968= Q$4))-ROW(DATABASE!$AV$14)+1,Q$5)),"")</f>
        <v/>
      </c>
      <c r="R50" s="116">
        <f t="array" ref="R50">IFERROR(_xlfn.SINGLE(INDEX(DATABASE!$AV$14:$BC$968,SUMPRODUCT((ROW(DATABASE!$AV$14:$AV$968)) * (DATABASE!$AV$14:BK$968='Résultats observations'!$A50 ) * (DATABASE!$AW$14:$AW$968= R$4))-ROW(DATABASE!$AV$14)+1,R$5)),"")</f>
        <v/>
      </c>
      <c r="S50" s="116">
        <f t="array" ref="S50">IFERROR(_xlfn.SINGLE(INDEX(DATABASE!$AV$14:$BC$968,SUMPRODUCT((ROW(DATABASE!$AV$14:$AV$968)) * (DATABASE!$AV$14:BL$968='Résultats observations'!$A50 ) * (DATABASE!$AW$14:$AW$968= S$4))-ROW(DATABASE!$AV$14)+1,S$5)),"")</f>
        <v/>
      </c>
      <c r="T50" s="116">
        <f t="array" ref="T50">IFERROR(_xlfn.SINGLE(INDEX(DATABASE!$AV$14:$BC$968,SUMPRODUCT((ROW(DATABASE!$AV$14:$AV$968)) * (DATABASE!$AV$14:BM$968='Résultats observations'!$A50 ) * (DATABASE!$AW$14:$AW$968= T$4))-ROW(DATABASE!$AV$14)+1,T$5)),"")</f>
        <v/>
      </c>
      <c r="U50" s="116">
        <f t="array" ref="U50">IFERROR(_xlfn.SINGLE(INDEX(DATABASE!$AV$14:$BC$968,SUMPRODUCT((ROW(DATABASE!$AV$14:$AV$968)) * (DATABASE!$AV$14:BN$968='Résultats observations'!$A50 ) * (DATABASE!$AW$14:$AW$968= U$4))-ROW(DATABASE!$AV$14)+1,U$5)),"")</f>
        <v/>
      </c>
      <c r="V50" s="116">
        <f t="array" ref="V50">IFERROR(_xlfn.SINGLE(INDEX(DATABASE!$AV$14:$BC$968,SUMPRODUCT((ROW(DATABASE!$AV$14:$AV$968)) * (DATABASE!$AV$14:BO$968='Résultats observations'!$A50 ) * (DATABASE!$AW$14:$AW$968= V$4))-ROW(DATABASE!$AV$14)+1,V$5)),"")</f>
        <v/>
      </c>
      <c r="W50" s="116">
        <f t="array" ref="W50">IFERROR(_xlfn.SINGLE(INDEX(DATABASE!$AV$14:$BC$968,SUMPRODUCT((ROW(DATABASE!$AV$14:$AV$968)) * (DATABASE!$AV$14:BP$968='Résultats observations'!$A50 ) * (DATABASE!$AW$14:$AW$968= W$4))-ROW(DATABASE!$AV$14)+1,W$5)),"")</f>
        <v/>
      </c>
      <c r="X50" s="116">
        <f t="array" ref="X50">IFERROR(_xlfn.SINGLE(INDEX(DATABASE!$AV$14:$BC$968,SUMPRODUCT((ROW(DATABASE!$AV$14:$AV$968)) * (DATABASE!$AV$14:BQ$968='Résultats observations'!$A50 ) * (DATABASE!$AW$14:$AW$968= X$4))-ROW(DATABASE!$AV$14)+1,X$5)),"")</f>
        <v/>
      </c>
      <c r="Y50" s="116">
        <f t="array" ref="Y50">IFERROR(_xlfn.SINGLE(INDEX(DATABASE!$AV$14:$BC$968,SUMPRODUCT((ROW(DATABASE!$AV$14:$AV$968)) * (DATABASE!$AV$14:BR$968='Résultats observations'!$A50 ) * (DATABASE!$AW$14:$AW$968= Y$4))-ROW(DATABASE!$AV$14)+1,Y$5)),"")</f>
        <v/>
      </c>
      <c r="Z50" s="116">
        <f t="array" ref="Z50">IFERROR(_xlfn.SINGLE(INDEX(DATABASE!$AV$14:$BC$968,SUMPRODUCT((ROW(DATABASE!$AV$14:$AV$968)) * (DATABASE!$AV$14:BS$968='Résultats observations'!$A50 )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(DATABASE!$AV$14:BT$968='Résultats observations'!$A50 )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(DATABASE!$AV$14:BU$968='Résultats observations'!$A50 )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(DATABASE!$AV$14:BV$968='Résultats observations'!$A50 )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(DATABASE!$AV$14:BW$968='Résultats observations'!$A50 )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(DATABASE!$AV$14:BX$968='Résultats observations'!$A50 )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(DATABASE!$AV$14:BY$968='Résultats observations'!$A50 )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(DATABASE!$AV$14:BZ$968='Résultats observations'!$A50 )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(DATABASE!$AV$14:CA$968='Résultats observations'!$A50 )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(DATABASE!$AV$14:CB$968='Résultats observations'!$A50 )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(DATABASE!$AV$14:CC$968='Résultats observations'!$A50 )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(DATABASE!$AV$14:CD$968='Résultats observations'!$A50 )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(DATABASE!$AV$14:CE$968='Résultats observations'!$A50 )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(DATABASE!$AV$14:CF$968='Résultats observations'!$A50 )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(DATABASE!$AV$14:CG$968='Résultats observations'!$A50 )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(DATABASE!$AV$14:CH$968='Résultats observations'!$A50 )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(DATABASE!$AV$14:CI$968='Résultats observations'!$A50 )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(DATABASE!$AV$14:CJ$968='Résultats observations'!$A50 )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(DATABASE!$AV$14:CK$968='Résultats observations'!$A50 )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(DATABASE!$AV$14:CL$968='Résultats observations'!$A50 )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(DATABASE!$AV$14:CM$968='Résultats observations'!$A50 )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(DATABASE!$AV$14:CN$968='Résultats observations'!$A50 )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(DATABASE!$AV$14:CO$968='Résultats observations'!$A50 )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(DATABASE!$AV$14:CP$968='Résultats observations'!$A50 )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(DATABASE!$AV$14:CQ$968='Résultats observations'!$A50 )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(DATABASE!$AV$14:CR$968='Résultats observations'!$A50 )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(DATABASE!$AV$14:CS$968='Résultats observations'!$A50 )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(DATABASE!$AV$14:CT$968='Résultats observations'!$A50 )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(DATABASE!$AV$14:CU$968='Résultats observations'!$A50 )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(DATABASE!$AV$14:CV$968='Résultats observations'!$A50 )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(DATABASE!$AV$14:CW$968='Résultats observations'!$A50 )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(DATABASE!$AV$14:CX$968='Résultats observations'!$A50 )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(DATABASE!$AV$14:CY$968='Résultats observations'!$A50 )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(DATABASE!$AV$14:CZ$968='Résultats observations'!$A50 )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(DATABASE!$AV$14:DA$968='Résultats observations'!$A50 )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(DATABASE!$AV$14:DB$968='Résultats observations'!$A50 )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(DATABASE!$AV$14:DC$968='Résultats observations'!$A50 )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B8:BD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BB7:BD7"/>
    <mergeCell ref="AM8:AO8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I7:K7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5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T10" activePane="bottomRight" state="frozenSplit"/>
      <selection activeCell="C7" sqref="C7"/>
      <selection pane="topRight" activeCell="C7" sqref="C7"/>
      <selection pane="bottomLeft" activeCell="C7" sqref="C7"/>
      <selection pane="bottomRight" activeCell="BA18" sqref="BA18"/>
    </sheetView>
  </sheetViews>
  <sheetFormatPr baseColWidth="10" defaultColWidth="11.42578125" defaultRowHeight="12.75"/>
  <cols>
    <col width="14.7109375" customWidth="1" style="153" min="1" max="1"/>
    <col width="7.7109375" customWidth="1" style="153" min="2" max="2"/>
    <col width="18.140625" customWidth="1" style="153" min="3" max="62"/>
    <col width="11.42578125" customWidth="1" style="153" min="63" max="63"/>
    <col width="11.42578125" customWidth="1" style="153" min="64" max="16384"/>
  </cols>
  <sheetData>
    <row r="1" ht="41.25" customHeight="1" s="144" thickBot="1">
      <c r="D1" s="129" t="inlineStr">
        <is>
          <t>AUSCULTATION CARREFOUR - MESURES XYZ</t>
        </is>
      </c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1" t="n"/>
    </row>
    <row r="2">
      <c r="A2" s="138" t="n"/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8" t="n"/>
      <c r="R2" s="138" t="n"/>
      <c r="S2" s="138" t="n"/>
      <c r="T2" s="138" t="n"/>
      <c r="U2" s="138" t="n"/>
      <c r="V2" s="138" t="n"/>
      <c r="W2" s="138" t="n"/>
      <c r="X2" s="138" t="n"/>
      <c r="Y2" s="138" t="n"/>
      <c r="Z2" s="138" t="n"/>
      <c r="AA2" s="138" t="n"/>
      <c r="AB2" s="138" t="n"/>
      <c r="AC2" s="138" t="n"/>
      <c r="AD2" s="138" t="n"/>
      <c r="AE2" s="138" t="n"/>
      <c r="AF2" s="138" t="n"/>
      <c r="AG2" s="138" t="n"/>
      <c r="AH2" s="138" t="n"/>
      <c r="AI2" s="138" t="n"/>
      <c r="AJ2" s="138" t="n"/>
      <c r="AK2" s="138" t="n"/>
      <c r="AL2" s="138" t="n"/>
      <c r="AM2" s="138" t="n"/>
      <c r="AN2" s="138" t="n"/>
      <c r="AO2" s="138" t="n"/>
      <c r="AP2" s="138" t="n"/>
      <c r="AQ2" s="138" t="n"/>
      <c r="AR2" s="138" t="n"/>
      <c r="AS2" s="138" t="n"/>
      <c r="AT2" s="138" t="n"/>
      <c r="AU2" s="138" t="n"/>
      <c r="AV2" s="138" t="n"/>
      <c r="AW2" s="138" t="n"/>
      <c r="AX2" s="138" t="n"/>
      <c r="AY2" s="138" t="n"/>
      <c r="AZ2" s="138" t="n"/>
      <c r="BA2" s="138" t="n"/>
      <c r="BB2" s="138" t="n"/>
      <c r="BC2" s="138" t="n"/>
      <c r="BD2" s="138" t="n"/>
      <c r="BE2" s="138" t="n"/>
      <c r="BF2" s="138" t="n"/>
      <c r="BG2" s="138" t="n"/>
      <c r="BH2" s="138" t="n"/>
      <c r="BI2" s="138" t="n"/>
      <c r="BJ2" s="138" t="n"/>
    </row>
    <row r="3">
      <c r="A3" s="138" t="n"/>
      <c r="B3" s="138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38" t="n"/>
      <c r="Q3" s="138" t="n"/>
      <c r="R3" s="138" t="n"/>
      <c r="S3" s="138" t="n"/>
      <c r="T3" s="138" t="n"/>
      <c r="U3" s="138" t="n"/>
      <c r="V3" s="138" t="n"/>
      <c r="W3" s="138" t="n"/>
      <c r="X3" s="138" t="n"/>
      <c r="Y3" s="138" t="n"/>
      <c r="Z3" s="138" t="n"/>
      <c r="AA3" s="138" t="n"/>
      <c r="AB3" s="138" t="n"/>
      <c r="AC3" s="138" t="n"/>
      <c r="AD3" s="138" t="n"/>
      <c r="AE3" s="138" t="n"/>
      <c r="AF3" s="138" t="n"/>
      <c r="AG3" s="138" t="n"/>
      <c r="AH3" s="138" t="n"/>
      <c r="AI3" s="138" t="n"/>
      <c r="AJ3" s="138" t="n"/>
      <c r="AK3" s="138" t="n"/>
      <c r="AL3" s="138" t="n"/>
      <c r="AM3" s="138" t="n"/>
      <c r="AN3" s="138" t="n"/>
      <c r="AO3" s="138" t="n"/>
      <c r="AP3" s="138" t="n"/>
      <c r="AQ3" s="138" t="n"/>
      <c r="AR3" s="138" t="n"/>
      <c r="AS3" s="138" t="n"/>
      <c r="AT3" s="138" t="n"/>
      <c r="AU3" s="138" t="n"/>
      <c r="AV3" s="138" t="n"/>
      <c r="AW3" s="138" t="n"/>
      <c r="AX3" s="138" t="n"/>
      <c r="AY3" s="138" t="n"/>
      <c r="AZ3" s="138" t="n"/>
      <c r="BA3" s="138" t="n"/>
      <c r="BB3" s="138" t="n"/>
      <c r="BC3" s="138" t="n"/>
      <c r="BD3" s="138" t="n"/>
      <c r="BE3" s="138" t="n"/>
      <c r="BF3" s="138" t="n"/>
      <c r="BG3" s="138" t="n"/>
      <c r="BH3" s="138" t="n"/>
      <c r="BI3" s="138" t="n"/>
      <c r="BJ3" s="138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8" t="n"/>
      <c r="C6" s="138" t="n"/>
      <c r="D6" s="138" t="n"/>
      <c r="E6" s="138" t="n"/>
      <c r="F6" s="138" t="n"/>
      <c r="G6" s="138" t="n"/>
      <c r="H6" s="138" t="n"/>
      <c r="I6" s="138" t="n"/>
      <c r="J6" s="138" t="n"/>
      <c r="K6" s="138" t="n"/>
      <c r="L6" s="138" t="n"/>
      <c r="M6" s="138" t="n"/>
      <c r="N6" s="138" t="n"/>
      <c r="O6" s="138" t="n"/>
      <c r="P6" s="138" t="n"/>
      <c r="Q6" s="138" t="n"/>
      <c r="R6" s="138" t="n"/>
      <c r="S6" s="138" t="n"/>
      <c r="T6" s="138" t="n"/>
      <c r="U6" s="138" t="n"/>
      <c r="V6" s="138" t="n"/>
      <c r="W6" s="138" t="n"/>
      <c r="X6" s="138" t="n"/>
      <c r="Y6" s="138" t="n"/>
      <c r="Z6" s="138" t="n"/>
      <c r="AA6" s="138" t="n"/>
      <c r="AB6" s="138" t="n"/>
      <c r="AC6" s="138" t="n"/>
      <c r="AD6" s="138" t="n"/>
      <c r="AE6" s="138" t="n"/>
      <c r="AF6" s="138" t="n"/>
      <c r="AG6" s="138" t="n"/>
      <c r="AH6" s="138" t="n"/>
      <c r="AI6" s="138" t="n"/>
      <c r="AJ6" s="138" t="n"/>
      <c r="AK6" s="138" t="n"/>
      <c r="AL6" s="138" t="n"/>
      <c r="AM6" s="138" t="n"/>
      <c r="AN6" s="138" t="n"/>
      <c r="AO6" s="138" t="n"/>
      <c r="AP6" s="138" t="n"/>
      <c r="AQ6" s="138" t="n"/>
      <c r="AR6" s="138" t="n"/>
      <c r="AS6" s="138" t="n"/>
      <c r="AT6" s="138" t="n"/>
      <c r="AU6" s="138" t="n"/>
      <c r="AV6" s="138" t="n"/>
      <c r="AW6" s="138" t="n"/>
      <c r="AX6" s="138" t="n"/>
      <c r="AY6" s="138" t="n"/>
      <c r="AZ6" s="138" t="n"/>
      <c r="BA6" s="138" t="n"/>
      <c r="BB6" s="138" t="n"/>
      <c r="BC6" s="138" t="n"/>
      <c r="BD6" s="138" t="n"/>
      <c r="BE6" s="138" t="n"/>
      <c r="BF6" s="138" t="n"/>
      <c r="BG6" s="138" t="n"/>
      <c r="BH6" s="138" t="n"/>
      <c r="BI6" s="138" t="n"/>
      <c r="BJ6" s="138" t="n"/>
    </row>
    <row r="7" ht="26.25" customHeight="1" s="144" thickBot="1">
      <c r="A7" s="11">
        <f>A10</f>
        <v/>
      </c>
      <c r="B7" s="1" t="n"/>
      <c r="C7" s="127" t="inlineStr">
        <is>
          <t>BG</t>
        </is>
      </c>
      <c r="D7" s="128" t="n"/>
      <c r="E7" s="128" t="n"/>
      <c r="F7" s="127" t="inlineStr">
        <is>
          <t>IG</t>
        </is>
      </c>
      <c r="G7" s="128" t="n"/>
      <c r="H7" s="128" t="n"/>
      <c r="I7" s="127" t="inlineStr">
        <is>
          <t>HG</t>
        </is>
      </c>
      <c r="J7" s="128" t="n"/>
      <c r="K7" s="128" t="n"/>
      <c r="L7" s="127" t="inlineStr">
        <is>
          <t>CH</t>
        </is>
      </c>
      <c r="M7" s="128" t="n"/>
      <c r="N7" s="128" t="n"/>
      <c r="O7" s="127" t="n"/>
      <c r="P7" s="128" t="n"/>
      <c r="Q7" s="128" t="n"/>
      <c r="R7" s="127" t="n"/>
      <c r="S7" s="128" t="n"/>
      <c r="T7" s="128" t="n"/>
      <c r="U7" s="127" t="n"/>
      <c r="V7" s="128" t="n"/>
      <c r="W7" s="128" t="n"/>
      <c r="X7" s="127" t="n"/>
      <c r="Y7" s="128" t="n"/>
      <c r="Z7" s="128" t="n"/>
      <c r="AA7" s="127" t="n"/>
      <c r="AB7" s="128" t="n"/>
      <c r="AC7" s="128" t="n"/>
      <c r="AD7" s="127" t="n"/>
      <c r="AE7" s="128" t="n"/>
      <c r="AF7" s="128" t="n"/>
      <c r="AG7" s="127" t="n"/>
      <c r="AH7" s="128" t="n"/>
      <c r="AI7" s="128" t="n"/>
      <c r="AJ7" s="127" t="n"/>
      <c r="AK7" s="128" t="n"/>
      <c r="AL7" s="128" t="n"/>
      <c r="AM7" s="127" t="n"/>
      <c r="AN7" s="128" t="n"/>
      <c r="AO7" s="128" t="n"/>
      <c r="AP7" s="127" t="n"/>
      <c r="AQ7" s="128" t="n"/>
      <c r="AR7" s="128" t="n"/>
      <c r="AS7" s="127" t="n"/>
      <c r="AT7" s="128" t="n"/>
      <c r="AU7" s="128" t="n"/>
      <c r="AV7" s="127" t="n"/>
      <c r="AW7" s="128" t="n"/>
      <c r="AX7" s="128" t="n"/>
      <c r="AY7" s="127" t="n"/>
      <c r="AZ7" s="128" t="n"/>
      <c r="BA7" s="128" t="n"/>
      <c r="BB7" s="127" t="n"/>
      <c r="BC7" s="128" t="n"/>
      <c r="BD7" s="128" t="n"/>
      <c r="BE7" s="127" t="n"/>
      <c r="BF7" s="128" t="n"/>
      <c r="BG7" s="128" t="n"/>
      <c r="BH7" s="127" t="n"/>
      <c r="BI7" s="128" t="n"/>
      <c r="BJ7" s="128" t="n"/>
    </row>
    <row r="8" ht="16.5" customHeight="1" s="144" thickBot="1">
      <c r="A8" s="135" t="inlineStr">
        <is>
          <t>Date</t>
        </is>
      </c>
      <c r="B8" s="133" t="inlineStr">
        <is>
          <t>Jours</t>
        </is>
      </c>
      <c r="C8" s="132">
        <f>D4</f>
        <v/>
      </c>
      <c r="D8" s="130" t="n"/>
      <c r="E8" s="131" t="n"/>
      <c r="F8" s="132">
        <f>G4</f>
        <v/>
      </c>
      <c r="G8" s="130" t="n"/>
      <c r="H8" s="131" t="n"/>
      <c r="I8" s="132">
        <f>J4</f>
        <v/>
      </c>
      <c r="J8" s="130" t="n"/>
      <c r="K8" s="131" t="n"/>
      <c r="L8" s="132">
        <f>M4</f>
        <v/>
      </c>
      <c r="M8" s="130" t="n"/>
      <c r="N8" s="131" t="n"/>
      <c r="O8" s="132">
        <f>P4</f>
        <v/>
      </c>
      <c r="P8" s="130" t="n"/>
      <c r="Q8" s="131" t="n"/>
      <c r="R8" s="132">
        <f>S4</f>
        <v/>
      </c>
      <c r="S8" s="130" t="n"/>
      <c r="T8" s="131" t="n"/>
      <c r="U8" s="132">
        <f>V4</f>
        <v/>
      </c>
      <c r="V8" s="130" t="n"/>
      <c r="W8" s="131" t="n"/>
      <c r="X8" s="132">
        <f>Y4</f>
        <v/>
      </c>
      <c r="Y8" s="130" t="n"/>
      <c r="Z8" s="131" t="n"/>
      <c r="AA8" s="132">
        <f>AB4</f>
        <v/>
      </c>
      <c r="AB8" s="130" t="n"/>
      <c r="AC8" s="131" t="n"/>
      <c r="AD8" s="132">
        <f>AE4</f>
        <v/>
      </c>
      <c r="AE8" s="130" t="n"/>
      <c r="AF8" s="131" t="n"/>
      <c r="AG8" s="132">
        <f>AH4</f>
        <v/>
      </c>
      <c r="AH8" s="130" t="n"/>
      <c r="AI8" s="131" t="n"/>
      <c r="AJ8" s="132">
        <f>AK4</f>
        <v/>
      </c>
      <c r="AK8" s="130" t="n"/>
      <c r="AL8" s="131" t="n"/>
      <c r="AM8" s="132">
        <f>AN4</f>
        <v/>
      </c>
      <c r="AN8" s="130" t="n"/>
      <c r="AO8" s="131" t="n"/>
      <c r="AP8" s="132">
        <f>AQ4</f>
        <v/>
      </c>
      <c r="AQ8" s="130" t="n"/>
      <c r="AR8" s="131" t="n"/>
      <c r="AS8" s="132">
        <f>AT4</f>
        <v/>
      </c>
      <c r="AT8" s="130" t="n"/>
      <c r="AU8" s="131" t="n"/>
      <c r="AV8" s="132">
        <f>AW4</f>
        <v/>
      </c>
      <c r="AW8" s="130" t="n"/>
      <c r="AX8" s="131" t="n"/>
      <c r="AY8" s="132">
        <f>AZ4</f>
        <v/>
      </c>
      <c r="AZ8" s="130" t="n"/>
      <c r="BA8" s="131" t="n"/>
      <c r="BB8" s="132">
        <f>BC4</f>
        <v/>
      </c>
      <c r="BC8" s="130" t="n"/>
      <c r="BD8" s="131" t="n"/>
      <c r="BE8" s="132">
        <f>BF4</f>
        <v/>
      </c>
      <c r="BF8" s="130" t="n"/>
      <c r="BG8" s="131" t="n"/>
      <c r="BH8" s="132">
        <f>BI4</f>
        <v/>
      </c>
      <c r="BI8" s="130" t="n"/>
      <c r="BJ8" s="131" t="n"/>
    </row>
    <row r="9" ht="25.5" customFormat="1" customHeight="1" s="7">
      <c r="A9" s="136" t="n"/>
      <c r="B9" s="134" t="n"/>
      <c r="C9" s="3" t="inlineStr">
        <is>
          <t>V1_PM</t>
        </is>
      </c>
      <c r="D9" s="3" t="inlineStr">
        <is>
          <t>V1_H</t>
        </is>
      </c>
      <c r="E9" s="3" t="inlineStr">
        <is>
          <t>V1_V</t>
        </is>
      </c>
      <c r="F9" s="3" t="inlineStr">
        <is>
          <t>V2_PM</t>
        </is>
      </c>
      <c r="G9" s="3" t="inlineStr">
        <is>
          <t>V2_H</t>
        </is>
      </c>
      <c r="H9" s="3" t="inlineStr">
        <is>
          <t>V2_V</t>
        </is>
      </c>
      <c r="I9" s="3" t="inlineStr">
        <is>
          <t>V3_PM</t>
        </is>
      </c>
      <c r="J9" s="3" t="inlineStr">
        <is>
          <t>V3_H</t>
        </is>
      </c>
      <c r="K9" s="3" t="inlineStr">
        <is>
          <t>V3_V</t>
        </is>
      </c>
      <c r="L9" s="6" t="inlineStr">
        <is>
          <t>H1_PM</t>
        </is>
      </c>
      <c r="M9" s="6" t="inlineStr">
        <is>
          <t>H1_H</t>
        </is>
      </c>
      <c r="N9" s="6" t="inlineStr">
        <is>
          <t>H1_V</t>
        </is>
      </c>
      <c r="O9" s="6" t="inlineStr">
        <is>
          <t>H2_PM</t>
        </is>
      </c>
      <c r="P9" s="6" t="inlineStr">
        <is>
          <t>H2_H</t>
        </is>
      </c>
      <c r="Q9" s="6" t="inlineStr">
        <is>
          <t>H2_V</t>
        </is>
      </c>
      <c r="R9" s="6" t="inlineStr">
        <is>
          <t>H3_PM</t>
        </is>
      </c>
      <c r="S9" s="6" t="inlineStr">
        <is>
          <t>H3_H</t>
        </is>
      </c>
      <c r="T9" s="6" t="inlineStr">
        <is>
          <t>H3_V</t>
        </is>
      </c>
      <c r="U9" s="6" t="inlineStr">
        <is>
          <t>H4_PM</t>
        </is>
      </c>
      <c r="V9" s="6" t="inlineStr">
        <is>
          <t>H4_H</t>
        </is>
      </c>
      <c r="W9" s="6" t="inlineStr">
        <is>
          <t>H4_V</t>
        </is>
      </c>
      <c r="X9" s="6" t="inlineStr">
        <is>
          <t>H5_PM</t>
        </is>
      </c>
      <c r="Y9" s="6" t="inlineStr">
        <is>
          <t>H5_H</t>
        </is>
      </c>
      <c r="Z9" s="6" t="inlineStr">
        <is>
          <t>H5_V</t>
        </is>
      </c>
      <c r="AA9" s="6" t="inlineStr">
        <is>
          <t>B1_PM</t>
        </is>
      </c>
      <c r="AB9" s="6" t="inlineStr">
        <is>
          <t>B1_H</t>
        </is>
      </c>
      <c r="AC9" s="6" t="inlineStr">
        <is>
          <t>B1_V</t>
        </is>
      </c>
      <c r="AD9" s="6" t="inlineStr">
        <is>
          <t>B2_PM</t>
        </is>
      </c>
      <c r="AE9" s="6" t="inlineStr">
        <is>
          <t>B2_H</t>
        </is>
      </c>
      <c r="AF9" s="6" t="inlineStr">
        <is>
          <t>B2_V</t>
        </is>
      </c>
      <c r="AG9" s="6" t="inlineStr">
        <is>
          <t>B3_PM</t>
        </is>
      </c>
      <c r="AH9" s="6" t="inlineStr">
        <is>
          <t>B3_H</t>
        </is>
      </c>
      <c r="AI9" s="6" t="inlineStr">
        <is>
          <t>B3_V</t>
        </is>
      </c>
      <c r="AJ9" s="6" t="inlineStr">
        <is>
          <t>B4_PM</t>
        </is>
      </c>
      <c r="AK9" s="6" t="inlineStr">
        <is>
          <t>B4_H</t>
        </is>
      </c>
      <c r="AL9" s="6" t="inlineStr">
        <is>
          <t>B4_V</t>
        </is>
      </c>
      <c r="AM9" s="6" t="inlineStr">
        <is>
          <t>B5_PM</t>
        </is>
      </c>
      <c r="AN9" s="6" t="inlineStr">
        <is>
          <t>B5_H</t>
        </is>
      </c>
      <c r="AO9" s="6" t="inlineStr">
        <is>
          <t>B5_V</t>
        </is>
      </c>
      <c r="AP9" s="6" t="inlineStr">
        <is>
          <t>M1_PM</t>
        </is>
      </c>
      <c r="AQ9" s="6" t="inlineStr">
        <is>
          <t>M1_H</t>
        </is>
      </c>
      <c r="AR9" s="6" t="inlineStr">
        <is>
          <t>M1_V</t>
        </is>
      </c>
      <c r="AS9" s="6" t="inlineStr">
        <is>
          <t>M2_PM</t>
        </is>
      </c>
      <c r="AT9" s="6" t="inlineStr">
        <is>
          <t>M2_H</t>
        </is>
      </c>
      <c r="AU9" s="6" t="inlineStr">
        <is>
          <t>M2_V</t>
        </is>
      </c>
      <c r="AV9" s="6" t="inlineStr">
        <is>
          <t>M3_PM</t>
        </is>
      </c>
      <c r="AW9" s="6" t="inlineStr">
        <is>
          <t>M3_H</t>
        </is>
      </c>
      <c r="AX9" s="6" t="inlineStr">
        <is>
          <t>M3_V</t>
        </is>
      </c>
      <c r="AY9" s="6" t="inlineStr">
        <is>
          <t>M4_PM</t>
        </is>
      </c>
      <c r="AZ9" s="6" t="inlineStr">
        <is>
          <t>M4_H</t>
        </is>
      </c>
      <c r="BA9" s="6" t="inlineStr">
        <is>
          <t>M4_V</t>
        </is>
      </c>
      <c r="BB9" s="6" t="inlineStr">
        <is>
          <t>M5_PM</t>
        </is>
      </c>
      <c r="BC9" s="6" t="inlineStr">
        <is>
          <t>M5_H</t>
        </is>
      </c>
      <c r="BD9" s="6" t="inlineStr">
        <is>
          <t>M5_V</t>
        </is>
      </c>
      <c r="BE9" s="6" t="inlineStr">
        <is>
          <t>REF1_PM</t>
        </is>
      </c>
      <c r="BF9" s="6" t="inlineStr">
        <is>
          <t>REF1_H</t>
        </is>
      </c>
      <c r="BG9" s="6" t="inlineStr">
        <is>
          <t>REF1_V</t>
        </is>
      </c>
      <c r="BH9" s="6" t="inlineStr">
        <is>
          <t>REF2_PM</t>
        </is>
      </c>
      <c r="BI9" s="6" t="inlineStr">
        <is>
          <t>REF2_H</t>
        </is>
      </c>
      <c r="BJ9" s="6" t="inlineStr">
        <is>
          <t>REF2_V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(DATABASE!AV$14:$AV$968='Résultats Projection'!$A10 ) * (DATABASE!$AW$14:$AW$968= C$4))-ROW(DATABASE!$AV$14)+1,C$5+3)),"")</f>
        <v/>
      </c>
      <c r="D10" s="44">
        <f t="array" ref="D10">IFERROR(_xlfn.SINGLE(INDEX(DATABASE!$AV$14:$BC$968,SUMPRODUCT((ROW(DATABASE!$AV$14:$AV$968)) * (DATABASE!$AV$14:AW$968='Résultats Projection'!$A10 ) * (DATABASE!$AW$14:$AW$968= D$4))-ROW(DATABASE!$AV$14)+1,D$5+3)),"")</f>
        <v/>
      </c>
      <c r="E10" s="44">
        <f t="array" ref="E10">IFERROR(_xlfn.SINGLE(INDEX(DATABASE!$AV$14:$BC$968,SUMPRODUCT((ROW(DATABASE!$AV$14:$AV$968)) * (DATABASE!$AV$14:AX$968='Résultats Projection'!$A10 ) * (DATABASE!$AW$14:$AW$968= E$4))-ROW(DATABASE!$AV$14)+1,E$5+3)),"")</f>
        <v/>
      </c>
      <c r="F10" s="44">
        <f t="array" ref="F10">IFERROR(_xlfn.SINGLE(INDEX(DATABASE!$AV$14:$BC$968,SUMPRODUCT((ROW(DATABASE!$AV$14:$AV$968)) * (DATABASE!$AV$14:AY$968='Résultats Projection'!$A10 ) * (DATABASE!$AW$14:$AW$968= F$4))-ROW(DATABASE!$AV$14)+1,F$5+3)),"")</f>
        <v/>
      </c>
      <c r="G10" s="44">
        <f t="array" ref="G10">IFERROR(_xlfn.SINGLE(INDEX(DATABASE!$AV$14:$BC$968,SUMPRODUCT((ROW(DATABASE!$AV$14:$AV$968)) * (DATABASE!$AV$14:AZ$968='Résultats Projection'!$A10 ) * (DATABASE!$AW$14:$AW$968= G$4))-ROW(DATABASE!$AV$14)+1,G$5+3)),"")</f>
        <v/>
      </c>
      <c r="H10" s="44">
        <f t="array" ref="H10">IFERROR(_xlfn.SINGLE(INDEX(DATABASE!$AV$14:$BC$968,SUMPRODUCT((ROW(DATABASE!$AV$14:$AV$968)) * (DATABASE!$AV$14:BA$968='Résultats Projection'!$A10 ) * (DATABASE!$AW$14:$AW$968= H$4))-ROW(DATABASE!$AV$14)+1,H$5+3)),"")</f>
        <v/>
      </c>
      <c r="I10" s="44">
        <f t="array" ref="I10">IFERROR(_xlfn.SINGLE(INDEX(DATABASE!$AV$14:$BC$968,SUMPRODUCT((ROW(DATABASE!$AV$14:$AV$968)) * (DATABASE!$AV$14:BB$968='Résultats Projection'!$A10 ) * (DATABASE!$AW$14:$AW$968= I$4))-ROW(DATABASE!$AV$14)+1,I$5+3)),"")</f>
        <v/>
      </c>
      <c r="J10" s="44">
        <f t="array" ref="J10">IFERROR(_xlfn.SINGLE(INDEX(DATABASE!$AV$14:$BC$968,SUMPRODUCT((ROW(DATABASE!$AV$14:$AV$968)) * (DATABASE!$AV$14:BC$968='Résultats Projection'!$A10 ) * (DATABASE!$AW$14:$AW$968= J$4))-ROW(DATABASE!$AV$14)+1,J$5+3)),"")</f>
        <v/>
      </c>
      <c r="K10" s="44">
        <f t="array" ref="K10">IFERROR(_xlfn.SINGLE(INDEX(DATABASE!$AV$14:$BC$968,SUMPRODUCT((ROW(DATABASE!$AV$14:$AV$968)) * (DATABASE!$AV$14:BD$968='Résultats Projection'!$A10 ) * (DATABASE!$AW$14:$AW$968= K$4))-ROW(DATABASE!$AV$14)+1,K$5+3)),"")</f>
        <v/>
      </c>
      <c r="L10" s="44">
        <f t="array" ref="L10">IFERROR(_xlfn.SINGLE(INDEX(DATABASE!$AV$14:$BC$968,SUMPRODUCT((ROW(DATABASE!$AV$14:$AV$968)) * (DATABASE!$AV$14:BE$968='Résultats Projection'!$A10 ) * (DATABASE!$AW$14:$AW$968= L$4))-ROW(DATABASE!$AV$14)+1,L$5+3)),"")</f>
        <v/>
      </c>
      <c r="M10" s="44">
        <f t="array" ref="M10">IFERROR(_xlfn.SINGLE(INDEX(DATABASE!$AV$14:$BC$968,SUMPRODUCT((ROW(DATABASE!$AV$14:$AV$968)) * (DATABASE!$AV$14:BF$968='Résultats Projection'!$A10 ) * (DATABASE!$AW$14:$AW$968= M$4))-ROW(DATABASE!$AV$14)+1,M$5+3)),"")</f>
        <v/>
      </c>
      <c r="N10" s="44">
        <f t="array" ref="N10">IFERROR(_xlfn.SINGLE(INDEX(DATABASE!$AV$14:$BC$968,SUMPRODUCT((ROW(DATABASE!$AV$14:$AV$968)) * (DATABASE!$AV$14:BG$968='Résultats Projection'!$A10 ) * (DATABASE!$AW$14:$AW$968= N$4))-ROW(DATABASE!$AV$14)+1,N$5+3)),"")</f>
        <v/>
      </c>
      <c r="O10" s="44">
        <f t="array" ref="O10">IFERROR(_xlfn.SINGLE(INDEX(DATABASE!$AV$14:$BC$968,SUMPRODUCT((ROW(DATABASE!$AV$14:$AV$968)) * (DATABASE!$AV$14:BH$968='Résultats Projection'!$A10 ) * (DATABASE!$AW$14:$AW$968= O$4))-ROW(DATABASE!$AV$14)+1,O$5+3)),"")</f>
        <v/>
      </c>
      <c r="P10" s="44">
        <f t="array" ref="P10">IFERROR(_xlfn.SINGLE(INDEX(DATABASE!$AV$14:$BC$968,SUMPRODUCT((ROW(DATABASE!$AV$14:$AV$968)) * (DATABASE!$AV$14:BI$968='Résultats Projection'!$A10 ) * (DATABASE!$AW$14:$AW$968= P$4))-ROW(DATABASE!$AV$14)+1,P$5+3)),"")</f>
        <v/>
      </c>
      <c r="Q10" s="44">
        <f t="array" ref="Q10">IFERROR(_xlfn.SINGLE(INDEX(DATABASE!$AV$14:$BC$968,SUMPRODUCT((ROW(DATABASE!$AV$14:$AV$968)) * (DATABASE!$AV$14:BJ$968='Résultats Projection'!$A10 ) * (DATABASE!$AW$14:$AW$968= Q$4))-ROW(DATABASE!$AV$14)+1,Q$5+3)),"")</f>
        <v/>
      </c>
      <c r="R10" s="44">
        <f t="array" ref="R10">IFERROR(_xlfn.SINGLE(INDEX(DATABASE!$AV$14:$BC$968,SUMPRODUCT((ROW(DATABASE!$AV$14:$AV$968)) * (DATABASE!$AV$14:BK$968='Résultats Projection'!$A10 ) * (DATABASE!$AW$14:$AW$968= R$4))-ROW(DATABASE!$AV$14)+1,R$5+3)),"")</f>
        <v/>
      </c>
      <c r="S10" s="44">
        <f t="array" ref="S10">IFERROR(_xlfn.SINGLE(INDEX(DATABASE!$AV$14:$BC$968,SUMPRODUCT((ROW(DATABASE!$AV$14:$AV$968)) * (DATABASE!$AV$14:BL$968='Résultats Projection'!$A10 ) * (DATABASE!$AW$14:$AW$968= S$4))-ROW(DATABASE!$AV$14)+1,S$5+3)),"")</f>
        <v/>
      </c>
      <c r="T10" s="44">
        <f t="array" ref="T10">IFERROR(_xlfn.SINGLE(INDEX(DATABASE!$AV$14:$BC$968,SUMPRODUCT((ROW(DATABASE!$AV$14:$AV$968)) * (DATABASE!$AV$14:BM$968='Résultats Projection'!$A10 ) * (DATABASE!$AW$14:$AW$968= T$4))-ROW(DATABASE!$AV$14)+1,T$5+3)),"")</f>
        <v/>
      </c>
      <c r="U10" s="44">
        <f t="array" ref="U10">IFERROR(_xlfn.SINGLE(INDEX(DATABASE!$AV$14:$BC$968,SUMPRODUCT((ROW(DATABASE!$AV$14:$AV$968)) * (DATABASE!$AV$14:BN$968='Résultats Projection'!$A10 ) * (DATABASE!$AW$14:$AW$968= U$4))-ROW(DATABASE!$AV$14)+1,U$5+3)),"")</f>
        <v/>
      </c>
      <c r="V10" s="44">
        <f t="array" ref="V10">IFERROR(_xlfn.SINGLE(INDEX(DATABASE!$AV$14:$BC$968,SUMPRODUCT((ROW(DATABASE!$AV$14:$AV$968)) * (DATABASE!$AV$14:BO$968='Résultats Projection'!$A10 ) * (DATABASE!$AW$14:$AW$968= V$4))-ROW(DATABASE!$AV$14)+1,V$5+3)),"")</f>
        <v/>
      </c>
      <c r="W10" s="44">
        <f t="array" ref="W10">IFERROR(_xlfn.SINGLE(INDEX(DATABASE!$AV$14:$BC$968,SUMPRODUCT((ROW(DATABASE!$AV$14:$AV$968)) * (DATABASE!$AV$14:BP$968='Résultats Projection'!$A10 ) * (DATABASE!$AW$14:$AW$968= W$4))-ROW(DATABASE!$AV$14)+1,W$5+3)),"")</f>
        <v/>
      </c>
      <c r="X10" s="44">
        <f t="array" ref="X10">IFERROR(_xlfn.SINGLE(INDEX(DATABASE!$AV$14:$BC$968,SUMPRODUCT((ROW(DATABASE!$AV$14:$AV$968)) * (DATABASE!$AV$14:BQ$968='Résultats Projection'!$A10 ) * (DATABASE!$AW$14:$AW$968= X$4))-ROW(DATABASE!$AV$14)+1,X$5+3)),"")</f>
        <v/>
      </c>
      <c r="Y10" s="44">
        <f t="array" ref="Y10">IFERROR(_xlfn.SINGLE(INDEX(DATABASE!$AV$14:$BC$968,SUMPRODUCT((ROW(DATABASE!$AV$14:$AV$968)) * (DATABASE!$AV$14:BR$968='Résultats Projection'!$A10 ) * (DATABASE!$AW$14:$AW$968= Y$4))-ROW(DATABASE!$AV$14)+1,Y$5+3)),"")</f>
        <v/>
      </c>
      <c r="Z10" s="44">
        <f t="array" ref="Z10">IFERROR(_xlfn.SINGLE(INDEX(DATABASE!$AV$14:$BC$968,SUMPRODUCT((ROW(DATABASE!$AV$14:$AV$968)) * (DATABASE!$AV$14:BS$968='Résultats Projection'!$A10 ) * (DATABASE!$AW$14:$AW$968= Z$4))-ROW(DATABASE!$AV$14)+1,Z$5+3)),"")</f>
        <v/>
      </c>
      <c r="AA10" s="44">
        <f t="array" ref="AA10">IFERROR(_xlfn.SINGLE(INDEX(DATABASE!$AV$14:$BC$968,SUMPRODUCT((ROW(DATABASE!$AV$14:$AV$968)) * (DATABASE!$AV$14:BT$968='Résultats Projection'!$A10 ) * (DATABASE!$AW$14:$AW$968= AA$4))-ROW(DATABASE!$AV$14)+1,AA$5+3)),"")</f>
        <v/>
      </c>
      <c r="AB10" s="44">
        <f t="array" ref="AB10">IFERROR(_xlfn.SINGLE(INDEX(DATABASE!$AV$14:$BC$968,SUMPRODUCT((ROW(DATABASE!$AV$14:$AV$968)) * (DATABASE!$AV$14:BU$968='Résultats Projection'!$A10 ) * (DATABASE!$AW$14:$AW$968= AB$4))-ROW(DATABASE!$AV$14)+1,AB$5+3)),"")</f>
        <v/>
      </c>
      <c r="AC10" s="44">
        <f t="array" ref="AC10">IFERROR(_xlfn.SINGLE(INDEX(DATABASE!$AV$14:$BC$968,SUMPRODUCT((ROW(DATABASE!$AV$14:$AV$968)) * (DATABASE!$AV$14:BV$968='Résultats Projection'!$A10 ) * (DATABASE!$AW$14:$AW$968= AC$4))-ROW(DATABASE!$AV$14)+1,AC$5+3)),"")</f>
        <v/>
      </c>
      <c r="AD10" s="44">
        <f t="array" ref="AD10">IFERROR(_xlfn.SINGLE(INDEX(DATABASE!$AV$14:$BC$968,SUMPRODUCT((ROW(DATABASE!$AV$14:$AV$968)) * (DATABASE!$AV$14:BW$968='Résultats Projection'!$A10 ) * (DATABASE!$AW$14:$AW$968= AD$4))-ROW(DATABASE!$AV$14)+1,AD$5+3)),"")</f>
        <v/>
      </c>
      <c r="AE10" s="44">
        <f t="array" ref="AE10">IFERROR(_xlfn.SINGLE(INDEX(DATABASE!$AV$14:$BC$968,SUMPRODUCT((ROW(DATABASE!$AV$14:$AV$968)) * (DATABASE!$AV$14:BX$968='Résultats Projection'!$A10 ) * (DATABASE!$AW$14:$AW$968= AE$4))-ROW(DATABASE!$AV$14)+1,AE$5+3)),"")</f>
        <v/>
      </c>
      <c r="AF10" s="44">
        <f t="array" ref="AF10">IFERROR(_xlfn.SINGLE(INDEX(DATABASE!$AV$14:$BC$968,SUMPRODUCT((ROW(DATABASE!$AV$14:$AV$968)) * (DATABASE!$AV$14:BY$968='Résultats Projection'!$A10 ) * (DATABASE!$AW$14:$AW$968= AF$4))-ROW(DATABASE!$AV$14)+1,AF$5+3)),"")</f>
        <v/>
      </c>
      <c r="AG10" s="44">
        <f t="array" ref="AG10">IFERROR(_xlfn.SINGLE(INDEX(DATABASE!$AV$14:$BC$968,SUMPRODUCT((ROW(DATABASE!$AV$14:$AV$968)) * (DATABASE!$AV$14:BZ$968='Résultats Projection'!$A10 ) * (DATABASE!$AW$14:$AW$968= AG$4))-ROW(DATABASE!$AV$14)+1,AG$5+3)),"")</f>
        <v/>
      </c>
      <c r="AH10" s="44">
        <f t="array" ref="AH10">IFERROR(_xlfn.SINGLE(INDEX(DATABASE!$AV$14:$BC$968,SUMPRODUCT((ROW(DATABASE!$AV$14:$AV$968)) * (DATABASE!$AV$14:CA$968='Résultats Projection'!$A10 ) * (DATABASE!$AW$14:$AW$968= AH$4))-ROW(DATABASE!$AV$14)+1,AH$5+3)),"")</f>
        <v/>
      </c>
      <c r="AI10" s="44">
        <f t="array" ref="AI10">IFERROR(_xlfn.SINGLE(INDEX(DATABASE!$AV$14:$BC$968,SUMPRODUCT((ROW(DATABASE!$AV$14:$AV$968)) * (DATABASE!$AV$14:CB$968='Résultats Projection'!$A10 ) * (DATABASE!$AW$14:$AW$968= AI$4))-ROW(DATABASE!$AV$14)+1,AI$5+3)),"")</f>
        <v/>
      </c>
      <c r="AJ10" s="44">
        <f t="array" ref="AJ10">IFERROR(_xlfn.SINGLE(INDEX(DATABASE!$AV$14:$BC$968,SUMPRODUCT((ROW(DATABASE!$AV$14:$AV$968)) * (DATABASE!$AV$14:CC$968='Résultats Projection'!$A10 ) * (DATABASE!$AW$14:$AW$968= AJ$4))-ROW(DATABASE!$AV$14)+1,AJ$5+3)),"")</f>
        <v/>
      </c>
      <c r="AK10" s="44">
        <f t="array" ref="AK10">IFERROR(_xlfn.SINGLE(INDEX(DATABASE!$AV$14:$BC$968,SUMPRODUCT((ROW(DATABASE!$AV$14:$AV$968)) * (DATABASE!$AV$14:CD$968='Résultats Projection'!$A10 ) * (DATABASE!$AW$14:$AW$968= AK$4))-ROW(DATABASE!$AV$14)+1,AK$5+3)),"")</f>
        <v/>
      </c>
      <c r="AL10" s="44">
        <f t="array" ref="AL10">IFERROR(_xlfn.SINGLE(INDEX(DATABASE!$AV$14:$BC$968,SUMPRODUCT((ROW(DATABASE!$AV$14:$AV$968)) * (DATABASE!$AV$14:CE$968='Résultats Projection'!$A10 ) * (DATABASE!$AW$14:$AW$968= AL$4))-ROW(DATABASE!$AV$14)+1,AL$5+3)),"")</f>
        <v/>
      </c>
      <c r="AM10" s="44">
        <f t="array" ref="AM10">IFERROR(_xlfn.SINGLE(INDEX(DATABASE!$AV$14:$BC$968,SUMPRODUCT((ROW(DATABASE!$AV$14:$AV$968)) * (DATABASE!$AV$14:CF$968='Résultats Projection'!$A10 ) * (DATABASE!$AW$14:$AW$968= AM$4))-ROW(DATABASE!$AV$14)+1,AM$5+3)),"")</f>
        <v/>
      </c>
      <c r="AN10" s="44">
        <f t="array" ref="AN10">IFERROR(_xlfn.SINGLE(INDEX(DATABASE!$AV$14:$BC$968,SUMPRODUCT((ROW(DATABASE!$AV$14:$AV$968)) * (DATABASE!$AV$14:CG$968='Résultats Projection'!$A10 ) * (DATABASE!$AW$14:$AW$968= AN$4))-ROW(DATABASE!$AV$14)+1,AN$5+3)),"")</f>
        <v/>
      </c>
      <c r="AO10" s="44">
        <f t="array" ref="AO10">IFERROR(_xlfn.SINGLE(INDEX(DATABASE!$AV$14:$BC$968,SUMPRODUCT((ROW(DATABASE!$AV$14:$AV$968)) * (DATABASE!$AV$14:CH$968='Résultats Projection'!$A10 ) * (DATABASE!$AW$14:$AW$968= AO$4))-ROW(DATABASE!$AV$14)+1,AO$5+3)),"")</f>
        <v/>
      </c>
      <c r="AP10" s="44">
        <f t="array" ref="AP10">IFERROR(_xlfn.SINGLE(INDEX(DATABASE!$AV$14:$BC$968,SUMPRODUCT((ROW(DATABASE!$AV$14:$AV$968)) * (DATABASE!$AV$14:CI$968='Résultats Projection'!$A10 ) * (DATABASE!$AW$14:$AW$968= AP$4))-ROW(DATABASE!$AV$14)+1,AP$5+3)),"")</f>
        <v/>
      </c>
      <c r="AQ10" s="44">
        <f t="array" ref="AQ10">IFERROR(_xlfn.SINGLE(INDEX(DATABASE!$AV$14:$BC$968,SUMPRODUCT((ROW(DATABASE!$AV$14:$AV$968)) * (DATABASE!$AV$14:CJ$968='Résultats Projection'!$A10 ) * (DATABASE!$AW$14:$AW$968= AQ$4))-ROW(DATABASE!$AV$14)+1,AQ$5+3)),"")</f>
        <v/>
      </c>
      <c r="AR10" s="44">
        <f t="array" ref="AR10">IFERROR(_xlfn.SINGLE(INDEX(DATABASE!$AV$14:$BC$968,SUMPRODUCT((ROW(DATABASE!$AV$14:$AV$968)) * (DATABASE!$AV$14:CK$968='Résultats Projection'!$A10 ) * (DATABASE!$AW$14:$AW$968= AR$4))-ROW(DATABASE!$AV$14)+1,AR$5+3)),"")</f>
        <v/>
      </c>
      <c r="AS10" s="44">
        <f t="array" ref="AS10">IFERROR(_xlfn.SINGLE(INDEX(DATABASE!$AV$14:$BC$968,SUMPRODUCT((ROW(DATABASE!$AV$14:$AV$968)) * (DATABASE!$AV$14:CL$968='Résultats Projection'!$A10 ) * (DATABASE!$AW$14:$AW$968= AS$4))-ROW(DATABASE!$AV$14)+1,AS$5+3)),"")</f>
        <v/>
      </c>
      <c r="AT10" s="44">
        <f t="array" ref="AT10">IFERROR(_xlfn.SINGLE(INDEX(DATABASE!$AV$14:$BC$968,SUMPRODUCT((ROW(DATABASE!$AV$14:$AV$968)) * (DATABASE!$AV$14:CM$968='Résultats Projection'!$A10 ) * (DATABASE!$AW$14:$AW$968= AT$4))-ROW(DATABASE!$AV$14)+1,AT$5+3)),"")</f>
        <v/>
      </c>
      <c r="AU10" s="44">
        <f t="array" ref="AU10">IFERROR(_xlfn.SINGLE(INDEX(DATABASE!$AV$14:$BC$968,SUMPRODUCT((ROW(DATABASE!$AV$14:$AV$968)) * (DATABASE!$AV$14:CN$968='Résultats Projection'!$A10 ) * (DATABASE!$AW$14:$AW$968= AU$4))-ROW(DATABASE!$AV$14)+1,AU$5+3)),"")</f>
        <v/>
      </c>
      <c r="AV10" s="44">
        <f t="array" ref="AV10">IFERROR(_xlfn.SINGLE(INDEX(DATABASE!$AV$14:$BC$968,SUMPRODUCT((ROW(DATABASE!$AV$14:$AV$968)) * (DATABASE!$AV$14:CO$968='Résultats Projection'!$A10 ) * (DATABASE!$AW$14:$AW$968= AV$4))-ROW(DATABASE!$AV$14)+1,AV$5+3)),"")</f>
        <v/>
      </c>
      <c r="AW10" s="44">
        <f t="array" ref="AW10">IFERROR(_xlfn.SINGLE(INDEX(DATABASE!$AV$14:$BC$968,SUMPRODUCT((ROW(DATABASE!$AV$14:$AV$968)) * (DATABASE!$AV$14:CP$968='Résultats Projection'!$A10 ) * (DATABASE!$AW$14:$AW$968= AW$4))-ROW(DATABASE!$AV$14)+1,AW$5+3)),"")</f>
        <v/>
      </c>
      <c r="AX10" s="44">
        <f t="array" ref="AX10">IFERROR(_xlfn.SINGLE(INDEX(DATABASE!$AV$14:$BC$968,SUMPRODUCT((ROW(DATABASE!$AV$14:$AV$968)) * (DATABASE!$AV$14:CQ$968='Résultats Projection'!$A10 ) * (DATABASE!$AW$14:$AW$968= AX$4))-ROW(DATABASE!$AV$14)+1,AX$5+3)),"")</f>
        <v/>
      </c>
      <c r="AY10" s="44">
        <f t="array" ref="AY10">IFERROR(_xlfn.SINGLE(INDEX(DATABASE!$AV$14:$BC$968,SUMPRODUCT((ROW(DATABASE!$AV$14:$AV$968)) * (DATABASE!$AV$14:CR$968='Résultats Projection'!$A10 ) * (DATABASE!$AW$14:$AW$968= AY$4))-ROW(DATABASE!$AV$14)+1,AY$5+3)),"")</f>
        <v/>
      </c>
      <c r="AZ10" s="44">
        <f t="array" ref="AZ10">IFERROR(_xlfn.SINGLE(INDEX(DATABASE!$AV$14:$BC$968,SUMPRODUCT((ROW(DATABASE!$AV$14:$AV$968)) * (DATABASE!$AV$14:CS$968='Résultats Projection'!$A10 ) * (DATABASE!$AW$14:$AW$968= AZ$4))-ROW(DATABASE!$AV$14)+1,AZ$5+3)),"")</f>
        <v/>
      </c>
      <c r="BA10" s="44">
        <f t="array" ref="BA10">IFERROR(_xlfn.SINGLE(INDEX(DATABASE!$AV$14:$BC$968,SUMPRODUCT((ROW(DATABASE!$AV$14:$AV$968)) * (DATABASE!$AV$14:CT$968='Résultats Projection'!$A10 ) * (DATABASE!$AW$14:$AW$968= BA$4))-ROW(DATABASE!$AV$14)+1,BA$5+3)),"")</f>
        <v/>
      </c>
      <c r="BB10" s="44">
        <f t="array" ref="BB10">IFERROR(_xlfn.SINGLE(INDEX(DATABASE!$AV$14:$BC$968,SUMPRODUCT((ROW(DATABASE!$AV$14:$AV$968)) * (DATABASE!$AV$14:CU$968='Résultats Projection'!$A10 ) * (DATABASE!$AW$14:$AW$968= BB$4))-ROW(DATABASE!$AV$14)+1,BB$5+3)),"")</f>
        <v/>
      </c>
      <c r="BC10" s="44">
        <f t="array" ref="BC10">IFERROR(_xlfn.SINGLE(INDEX(DATABASE!$AV$14:$BC$968,SUMPRODUCT((ROW(DATABASE!$AV$14:$AV$968)) * (DATABASE!$AV$14:CV$968='Résultats Projection'!$A10 ) * (DATABASE!$AW$14:$AW$968= BC$4))-ROW(DATABASE!$AV$14)+1,BC$5+3)),"")</f>
        <v/>
      </c>
      <c r="BD10" s="44">
        <f t="array" ref="BD10">IFERROR(_xlfn.SINGLE(INDEX(DATABASE!$AV$14:$BC$968,SUMPRODUCT((ROW(DATABASE!$AV$14:$AV$968)) * (DATABASE!$AV$14:CW$968='Résultats Projection'!$A10 ) * (DATABASE!$AW$14:$AW$968= BD$4))-ROW(DATABASE!$AV$14)+1,BD$5+3)),"")</f>
        <v/>
      </c>
      <c r="BE10" s="44">
        <f t="array" ref="BE10">IFERROR(_xlfn.SINGLE(INDEX(DATABASE!$AV$14:$BC$968,SUMPRODUCT((ROW(DATABASE!$AV$14:$AV$968)) * (DATABASE!$AV$14:CX$968='Résultats Projection'!$A10 ) * (DATABASE!$AW$14:$AW$968= BE$4))-ROW(DATABASE!$AV$14)+1,BE$5+3)),"")</f>
        <v/>
      </c>
      <c r="BF10" s="44">
        <f t="array" ref="BF10">IFERROR(_xlfn.SINGLE(INDEX(DATABASE!$AV$14:$BC$968,SUMPRODUCT((ROW(DATABASE!$AV$14:$AV$968)) * (DATABASE!$AV$14:CY$968='Résultats Projection'!$A10 ) * (DATABASE!$AW$14:$AW$968= BF$4))-ROW(DATABASE!$AV$14)+1,BF$5+3)),"")</f>
        <v/>
      </c>
      <c r="BG10" s="44">
        <f t="array" ref="BG10">IFERROR(_xlfn.SINGLE(INDEX(DATABASE!$AV$14:$BC$968,SUMPRODUCT((ROW(DATABASE!$AV$14:$AV$968)) * (DATABASE!$AV$14:CZ$968='Résultats Projection'!$A10 ) * (DATABASE!$AW$14:$AW$968= BG$4))-ROW(DATABASE!$AV$14)+1,BG$5+3)),"")</f>
        <v/>
      </c>
      <c r="BH10" s="44">
        <f t="array" ref="BH10">IFERROR(_xlfn.SINGLE(INDEX(DATABASE!$AV$14:$BC$968,SUMPRODUCT((ROW(DATABASE!$AV$14:$AV$968)) * (DATABASE!$AV$14:DA$968='Résultats Projection'!$A10 ) * (DATABASE!$AW$14:$AW$968= BH$4))-ROW(DATABASE!$AV$14)+1,BH$5+3)),"")</f>
        <v/>
      </c>
      <c r="BI10" s="44">
        <f t="array" ref="BI10">IFERROR(_xlfn.SINGLE(INDEX(DATABASE!$AV$14:$BC$968,SUMPRODUCT((ROW(DATABASE!$AV$14:$AV$968)) * (DATABASE!$AV$14:DB$968='Résultats Projection'!$A10 ) * (DATABASE!$AW$14:$AW$968= BI$4))-ROW(DATABASE!$AV$14)+1,BI$5+3)),"")</f>
        <v/>
      </c>
      <c r="BJ10" s="44">
        <f t="array" ref="BJ10">IFERROR(_xlfn.SINGLE(INDEX(DATABASE!$AV$14:$BC$968,SUMPRODUCT((ROW(DATABASE!$AV$14:$AV$968)) * (DATABASE!$AV$14:DC$968='Résultats Projection'!$A10 ) * (DATABASE!$AW$14:$AW$968= BJ$4))-ROW(DATABASE!$AV$14)+1,BJ$5+3)),"")</f>
        <v/>
      </c>
    </row>
    <row r="11" ht="29.25" customFormat="1" customHeight="1" s="28">
      <c r="A11" s="42" t="n">
        <v>45540</v>
      </c>
      <c r="B11" s="8">
        <f>A11-A$10</f>
        <v/>
      </c>
      <c r="C11" s="116">
        <f t="array" ref="C11">IFERROR(_xlfn.SINGLE(INDEX(DATABASE!$AV$14:$BC$968,SUMPRODUCT((ROW(DATABASE!$AV$14:$AV$968)) * (DATABASE!AV$14:$AV$968='Résultats Projection'!$A11 ) * (DATABASE!$AW$14:$AW$968= C$4))-ROW(DATABASE!$AV$14)+1,C$5+3)),"")</f>
        <v/>
      </c>
      <c r="D11" s="116">
        <f t="array" ref="D11">IFERROR(_xlfn.SINGLE(INDEX(DATABASE!$AV$14:$BC$968,SUMPRODUCT((ROW(DATABASE!$AV$14:$AV$968)) * (DATABASE!$AV$14:AW$968='Résultats Projection'!$A11 ) * (DATABASE!$AW$14:$AW$968= D$4))-ROW(DATABASE!$AV$14)+1,D$5+3)),"")</f>
        <v/>
      </c>
      <c r="E11" s="116">
        <f t="array" ref="E11">IFERROR(_xlfn.SINGLE(INDEX(DATABASE!$AV$14:$BC$968,SUMPRODUCT((ROW(DATABASE!$AV$14:$AV$968)) * (DATABASE!$AV$14:AX$968='Résultats Projection'!$A11 ) * (DATABASE!$AW$14:$AW$968= E$4))-ROW(DATABASE!$AV$14)+1,E$5+3)),"")</f>
        <v/>
      </c>
      <c r="F11" s="116">
        <f t="array" ref="F11">IFERROR(_xlfn.SINGLE(INDEX(DATABASE!$AV$14:$BC$968,SUMPRODUCT((ROW(DATABASE!$AV$14:$AV$968)) * (DATABASE!$AV$14:AY$968='Résultats Projection'!$A11 ) * (DATABASE!$AW$14:$AW$968= F$4))-ROW(DATABASE!$AV$14)+1,F$5+3)),"")</f>
        <v/>
      </c>
      <c r="G11" s="116">
        <f t="array" ref="G11">IFERROR(_xlfn.SINGLE(INDEX(DATABASE!$AV$14:$BC$968,SUMPRODUCT((ROW(DATABASE!$AV$14:$AV$968)) * (DATABASE!$AV$14:AZ$968='Résultats Projection'!$A11 ) * (DATABASE!$AW$14:$AW$968= G$4))-ROW(DATABASE!$AV$14)+1,G$5+3)),"")</f>
        <v/>
      </c>
      <c r="H11" s="116">
        <f t="array" ref="H11">IFERROR(_xlfn.SINGLE(INDEX(DATABASE!$AV$14:$BC$968,SUMPRODUCT((ROW(DATABASE!$AV$14:$AV$968)) * (DATABASE!$AV$14:BA$968='Résultats Projection'!$A11 ) * (DATABASE!$AW$14:$AW$968= H$4))-ROW(DATABASE!$AV$14)+1,H$5+3)),"")</f>
        <v/>
      </c>
      <c r="I11" s="116">
        <f t="array" ref="I11">IFERROR(_xlfn.SINGLE(INDEX(DATABASE!$AV$14:$BC$968,SUMPRODUCT((ROW(DATABASE!$AV$14:$AV$968)) * (DATABASE!$AV$14:BB$968='Résultats Projection'!$A11 ) * (DATABASE!$AW$14:$AW$968= I$4))-ROW(DATABASE!$AV$14)+1,I$5+3)),"")</f>
        <v/>
      </c>
      <c r="J11" s="116">
        <f t="array" ref="J11">IFERROR(_xlfn.SINGLE(INDEX(DATABASE!$AV$14:$BC$968,SUMPRODUCT((ROW(DATABASE!$AV$14:$AV$968)) * (DATABASE!$AV$14:BC$968='Résultats Projection'!$A11 ) * (DATABASE!$AW$14:$AW$968= J$4))-ROW(DATABASE!$AV$14)+1,J$5+3)),"")</f>
        <v/>
      </c>
      <c r="K11" s="116">
        <f t="array" ref="K11">IFERROR(_xlfn.SINGLE(INDEX(DATABASE!$AV$14:$BC$968,SUMPRODUCT((ROW(DATABASE!$AV$14:$AV$968)) * (DATABASE!$AV$14:BD$968='Résultats Projection'!$A11 ) * (DATABASE!$AW$14:$AW$968= K$4))-ROW(DATABASE!$AV$14)+1,K$5+3)),"")</f>
        <v/>
      </c>
      <c r="L11" s="116">
        <f t="array" ref="L11">IFERROR(_xlfn.SINGLE(INDEX(DATABASE!$AV$14:$BC$968,SUMPRODUCT((ROW(DATABASE!$AV$14:$AV$968)) * (DATABASE!$AV$14:BE$968='Résultats Projection'!$A11 ) * (DATABASE!$AW$14:$AW$968= L$4))-ROW(DATABASE!$AV$14)+1,L$5+3)),"")</f>
        <v/>
      </c>
      <c r="M11" s="116">
        <f t="array" ref="M11">IFERROR(_xlfn.SINGLE(INDEX(DATABASE!$AV$14:$BC$968,SUMPRODUCT((ROW(DATABASE!$AV$14:$AV$968)) * (DATABASE!$AV$14:BF$968='Résultats Projection'!$A11 ) * (DATABASE!$AW$14:$AW$968= M$4))-ROW(DATABASE!$AV$14)+1,M$5+3)),"")</f>
        <v/>
      </c>
      <c r="N11" s="116">
        <f t="array" ref="N11">IFERROR(_xlfn.SINGLE(INDEX(DATABASE!$AV$14:$BC$968,SUMPRODUCT((ROW(DATABASE!$AV$14:$AV$968)) * (DATABASE!$AV$14:BG$968='Résultats Projection'!$A11 ) * (DATABASE!$AW$14:$AW$968= N$4))-ROW(DATABASE!$AV$14)+1,N$5+3)),"")</f>
        <v/>
      </c>
      <c r="O11" s="116">
        <f t="array" ref="O11">IFERROR(_xlfn.SINGLE(INDEX(DATABASE!$AV$14:$BC$968,SUMPRODUCT((ROW(DATABASE!$AV$14:$AV$968)) * (DATABASE!$AV$14:BH$968='Résultats Projection'!$A11 ) * (DATABASE!$AW$14:$AW$968= O$4))-ROW(DATABASE!$AV$14)+1,O$5+3)),"")</f>
        <v/>
      </c>
      <c r="P11" s="116">
        <f t="array" ref="P11">IFERROR(_xlfn.SINGLE(INDEX(DATABASE!$AV$14:$BC$968,SUMPRODUCT((ROW(DATABASE!$AV$14:$AV$968)) * (DATABASE!$AV$14:BI$968='Résultats Projection'!$A11 ) * (DATABASE!$AW$14:$AW$968= P$4))-ROW(DATABASE!$AV$14)+1,P$5+3)),"")</f>
        <v/>
      </c>
      <c r="Q11" s="116">
        <f t="array" ref="Q11">IFERROR(_xlfn.SINGLE(INDEX(DATABASE!$AV$14:$BC$968,SUMPRODUCT((ROW(DATABASE!$AV$14:$AV$968)) * (DATABASE!$AV$14:BJ$968='Résultats Projection'!$A11 ) * (DATABASE!$AW$14:$AW$968= Q$4))-ROW(DATABASE!$AV$14)+1,Q$5+3)),"")</f>
        <v/>
      </c>
      <c r="R11" s="116">
        <f t="array" ref="R11">IFERROR(_xlfn.SINGLE(INDEX(DATABASE!$AV$14:$BC$968,SUMPRODUCT((ROW(DATABASE!$AV$14:$AV$968)) * (DATABASE!$AV$14:BK$968='Résultats Projection'!$A11 ) * (DATABASE!$AW$14:$AW$968= R$4))-ROW(DATABASE!$AV$14)+1,R$5+3)),"")</f>
        <v/>
      </c>
      <c r="S11" s="116">
        <f t="array" ref="S11">IFERROR(_xlfn.SINGLE(INDEX(DATABASE!$AV$14:$BC$968,SUMPRODUCT((ROW(DATABASE!$AV$14:$AV$968)) * (DATABASE!$AV$14:BL$968='Résultats Projection'!$A11 ) * (DATABASE!$AW$14:$AW$968= S$4))-ROW(DATABASE!$AV$14)+1,S$5+3)),"")</f>
        <v/>
      </c>
      <c r="T11" s="116">
        <f t="array" ref="T11">IFERROR(_xlfn.SINGLE(INDEX(DATABASE!$AV$14:$BC$968,SUMPRODUCT((ROW(DATABASE!$AV$14:$AV$968)) * (DATABASE!$AV$14:BM$968='Résultats Projection'!$A11 ) * (DATABASE!$AW$14:$AW$968= T$4))-ROW(DATABASE!$AV$14)+1,T$5+3)),"")</f>
        <v/>
      </c>
      <c r="U11" s="116">
        <f t="array" ref="U11">IFERROR(_xlfn.SINGLE(INDEX(DATABASE!$AV$14:$BC$968,SUMPRODUCT((ROW(DATABASE!$AV$14:$AV$968)) * (DATABASE!$AV$14:BN$968='Résultats Projection'!$A11 ) * (DATABASE!$AW$14:$AW$968= U$4))-ROW(DATABASE!$AV$14)+1,U$5+3)),"")</f>
        <v/>
      </c>
      <c r="V11" s="116">
        <f t="array" ref="V11">IFERROR(_xlfn.SINGLE(INDEX(DATABASE!$AV$14:$BC$968,SUMPRODUCT((ROW(DATABASE!$AV$14:$AV$968)) * (DATABASE!$AV$14:BO$968='Résultats Projection'!$A11 ) * (DATABASE!$AW$14:$AW$968= V$4))-ROW(DATABASE!$AV$14)+1,V$5+3)),"")</f>
        <v/>
      </c>
      <c r="W11" s="116">
        <f t="array" ref="W11">IFERROR(_xlfn.SINGLE(INDEX(DATABASE!$AV$14:$BC$968,SUMPRODUCT((ROW(DATABASE!$AV$14:$AV$968)) * (DATABASE!$AV$14:BP$968='Résultats Projection'!$A11 ) * (DATABASE!$AW$14:$AW$968= W$4))-ROW(DATABASE!$AV$14)+1,W$5+3)),"")</f>
        <v/>
      </c>
      <c r="X11" s="116">
        <f t="array" ref="X11">IFERROR(_xlfn.SINGLE(INDEX(DATABASE!$AV$14:$BC$968,SUMPRODUCT((ROW(DATABASE!$AV$14:$AV$968)) * (DATABASE!$AV$14:BQ$968='Résultats Projection'!$A11 ) * (DATABASE!$AW$14:$AW$968= X$4))-ROW(DATABASE!$AV$14)+1,X$5+3)),"")</f>
        <v/>
      </c>
      <c r="Y11" s="116">
        <f t="array" ref="Y11">IFERROR(_xlfn.SINGLE(INDEX(DATABASE!$AV$14:$BC$968,SUMPRODUCT((ROW(DATABASE!$AV$14:$AV$968)) * (DATABASE!$AV$14:BR$968='Résultats Projection'!$A11 ) * (DATABASE!$AW$14:$AW$968= Y$4))-ROW(DATABASE!$AV$14)+1,Y$5+3)),"")</f>
        <v/>
      </c>
      <c r="Z11" s="116">
        <f t="array" ref="Z11">IFERROR(_xlfn.SINGLE(INDEX(DATABASE!$AV$14:$BC$968,SUMPRODUCT((ROW(DATABASE!$AV$14:$AV$968)) * (DATABASE!$AV$14:BS$968='Résultats Projection'!$A11 ) * (DATABASE!$AW$14:$AW$968= Z$4))-ROW(DATABASE!$AV$14)+1,Z$5+3)),"")</f>
        <v/>
      </c>
      <c r="AA11" s="116">
        <f t="array" ref="AA11">IFERROR(_xlfn.SINGLE(INDEX(DATABASE!$AV$14:$BC$968,SUMPRODUCT((ROW(DATABASE!$AV$14:$AV$968)) * (DATABASE!$AV$14:BT$968='Résultats Projection'!$A11 ) * (DATABASE!$AW$14:$AW$968= AA$4))-ROW(DATABASE!$AV$14)+1,AA$5+3)),"")</f>
        <v/>
      </c>
      <c r="AB11" s="116">
        <f t="array" ref="AB11">IFERROR(_xlfn.SINGLE(INDEX(DATABASE!$AV$14:$BC$968,SUMPRODUCT((ROW(DATABASE!$AV$14:$AV$968)) * (DATABASE!$AV$14:BU$968='Résultats Projection'!$A11 ) * (DATABASE!$AW$14:$AW$968= AB$4))-ROW(DATABASE!$AV$14)+1,AB$5+3)),"")</f>
        <v/>
      </c>
      <c r="AC11" s="116">
        <f t="array" ref="AC11">IFERROR(_xlfn.SINGLE(INDEX(DATABASE!$AV$14:$BC$968,SUMPRODUCT((ROW(DATABASE!$AV$14:$AV$968)) * (DATABASE!$AV$14:BV$968='Résultats Projection'!$A11 ) * (DATABASE!$AW$14:$AW$968= AC$4))-ROW(DATABASE!$AV$14)+1,AC$5+3)),"")</f>
        <v/>
      </c>
      <c r="AD11" s="116">
        <f t="array" ref="AD11">IFERROR(_xlfn.SINGLE(INDEX(DATABASE!$AV$14:$BC$968,SUMPRODUCT((ROW(DATABASE!$AV$14:$AV$968)) * (DATABASE!$AV$14:BW$968='Résultats Projection'!$A11 ) * (DATABASE!$AW$14:$AW$968= AD$4))-ROW(DATABASE!$AV$14)+1,AD$5+3)),"")</f>
        <v/>
      </c>
      <c r="AE11" s="116">
        <f t="array" ref="AE11">IFERROR(_xlfn.SINGLE(INDEX(DATABASE!$AV$14:$BC$968,SUMPRODUCT((ROW(DATABASE!$AV$14:$AV$968)) * (DATABASE!$AV$14:BX$968='Résultats Projection'!$A11 ) * (DATABASE!$AW$14:$AW$968= AE$4))-ROW(DATABASE!$AV$14)+1,AE$5+3)),"")</f>
        <v/>
      </c>
      <c r="AF11" s="116">
        <f t="array" ref="AF11">IFERROR(_xlfn.SINGLE(INDEX(DATABASE!$AV$14:$BC$968,SUMPRODUCT((ROW(DATABASE!$AV$14:$AV$968)) * (DATABASE!$AV$14:BY$968='Résultats Projection'!$A11 ) * (DATABASE!$AW$14:$AW$968= AF$4))-ROW(DATABASE!$AV$14)+1,AF$5+3)),"")</f>
        <v/>
      </c>
      <c r="AG11" s="116">
        <f t="array" ref="AG11">IFERROR(_xlfn.SINGLE(INDEX(DATABASE!$AV$14:$BC$968,SUMPRODUCT((ROW(DATABASE!$AV$14:$AV$968)) * (DATABASE!$AV$14:BZ$968='Résultats Projection'!$A11 ) * (DATABASE!$AW$14:$AW$968= AG$4))-ROW(DATABASE!$AV$14)+1,AG$5+3)),"")</f>
        <v/>
      </c>
      <c r="AH11" s="116">
        <f t="array" ref="AH11">IFERROR(_xlfn.SINGLE(INDEX(DATABASE!$AV$14:$BC$968,SUMPRODUCT((ROW(DATABASE!$AV$14:$AV$968)) * (DATABASE!$AV$14:CA$968='Résultats Projection'!$A11 ) * (DATABASE!$AW$14:$AW$968= AH$4))-ROW(DATABASE!$AV$14)+1,AH$5+3)),"")</f>
        <v/>
      </c>
      <c r="AI11" s="116">
        <f t="array" ref="AI11">IFERROR(_xlfn.SINGLE(INDEX(DATABASE!$AV$14:$BC$968,SUMPRODUCT((ROW(DATABASE!$AV$14:$AV$968)) * (DATABASE!$AV$14:CB$968='Résultats Projection'!$A11 ) * (DATABASE!$AW$14:$AW$968= AI$4))-ROW(DATABASE!$AV$14)+1,AI$5+3)),"")</f>
        <v/>
      </c>
      <c r="AJ11" s="116">
        <f t="array" ref="AJ11">IFERROR(_xlfn.SINGLE(INDEX(DATABASE!$AV$14:$BC$968,SUMPRODUCT((ROW(DATABASE!$AV$14:$AV$968)) * (DATABASE!$AV$14:CC$968='Résultats Projection'!$A11 ) * (DATABASE!$AW$14:$AW$968= AJ$4))-ROW(DATABASE!$AV$14)+1,AJ$5+3)),"")</f>
        <v/>
      </c>
      <c r="AK11" s="116">
        <f t="array" ref="AK11">IFERROR(_xlfn.SINGLE(INDEX(DATABASE!$AV$14:$BC$968,SUMPRODUCT((ROW(DATABASE!$AV$14:$AV$968)) * (DATABASE!$AV$14:CD$968='Résultats Projection'!$A11 ) * (DATABASE!$AW$14:$AW$968= AK$4))-ROW(DATABASE!$AV$14)+1,AK$5+3)),"")</f>
        <v/>
      </c>
      <c r="AL11" s="116">
        <f t="array" ref="AL11">IFERROR(_xlfn.SINGLE(INDEX(DATABASE!$AV$14:$BC$968,SUMPRODUCT((ROW(DATABASE!$AV$14:$AV$968)) * (DATABASE!$AV$14:CE$968='Résultats Projection'!$A11 ) * (DATABASE!$AW$14:$AW$968= AL$4))-ROW(DATABASE!$AV$14)+1,AL$5+3)),"")</f>
        <v/>
      </c>
      <c r="AM11" s="116">
        <f t="array" ref="AM11">IFERROR(_xlfn.SINGLE(INDEX(DATABASE!$AV$14:$BC$968,SUMPRODUCT((ROW(DATABASE!$AV$14:$AV$968)) * (DATABASE!$AV$14:CF$968='Résultats Projection'!$A11 ) * (DATABASE!$AW$14:$AW$968= AM$4))-ROW(DATABASE!$AV$14)+1,AM$5+3)),"")</f>
        <v/>
      </c>
      <c r="AN11" s="116">
        <f t="array" ref="AN11">IFERROR(_xlfn.SINGLE(INDEX(DATABASE!$AV$14:$BC$968,SUMPRODUCT((ROW(DATABASE!$AV$14:$AV$968)) * (DATABASE!$AV$14:CG$968='Résultats Projection'!$A11 ) * (DATABASE!$AW$14:$AW$968= AN$4))-ROW(DATABASE!$AV$14)+1,AN$5+3)),"")</f>
        <v/>
      </c>
      <c r="AO11" s="116">
        <f t="array" ref="AO11">IFERROR(_xlfn.SINGLE(INDEX(DATABASE!$AV$14:$BC$968,SUMPRODUCT((ROW(DATABASE!$AV$14:$AV$968)) * (DATABASE!$AV$14:CH$968='Résultats Projection'!$A11 ) * (DATABASE!$AW$14:$AW$968= AO$4))-ROW(DATABASE!$AV$14)+1,AO$5+3)),"")</f>
        <v/>
      </c>
      <c r="AP11" s="116">
        <f t="array" ref="AP11">IFERROR(_xlfn.SINGLE(INDEX(DATABASE!$AV$14:$BC$968,SUMPRODUCT((ROW(DATABASE!$AV$14:$AV$968)) * (DATABASE!$AV$14:CI$968='Résultats Projection'!$A11 ) * (DATABASE!$AW$14:$AW$968= AP$4))-ROW(DATABASE!$AV$14)+1,AP$5+3)),"")</f>
        <v/>
      </c>
      <c r="AQ11" s="116">
        <f t="array" ref="AQ11">IFERROR(_xlfn.SINGLE(INDEX(DATABASE!$AV$14:$BC$968,SUMPRODUCT((ROW(DATABASE!$AV$14:$AV$968)) * (DATABASE!$AV$14:CJ$968='Résultats Projection'!$A11 ) * (DATABASE!$AW$14:$AW$968= AQ$4))-ROW(DATABASE!$AV$14)+1,AQ$5+3)),"")</f>
        <v/>
      </c>
      <c r="AR11" s="116">
        <f t="array" ref="AR11">IFERROR(_xlfn.SINGLE(INDEX(DATABASE!$AV$14:$BC$968,SUMPRODUCT((ROW(DATABASE!$AV$14:$AV$968)) * (DATABASE!$AV$14:CK$968='Résultats Projection'!$A11 ) * (DATABASE!$AW$14:$AW$968= AR$4))-ROW(DATABASE!$AV$14)+1,AR$5+3)),"")</f>
        <v/>
      </c>
      <c r="AS11" s="116">
        <f t="array" ref="AS11">IFERROR(_xlfn.SINGLE(INDEX(DATABASE!$AV$14:$BC$968,SUMPRODUCT((ROW(DATABASE!$AV$14:$AV$968)) * (DATABASE!$AV$14:CL$968='Résultats Projection'!$A11 ) * (DATABASE!$AW$14:$AW$968= AS$4))-ROW(DATABASE!$AV$14)+1,AS$5+3)),"")</f>
        <v/>
      </c>
      <c r="AT11" s="116">
        <f t="array" ref="AT11">IFERROR(_xlfn.SINGLE(INDEX(DATABASE!$AV$14:$BC$968,SUMPRODUCT((ROW(DATABASE!$AV$14:$AV$968)) * (DATABASE!$AV$14:CM$968='Résultats Projection'!$A11 ) * (DATABASE!$AW$14:$AW$968= AT$4))-ROW(DATABASE!$AV$14)+1,AT$5+3)),"")</f>
        <v/>
      </c>
      <c r="AU11" s="116">
        <f t="array" ref="AU11">IFERROR(_xlfn.SINGLE(INDEX(DATABASE!$AV$14:$BC$968,SUMPRODUCT((ROW(DATABASE!$AV$14:$AV$968)) * (DATABASE!$AV$14:CN$968='Résultats Projection'!$A11 ) * (DATABASE!$AW$14:$AW$968= AU$4))-ROW(DATABASE!$AV$14)+1,AU$5+3)),"")</f>
        <v/>
      </c>
      <c r="AV11" s="116">
        <f t="array" ref="AV11">IFERROR(_xlfn.SINGLE(INDEX(DATABASE!$AV$14:$BC$968,SUMPRODUCT((ROW(DATABASE!$AV$14:$AV$968)) * (DATABASE!$AV$14:CO$968='Résultats Projection'!$A11 ) * (DATABASE!$AW$14:$AW$968= AV$4))-ROW(DATABASE!$AV$14)+1,AV$5+3)),"")</f>
        <v/>
      </c>
      <c r="AW11" s="116">
        <f t="array" ref="AW11">IFERROR(_xlfn.SINGLE(INDEX(DATABASE!$AV$14:$BC$968,SUMPRODUCT((ROW(DATABASE!$AV$14:$AV$968)) * (DATABASE!$AV$14:CP$968='Résultats Projection'!$A11 ) * (DATABASE!$AW$14:$AW$968= AW$4))-ROW(DATABASE!$AV$14)+1,AW$5+3)),"")</f>
        <v/>
      </c>
      <c r="AX11" s="116">
        <f t="array" ref="AX11">IFERROR(_xlfn.SINGLE(INDEX(DATABASE!$AV$14:$BC$968,SUMPRODUCT((ROW(DATABASE!$AV$14:$AV$968)) * (DATABASE!$AV$14:CQ$968='Résultats Projection'!$A11 ) * (DATABASE!$AW$14:$AW$968= AX$4))-ROW(DATABASE!$AV$14)+1,AX$5+3)),"")</f>
        <v/>
      </c>
      <c r="AY11" s="116">
        <f t="array" ref="AY11">IFERROR(_xlfn.SINGLE(INDEX(DATABASE!$AV$14:$BC$968,SUMPRODUCT((ROW(DATABASE!$AV$14:$AV$968)) * (DATABASE!$AV$14:CR$968='Résultats Projection'!$A11 ) * (DATABASE!$AW$14:$AW$968= AY$4))-ROW(DATABASE!$AV$14)+1,AY$5+3)),"")</f>
        <v/>
      </c>
      <c r="AZ11" s="116">
        <f t="array" ref="AZ11">IFERROR(_xlfn.SINGLE(INDEX(DATABASE!$AV$14:$BC$968,SUMPRODUCT((ROW(DATABASE!$AV$14:$AV$968)) * (DATABASE!$AV$14:CS$968='Résultats Projection'!$A11 ) * (DATABASE!$AW$14:$AW$968= AZ$4))-ROW(DATABASE!$AV$14)+1,AZ$5+3)),"")</f>
        <v/>
      </c>
      <c r="BA11" s="116">
        <f t="array" ref="BA11">IFERROR(_xlfn.SINGLE(INDEX(DATABASE!$AV$14:$BC$968,SUMPRODUCT((ROW(DATABASE!$AV$14:$AV$968)) * (DATABASE!$AV$14:CT$968='Résultats Projection'!$A11 ) * (DATABASE!$AW$14:$AW$968= BA$4))-ROW(DATABASE!$AV$14)+1,BA$5+3)),"")</f>
        <v/>
      </c>
      <c r="BB11" s="116">
        <f t="array" ref="BB11">IFERROR(_xlfn.SINGLE(INDEX(DATABASE!$AV$14:$BC$968,SUMPRODUCT((ROW(DATABASE!$AV$14:$AV$968)) * (DATABASE!$AV$14:CU$968='Résultats Projection'!$A11 ) * (DATABASE!$AW$14:$AW$968= BB$4))-ROW(DATABASE!$AV$14)+1,BB$5+3)),"")</f>
        <v/>
      </c>
      <c r="BC11" s="116">
        <f t="array" ref="BC11">IFERROR(_xlfn.SINGLE(INDEX(DATABASE!$AV$14:$BC$968,SUMPRODUCT((ROW(DATABASE!$AV$14:$AV$968)) * (DATABASE!$AV$14:CV$968='Résultats Projection'!$A11 ) * (DATABASE!$AW$14:$AW$968= BC$4))-ROW(DATABASE!$AV$14)+1,BC$5+3)),"")</f>
        <v/>
      </c>
      <c r="BD11" s="116">
        <f t="array" ref="BD11">IFERROR(_xlfn.SINGLE(INDEX(DATABASE!$AV$14:$BC$968,SUMPRODUCT((ROW(DATABASE!$AV$14:$AV$968)) * (DATABASE!$AV$14:CW$968='Résultats Projection'!$A11 ) * (DATABASE!$AW$14:$AW$968= BD$4))-ROW(DATABASE!$AV$14)+1,BD$5+3)),"")</f>
        <v/>
      </c>
      <c r="BE11" s="116">
        <f t="array" ref="BE11">IFERROR(_xlfn.SINGLE(INDEX(DATABASE!$AV$14:$BC$968,SUMPRODUCT((ROW(DATABASE!$AV$14:$AV$968)) * (DATABASE!$AV$14:CX$968='Résultats Projection'!$A11 ) * (DATABASE!$AW$14:$AW$968= BE$4))-ROW(DATABASE!$AV$14)+1,BE$5+3)),"")</f>
        <v/>
      </c>
      <c r="BF11" s="116">
        <f t="array" ref="BF11">IFERROR(_xlfn.SINGLE(INDEX(DATABASE!$AV$14:$BC$968,SUMPRODUCT((ROW(DATABASE!$AV$14:$AV$968)) * (DATABASE!$AV$14:CY$968='Résultats Projection'!$A11 ) * (DATABASE!$AW$14:$AW$968= BF$4))-ROW(DATABASE!$AV$14)+1,BF$5+3)),"")</f>
        <v/>
      </c>
      <c r="BG11" s="116">
        <f t="array" ref="BG11">IFERROR(_xlfn.SINGLE(INDEX(DATABASE!$AV$14:$BC$968,SUMPRODUCT((ROW(DATABASE!$AV$14:$AV$968)) * (DATABASE!$AV$14:CZ$968='Résultats Projection'!$A11 ) * (DATABASE!$AW$14:$AW$968= BG$4))-ROW(DATABASE!$AV$14)+1,BG$5+3)),"")</f>
        <v/>
      </c>
      <c r="BH11" s="116">
        <f t="array" ref="BH11">IFERROR(_xlfn.SINGLE(INDEX(DATABASE!$AV$14:$BC$968,SUMPRODUCT((ROW(DATABASE!$AV$14:$AV$968)) * (DATABASE!$AV$14:DA$968='Résultats Projection'!$A11 ) * (DATABASE!$AW$14:$AW$968= BH$4))-ROW(DATABASE!$AV$14)+1,BH$5+3)),"")</f>
        <v/>
      </c>
      <c r="BI11" s="116">
        <f t="array" ref="BI11">IFERROR(_xlfn.SINGLE(INDEX(DATABASE!$AV$14:$BC$968,SUMPRODUCT((ROW(DATABASE!$AV$14:$AV$968)) * (DATABASE!$AV$14:DB$968='Résultats Projection'!$A11 ) * (DATABASE!$AW$14:$AW$968= BI$4))-ROW(DATABASE!$AV$14)+1,BI$5+3)),"")</f>
        <v/>
      </c>
      <c r="BJ11" s="116">
        <f t="array" ref="BJ11">IFERROR(_xlfn.SINGLE(INDEX(DATABASE!$AV$14:$BC$968,SUMPRODUCT((ROW(DATABASE!$AV$14:$AV$968)) * (DATABASE!$AV$14:DC$968='Résultats Projection'!$A11 ) * (DATABASE!$AW$14:$AW$968= BJ$4))-ROW(DATABASE!$AV$14)+1,BJ$5+3)),"")</f>
        <v/>
      </c>
    </row>
    <row r="12" ht="29.25" customFormat="1" customHeight="1" s="28">
      <c r="A12" s="42" t="n">
        <v>45544</v>
      </c>
      <c r="B12" s="8">
        <f>A12-A$10</f>
        <v/>
      </c>
      <c r="C12" s="116">
        <f t="array" ref="C12">IFERROR(_xlfn.SINGLE(INDEX(DATABASE!$AV$14:$BC$968,SUMPRODUCT((ROW(DATABASE!$AV$14:$AV$968)) * (DATABASE!AV$14:$AV$968='Résultats Projection'!$A12 ) * (DATABASE!$AW$14:$AW$968= C$4))-ROW(DATABASE!$AV$14)+1,C$5+3)),"")</f>
        <v/>
      </c>
      <c r="D12" s="116">
        <f t="array" ref="D12">IFERROR(_xlfn.SINGLE(INDEX(DATABASE!$AV$14:$BC$968,SUMPRODUCT((ROW(DATABASE!$AV$14:$AV$968)) * (DATABASE!$AV$14:AW$968='Résultats Projection'!$A12 ) * (DATABASE!$AW$14:$AW$968= D$4))-ROW(DATABASE!$AV$14)+1,D$5+3)),"")</f>
        <v/>
      </c>
      <c r="E12" s="116">
        <f t="array" ref="E12">IFERROR(_xlfn.SINGLE(INDEX(DATABASE!$AV$14:$BC$968,SUMPRODUCT((ROW(DATABASE!$AV$14:$AV$968)) * (DATABASE!$AV$14:AX$968='Résultats Projection'!$A12 ) * (DATABASE!$AW$14:$AW$968= E$4))-ROW(DATABASE!$AV$14)+1,E$5+3)),"")</f>
        <v/>
      </c>
      <c r="F12" s="116">
        <f t="array" ref="F12">IFERROR(_xlfn.SINGLE(INDEX(DATABASE!$AV$14:$BC$968,SUMPRODUCT((ROW(DATABASE!$AV$14:$AV$968)) * (DATABASE!$AV$14:AY$968='Résultats Projection'!$A12 ) * (DATABASE!$AW$14:$AW$968= F$4))-ROW(DATABASE!$AV$14)+1,F$5+3)),"")</f>
        <v/>
      </c>
      <c r="G12" s="116">
        <f t="array" ref="G12">IFERROR(_xlfn.SINGLE(INDEX(DATABASE!$AV$14:$BC$968,SUMPRODUCT((ROW(DATABASE!$AV$14:$AV$968)) * (DATABASE!$AV$14:AZ$968='Résultats Projection'!$A12 ) * (DATABASE!$AW$14:$AW$968= G$4))-ROW(DATABASE!$AV$14)+1,G$5+3)),"")</f>
        <v/>
      </c>
      <c r="H12" s="116">
        <f t="array" ref="H12">IFERROR(_xlfn.SINGLE(INDEX(DATABASE!$AV$14:$BC$968,SUMPRODUCT((ROW(DATABASE!$AV$14:$AV$968)) * (DATABASE!$AV$14:BA$968='Résultats Projection'!$A12 ) * (DATABASE!$AW$14:$AW$968= H$4))-ROW(DATABASE!$AV$14)+1,H$5+3)),"")</f>
        <v/>
      </c>
      <c r="I12" s="116">
        <f t="array" ref="I12">IFERROR(_xlfn.SINGLE(INDEX(DATABASE!$AV$14:$BC$968,SUMPRODUCT((ROW(DATABASE!$AV$14:$AV$968)) * (DATABASE!$AV$14:BB$968='Résultats Projection'!$A12 ) * (DATABASE!$AW$14:$AW$968= I$4))-ROW(DATABASE!$AV$14)+1,I$5+3)),"")</f>
        <v/>
      </c>
      <c r="J12" s="116">
        <f t="array" ref="J12">IFERROR(_xlfn.SINGLE(INDEX(DATABASE!$AV$14:$BC$968,SUMPRODUCT((ROW(DATABASE!$AV$14:$AV$968)) * (DATABASE!$AV$14:BC$968='Résultats Projection'!$A12 ) * (DATABASE!$AW$14:$AW$968= J$4))-ROW(DATABASE!$AV$14)+1,J$5+3)),"")</f>
        <v/>
      </c>
      <c r="K12" s="116">
        <f t="array" ref="K12">IFERROR(_xlfn.SINGLE(INDEX(DATABASE!$AV$14:$BC$968,SUMPRODUCT((ROW(DATABASE!$AV$14:$AV$968)) * (DATABASE!$AV$14:BD$968='Résultats Projection'!$A12 ) * (DATABASE!$AW$14:$AW$968= K$4))-ROW(DATABASE!$AV$14)+1,K$5+3)),"")</f>
        <v/>
      </c>
      <c r="L12" s="116">
        <f t="array" ref="L12">IFERROR(_xlfn.SINGLE(INDEX(DATABASE!$AV$14:$BC$968,SUMPRODUCT((ROW(DATABASE!$AV$14:$AV$968)) * (DATABASE!$AV$14:BE$968='Résultats Projection'!$A12 ) * (DATABASE!$AW$14:$AW$968= L$4))-ROW(DATABASE!$AV$14)+1,L$5+3)),"")</f>
        <v/>
      </c>
      <c r="M12" s="116">
        <f t="array" ref="M12">IFERROR(_xlfn.SINGLE(INDEX(DATABASE!$AV$14:$BC$968,SUMPRODUCT((ROW(DATABASE!$AV$14:$AV$968)) * (DATABASE!$AV$14:BF$968='Résultats Projection'!$A12 ) * (DATABASE!$AW$14:$AW$968= M$4))-ROW(DATABASE!$AV$14)+1,M$5+3)),"")</f>
        <v/>
      </c>
      <c r="N12" s="116">
        <f t="array" ref="N12">IFERROR(_xlfn.SINGLE(INDEX(DATABASE!$AV$14:$BC$968,SUMPRODUCT((ROW(DATABASE!$AV$14:$AV$968)) * (DATABASE!$AV$14:BG$968='Résultats Projection'!$A12 ) * (DATABASE!$AW$14:$AW$968= N$4))-ROW(DATABASE!$AV$14)+1,N$5+3)),"")</f>
        <v/>
      </c>
      <c r="O12" s="116">
        <f t="array" ref="O12">IFERROR(_xlfn.SINGLE(INDEX(DATABASE!$AV$14:$BC$968,SUMPRODUCT((ROW(DATABASE!$AV$14:$AV$968)) * (DATABASE!$AV$14:BH$968='Résultats Projection'!$A12 ) * (DATABASE!$AW$14:$AW$968= O$4))-ROW(DATABASE!$AV$14)+1,O$5+3)),"")</f>
        <v/>
      </c>
      <c r="P12" s="116">
        <f t="array" ref="P12">IFERROR(_xlfn.SINGLE(INDEX(DATABASE!$AV$14:$BC$968,SUMPRODUCT((ROW(DATABASE!$AV$14:$AV$968)) * (DATABASE!$AV$14:BI$968='Résultats Projection'!$A12 ) * (DATABASE!$AW$14:$AW$968= P$4))-ROW(DATABASE!$AV$14)+1,P$5+3)),"")</f>
        <v/>
      </c>
      <c r="Q12" s="116">
        <f t="array" ref="Q12">IFERROR(_xlfn.SINGLE(INDEX(DATABASE!$AV$14:$BC$968,SUMPRODUCT((ROW(DATABASE!$AV$14:$AV$968)) * (DATABASE!$AV$14:BJ$968='Résultats Projection'!$A12 ) * (DATABASE!$AW$14:$AW$968= Q$4))-ROW(DATABASE!$AV$14)+1,Q$5+3)),"")</f>
        <v/>
      </c>
      <c r="R12" s="116">
        <f t="array" ref="R12">IFERROR(_xlfn.SINGLE(INDEX(DATABASE!$AV$14:$BC$968,SUMPRODUCT((ROW(DATABASE!$AV$14:$AV$968)) * (DATABASE!$AV$14:BK$968='Résultats Projection'!$A12 ) * (DATABASE!$AW$14:$AW$968= R$4))-ROW(DATABASE!$AV$14)+1,R$5+3)),"")</f>
        <v/>
      </c>
      <c r="S12" s="116">
        <f t="array" ref="S12">IFERROR(_xlfn.SINGLE(INDEX(DATABASE!$AV$14:$BC$968,SUMPRODUCT((ROW(DATABASE!$AV$14:$AV$968)) * (DATABASE!$AV$14:BL$968='Résultats Projection'!$A12 ) * (DATABASE!$AW$14:$AW$968= S$4))-ROW(DATABASE!$AV$14)+1,S$5+3)),"")</f>
        <v/>
      </c>
      <c r="T12" s="116">
        <f t="array" ref="T12">IFERROR(_xlfn.SINGLE(INDEX(DATABASE!$AV$14:$BC$968,SUMPRODUCT((ROW(DATABASE!$AV$14:$AV$968)) * (DATABASE!$AV$14:BM$968='Résultats Projection'!$A12 ) * (DATABASE!$AW$14:$AW$968= T$4))-ROW(DATABASE!$AV$14)+1,T$5+3)),"")</f>
        <v/>
      </c>
      <c r="U12" s="116">
        <f t="array" ref="U12">IFERROR(_xlfn.SINGLE(INDEX(DATABASE!$AV$14:$BC$968,SUMPRODUCT((ROW(DATABASE!$AV$14:$AV$968)) * (DATABASE!$AV$14:BN$968='Résultats Projection'!$A12 ) * (DATABASE!$AW$14:$AW$968= U$4))-ROW(DATABASE!$AV$14)+1,U$5+3)),"")</f>
        <v/>
      </c>
      <c r="V12" s="116">
        <f t="array" ref="V12">IFERROR(_xlfn.SINGLE(INDEX(DATABASE!$AV$14:$BC$968,SUMPRODUCT((ROW(DATABASE!$AV$14:$AV$968)) * (DATABASE!$AV$14:BO$968='Résultats Projection'!$A12 ) * (DATABASE!$AW$14:$AW$968= V$4))-ROW(DATABASE!$AV$14)+1,V$5+3)),"")</f>
        <v/>
      </c>
      <c r="W12" s="116">
        <f t="array" ref="W12">IFERROR(_xlfn.SINGLE(INDEX(DATABASE!$AV$14:$BC$968,SUMPRODUCT((ROW(DATABASE!$AV$14:$AV$968)) * (DATABASE!$AV$14:BP$968='Résultats Projection'!$A12 ) * (DATABASE!$AW$14:$AW$968= W$4))-ROW(DATABASE!$AV$14)+1,W$5+3)),"")</f>
        <v/>
      </c>
      <c r="X12" s="116">
        <f t="array" ref="X12">IFERROR(_xlfn.SINGLE(INDEX(DATABASE!$AV$14:$BC$968,SUMPRODUCT((ROW(DATABASE!$AV$14:$AV$968)) * (DATABASE!$AV$14:BQ$968='Résultats Projection'!$A12 ) * (DATABASE!$AW$14:$AW$968= X$4))-ROW(DATABASE!$AV$14)+1,X$5+3)),"")</f>
        <v/>
      </c>
      <c r="Y12" s="116">
        <f t="array" ref="Y12">IFERROR(_xlfn.SINGLE(INDEX(DATABASE!$AV$14:$BC$968,SUMPRODUCT((ROW(DATABASE!$AV$14:$AV$968)) * (DATABASE!$AV$14:BR$968='Résultats Projection'!$A12 ) * (DATABASE!$AW$14:$AW$968= Y$4))-ROW(DATABASE!$AV$14)+1,Y$5+3)),"")</f>
        <v/>
      </c>
      <c r="Z12" s="116">
        <f t="array" ref="Z12">IFERROR(_xlfn.SINGLE(INDEX(DATABASE!$AV$14:$BC$968,SUMPRODUCT((ROW(DATABASE!$AV$14:$AV$968)) * (DATABASE!$AV$14:BS$968='Résultats Projection'!$A12 ) * (DATABASE!$AW$14:$AW$968= Z$4))-ROW(DATABASE!$AV$14)+1,Z$5+3)),"")</f>
        <v/>
      </c>
      <c r="AA12" s="116">
        <f t="array" ref="AA12">IFERROR(_xlfn.SINGLE(INDEX(DATABASE!$AV$14:$BC$968,SUMPRODUCT((ROW(DATABASE!$AV$14:$AV$968)) * (DATABASE!$AV$14:BT$968='Résultats Projection'!$A12 ) * (DATABASE!$AW$14:$AW$968= AA$4))-ROW(DATABASE!$AV$14)+1,AA$5+3)),"")</f>
        <v/>
      </c>
      <c r="AB12" s="116">
        <f t="array" ref="AB12">IFERROR(_xlfn.SINGLE(INDEX(DATABASE!$AV$14:$BC$968,SUMPRODUCT((ROW(DATABASE!$AV$14:$AV$968)) * (DATABASE!$AV$14:BU$968='Résultats Projection'!$A12 ) * (DATABASE!$AW$14:$AW$968= AB$4))-ROW(DATABASE!$AV$14)+1,AB$5+3)),"")</f>
        <v/>
      </c>
      <c r="AC12" s="116">
        <f t="array" ref="AC12">IFERROR(_xlfn.SINGLE(INDEX(DATABASE!$AV$14:$BC$968,SUMPRODUCT((ROW(DATABASE!$AV$14:$AV$968)) * (DATABASE!$AV$14:BV$968='Résultats Projection'!$A12 ) * (DATABASE!$AW$14:$AW$968= AC$4))-ROW(DATABASE!$AV$14)+1,AC$5+3)),"")</f>
        <v/>
      </c>
      <c r="AD12" s="116">
        <f t="array" ref="AD12">IFERROR(_xlfn.SINGLE(INDEX(DATABASE!$AV$14:$BC$968,SUMPRODUCT((ROW(DATABASE!$AV$14:$AV$968)) * (DATABASE!$AV$14:BW$968='Résultats Projection'!$A12 ) * (DATABASE!$AW$14:$AW$968= AD$4))-ROW(DATABASE!$AV$14)+1,AD$5+3)),"")</f>
        <v/>
      </c>
      <c r="AE12" s="116">
        <f t="array" ref="AE12">IFERROR(_xlfn.SINGLE(INDEX(DATABASE!$AV$14:$BC$968,SUMPRODUCT((ROW(DATABASE!$AV$14:$AV$968)) * (DATABASE!$AV$14:BX$968='Résultats Projection'!$A12 ) * (DATABASE!$AW$14:$AW$968= AE$4))-ROW(DATABASE!$AV$14)+1,AE$5+3)),"")</f>
        <v/>
      </c>
      <c r="AF12" s="116">
        <f t="array" ref="AF12">IFERROR(_xlfn.SINGLE(INDEX(DATABASE!$AV$14:$BC$968,SUMPRODUCT((ROW(DATABASE!$AV$14:$AV$968)) * (DATABASE!$AV$14:BY$968='Résultats Projection'!$A12 ) * (DATABASE!$AW$14:$AW$968= AF$4))-ROW(DATABASE!$AV$14)+1,AF$5+3)),"")</f>
        <v/>
      </c>
      <c r="AG12" s="116">
        <f t="array" ref="AG12">IFERROR(_xlfn.SINGLE(INDEX(DATABASE!$AV$14:$BC$968,SUMPRODUCT((ROW(DATABASE!$AV$14:$AV$968)) * (DATABASE!$AV$14:BZ$968='Résultats Projection'!$A12 ) * (DATABASE!$AW$14:$AW$968= AG$4))-ROW(DATABASE!$AV$14)+1,AG$5+3)),"")</f>
        <v/>
      </c>
      <c r="AH12" s="116">
        <f t="array" ref="AH12">IFERROR(_xlfn.SINGLE(INDEX(DATABASE!$AV$14:$BC$968,SUMPRODUCT((ROW(DATABASE!$AV$14:$AV$968)) * (DATABASE!$AV$14:CA$968='Résultats Projection'!$A12 ) * (DATABASE!$AW$14:$AW$968= AH$4))-ROW(DATABASE!$AV$14)+1,AH$5+3)),"")</f>
        <v/>
      </c>
      <c r="AI12" s="116">
        <f t="array" ref="AI12">IFERROR(_xlfn.SINGLE(INDEX(DATABASE!$AV$14:$BC$968,SUMPRODUCT((ROW(DATABASE!$AV$14:$AV$968)) * (DATABASE!$AV$14:CB$968='Résultats Projection'!$A12 ) * (DATABASE!$AW$14:$AW$968= AI$4))-ROW(DATABASE!$AV$14)+1,AI$5+3)),"")</f>
        <v/>
      </c>
      <c r="AJ12" s="116">
        <f t="array" ref="AJ12">IFERROR(_xlfn.SINGLE(INDEX(DATABASE!$AV$14:$BC$968,SUMPRODUCT((ROW(DATABASE!$AV$14:$AV$968)) * (DATABASE!$AV$14:CC$968='Résultats Projection'!$A12 ) * (DATABASE!$AW$14:$AW$968= AJ$4))-ROW(DATABASE!$AV$14)+1,AJ$5+3)),"")</f>
        <v/>
      </c>
      <c r="AK12" s="116">
        <f t="array" ref="AK12">IFERROR(_xlfn.SINGLE(INDEX(DATABASE!$AV$14:$BC$968,SUMPRODUCT((ROW(DATABASE!$AV$14:$AV$968)) * (DATABASE!$AV$14:CD$968='Résultats Projection'!$A12 ) * (DATABASE!$AW$14:$AW$968= AK$4))-ROW(DATABASE!$AV$14)+1,AK$5+3)),"")</f>
        <v/>
      </c>
      <c r="AL12" s="116">
        <f t="array" ref="AL12">IFERROR(_xlfn.SINGLE(INDEX(DATABASE!$AV$14:$BC$968,SUMPRODUCT((ROW(DATABASE!$AV$14:$AV$968)) * (DATABASE!$AV$14:CE$968='Résultats Projection'!$A12 ) * (DATABASE!$AW$14:$AW$968= AL$4))-ROW(DATABASE!$AV$14)+1,AL$5+3)),"")</f>
        <v/>
      </c>
      <c r="AM12" s="116">
        <f t="array" ref="AM12">IFERROR(_xlfn.SINGLE(INDEX(DATABASE!$AV$14:$BC$968,SUMPRODUCT((ROW(DATABASE!$AV$14:$AV$968)) * (DATABASE!$AV$14:CF$968='Résultats Projection'!$A12 ) * (DATABASE!$AW$14:$AW$968= AM$4))-ROW(DATABASE!$AV$14)+1,AM$5+3)),"")</f>
        <v/>
      </c>
      <c r="AN12" s="116">
        <f t="array" ref="AN12">IFERROR(_xlfn.SINGLE(INDEX(DATABASE!$AV$14:$BC$968,SUMPRODUCT((ROW(DATABASE!$AV$14:$AV$968)) * (DATABASE!$AV$14:CG$968='Résultats Projection'!$A12 ) * (DATABASE!$AW$14:$AW$968= AN$4))-ROW(DATABASE!$AV$14)+1,AN$5+3)),"")</f>
        <v/>
      </c>
      <c r="AO12" s="116">
        <f t="array" ref="AO12">IFERROR(_xlfn.SINGLE(INDEX(DATABASE!$AV$14:$BC$968,SUMPRODUCT((ROW(DATABASE!$AV$14:$AV$968)) * (DATABASE!$AV$14:CH$968='Résultats Projection'!$A12 ) * (DATABASE!$AW$14:$AW$968= AO$4))-ROW(DATABASE!$AV$14)+1,AO$5+3)),"")</f>
        <v/>
      </c>
      <c r="AP12" s="116">
        <f t="array" ref="AP12">IFERROR(_xlfn.SINGLE(INDEX(DATABASE!$AV$14:$BC$968,SUMPRODUCT((ROW(DATABASE!$AV$14:$AV$968)) * (DATABASE!$AV$14:CI$968='Résultats Projection'!$A12 ) * (DATABASE!$AW$14:$AW$968= AP$4))-ROW(DATABASE!$AV$14)+1,AP$5+3)),"")</f>
        <v/>
      </c>
      <c r="AQ12" s="116">
        <f t="array" ref="AQ12">IFERROR(_xlfn.SINGLE(INDEX(DATABASE!$AV$14:$BC$968,SUMPRODUCT((ROW(DATABASE!$AV$14:$AV$968)) * (DATABASE!$AV$14:CJ$968='Résultats Projection'!$A12 ) * (DATABASE!$AW$14:$AW$968= AQ$4))-ROW(DATABASE!$AV$14)+1,AQ$5+3)),"")</f>
        <v/>
      </c>
      <c r="AR12" s="116">
        <f t="array" ref="AR12">IFERROR(_xlfn.SINGLE(INDEX(DATABASE!$AV$14:$BC$968,SUMPRODUCT((ROW(DATABASE!$AV$14:$AV$968)) * (DATABASE!$AV$14:CK$968='Résultats Projection'!$A12 ) * (DATABASE!$AW$14:$AW$968= AR$4))-ROW(DATABASE!$AV$14)+1,AR$5+3)),"")</f>
        <v/>
      </c>
      <c r="AS12" s="116">
        <f t="array" ref="AS12">IFERROR(_xlfn.SINGLE(INDEX(DATABASE!$AV$14:$BC$968,SUMPRODUCT((ROW(DATABASE!$AV$14:$AV$968)) * (DATABASE!$AV$14:CL$968='Résultats Projection'!$A12 ) * (DATABASE!$AW$14:$AW$968= AS$4))-ROW(DATABASE!$AV$14)+1,AS$5+3)),"")</f>
        <v/>
      </c>
      <c r="AT12" s="116">
        <f t="array" ref="AT12">IFERROR(_xlfn.SINGLE(INDEX(DATABASE!$AV$14:$BC$968,SUMPRODUCT((ROW(DATABASE!$AV$14:$AV$968)) * (DATABASE!$AV$14:CM$968='Résultats Projection'!$A12 ) * (DATABASE!$AW$14:$AW$968= AT$4))-ROW(DATABASE!$AV$14)+1,AT$5+3)),"")</f>
        <v/>
      </c>
      <c r="AU12" s="116">
        <f t="array" ref="AU12">IFERROR(_xlfn.SINGLE(INDEX(DATABASE!$AV$14:$BC$968,SUMPRODUCT((ROW(DATABASE!$AV$14:$AV$968)) * (DATABASE!$AV$14:CN$968='Résultats Projection'!$A12 ) * (DATABASE!$AW$14:$AW$968= AU$4))-ROW(DATABASE!$AV$14)+1,AU$5+3)),"")</f>
        <v/>
      </c>
      <c r="AV12" s="116">
        <f t="array" ref="AV12">IFERROR(_xlfn.SINGLE(INDEX(DATABASE!$AV$14:$BC$968,SUMPRODUCT((ROW(DATABASE!$AV$14:$AV$968)) * (DATABASE!$AV$14:CO$968='Résultats Projection'!$A12 ) * (DATABASE!$AW$14:$AW$968= AV$4))-ROW(DATABASE!$AV$14)+1,AV$5+3)),"")</f>
        <v/>
      </c>
      <c r="AW12" s="116">
        <f t="array" ref="AW12">IFERROR(_xlfn.SINGLE(INDEX(DATABASE!$AV$14:$BC$968,SUMPRODUCT((ROW(DATABASE!$AV$14:$AV$968)) * (DATABASE!$AV$14:CP$968='Résultats Projection'!$A12 ) * (DATABASE!$AW$14:$AW$968= AW$4))-ROW(DATABASE!$AV$14)+1,AW$5+3)),"")</f>
        <v/>
      </c>
      <c r="AX12" s="116">
        <f t="array" ref="AX12">IFERROR(_xlfn.SINGLE(INDEX(DATABASE!$AV$14:$BC$968,SUMPRODUCT((ROW(DATABASE!$AV$14:$AV$968)) * (DATABASE!$AV$14:CQ$968='Résultats Projection'!$A12 ) * (DATABASE!$AW$14:$AW$968= AX$4))-ROW(DATABASE!$AV$14)+1,AX$5+3)),"")</f>
        <v/>
      </c>
      <c r="AY12" s="116">
        <f t="array" ref="AY12">IFERROR(_xlfn.SINGLE(INDEX(DATABASE!$AV$14:$BC$968,SUMPRODUCT((ROW(DATABASE!$AV$14:$AV$968)) * (DATABASE!$AV$14:CR$968='Résultats Projection'!$A12 ) * (DATABASE!$AW$14:$AW$968= AY$4))-ROW(DATABASE!$AV$14)+1,AY$5+3)),"")</f>
        <v/>
      </c>
      <c r="AZ12" s="116">
        <f t="array" ref="AZ12">IFERROR(_xlfn.SINGLE(INDEX(DATABASE!$AV$14:$BC$968,SUMPRODUCT((ROW(DATABASE!$AV$14:$AV$968)) * (DATABASE!$AV$14:CS$968='Résultats Projection'!$A12 ) * (DATABASE!$AW$14:$AW$968= AZ$4))-ROW(DATABASE!$AV$14)+1,AZ$5+3)),"")</f>
        <v/>
      </c>
      <c r="BA12" s="116">
        <f t="array" ref="BA12">IFERROR(_xlfn.SINGLE(INDEX(DATABASE!$AV$14:$BC$968,SUMPRODUCT((ROW(DATABASE!$AV$14:$AV$968)) * (DATABASE!$AV$14:CT$968='Résultats Projection'!$A12 ) * (DATABASE!$AW$14:$AW$968= BA$4))-ROW(DATABASE!$AV$14)+1,BA$5+3)),"")</f>
        <v/>
      </c>
      <c r="BB12" s="116">
        <f t="array" ref="BB12">IFERROR(_xlfn.SINGLE(INDEX(DATABASE!$AV$14:$BC$968,SUMPRODUCT((ROW(DATABASE!$AV$14:$AV$968)) * (DATABASE!$AV$14:CU$968='Résultats Projection'!$A12 ) * (DATABASE!$AW$14:$AW$968= BB$4))-ROW(DATABASE!$AV$14)+1,BB$5+3)),"")</f>
        <v/>
      </c>
      <c r="BC12" s="116">
        <f t="array" ref="BC12">IFERROR(_xlfn.SINGLE(INDEX(DATABASE!$AV$14:$BC$968,SUMPRODUCT((ROW(DATABASE!$AV$14:$AV$968)) * (DATABASE!$AV$14:CV$968='Résultats Projection'!$A12 ) * (DATABASE!$AW$14:$AW$968= BC$4))-ROW(DATABASE!$AV$14)+1,BC$5+3)),"")</f>
        <v/>
      </c>
      <c r="BD12" s="116">
        <f t="array" ref="BD12">IFERROR(_xlfn.SINGLE(INDEX(DATABASE!$AV$14:$BC$968,SUMPRODUCT((ROW(DATABASE!$AV$14:$AV$968)) * (DATABASE!$AV$14:CW$968='Résultats Projection'!$A12 ) * (DATABASE!$AW$14:$AW$968= BD$4))-ROW(DATABASE!$AV$14)+1,BD$5+3)),"")</f>
        <v/>
      </c>
      <c r="BE12" s="116">
        <f t="array" ref="BE12">IFERROR(_xlfn.SINGLE(INDEX(DATABASE!$AV$14:$BC$968,SUMPRODUCT((ROW(DATABASE!$AV$14:$AV$968)) * (DATABASE!$AV$14:CX$968='Résultats Projection'!$A12 ) * (DATABASE!$AW$14:$AW$968= BE$4))-ROW(DATABASE!$AV$14)+1,BE$5+3)),"")</f>
        <v/>
      </c>
      <c r="BF12" s="116">
        <f t="array" ref="BF12">IFERROR(_xlfn.SINGLE(INDEX(DATABASE!$AV$14:$BC$968,SUMPRODUCT((ROW(DATABASE!$AV$14:$AV$968)) * (DATABASE!$AV$14:CY$968='Résultats Projection'!$A12 ) * (DATABASE!$AW$14:$AW$968= BF$4))-ROW(DATABASE!$AV$14)+1,BF$5+3)),"")</f>
        <v/>
      </c>
      <c r="BG12" s="116">
        <f t="array" ref="BG12">IFERROR(_xlfn.SINGLE(INDEX(DATABASE!$AV$14:$BC$968,SUMPRODUCT((ROW(DATABASE!$AV$14:$AV$968)) * (DATABASE!$AV$14:CZ$968='Résultats Projection'!$A12 ) * (DATABASE!$AW$14:$AW$968= BG$4))-ROW(DATABASE!$AV$14)+1,BG$5+3)),"")</f>
        <v/>
      </c>
      <c r="BH12" s="116">
        <f t="array" ref="BH12">IFERROR(_xlfn.SINGLE(INDEX(DATABASE!$AV$14:$BC$968,SUMPRODUCT((ROW(DATABASE!$AV$14:$AV$968)) * (DATABASE!$AV$14:DA$968='Résultats Projection'!$A12 ) * (DATABASE!$AW$14:$AW$968= BH$4))-ROW(DATABASE!$AV$14)+1,BH$5+3)),"")</f>
        <v/>
      </c>
      <c r="BI12" s="116">
        <f t="array" ref="BI12">IFERROR(_xlfn.SINGLE(INDEX(DATABASE!$AV$14:$BC$968,SUMPRODUCT((ROW(DATABASE!$AV$14:$AV$968)) * (DATABASE!$AV$14:DB$968='Résultats Projection'!$A12 ) * (DATABASE!$AW$14:$AW$968= BI$4))-ROW(DATABASE!$AV$14)+1,BI$5+3)),"")</f>
        <v/>
      </c>
      <c r="BJ12" s="116">
        <f t="array" ref="BJ12">IFERROR(_xlfn.SINGLE(INDEX(DATABASE!$AV$14:$BC$968,SUMPRODUCT((ROW(DATABASE!$AV$14:$AV$968)) * (DATABASE!$AV$14:DC$968='Résultats Projection'!$A12 ) * (DATABASE!$AW$14:$AW$968= BJ$4))-ROW(DATABASE!$AV$14)+1,BJ$5+3)),"")</f>
        <v/>
      </c>
    </row>
    <row r="13" ht="29.25" customFormat="1" customHeight="1" s="28">
      <c r="A13" s="42" t="n">
        <v>45548</v>
      </c>
      <c r="B13" s="8">
        <f>A13-A$10</f>
        <v/>
      </c>
      <c r="C13" s="116">
        <f t="array" ref="C13">IFERROR(_xlfn.SINGLE(INDEX(DATABASE!$AV$14:$BC$968,SUMPRODUCT((ROW(DATABASE!$AV$14:$AV$968)) * (DATABASE!AV$14:$AV$968='Résultats Projection'!$A13 ) * (DATABASE!$AW$14:$AW$968= C$4))-ROW(DATABASE!$AV$14)+1,C$5+3)),"")</f>
        <v/>
      </c>
      <c r="D13" s="116">
        <f t="array" ref="D13">IFERROR(_xlfn.SINGLE(INDEX(DATABASE!$AV$14:$BC$968,SUMPRODUCT((ROW(DATABASE!$AV$14:$AV$968)) * (DATABASE!$AV$14:AW$968='Résultats Projection'!$A13 ) * (DATABASE!$AW$14:$AW$968= D$4))-ROW(DATABASE!$AV$14)+1,D$5+3)),"")</f>
        <v/>
      </c>
      <c r="E13" s="116">
        <f t="array" ref="E13">IFERROR(_xlfn.SINGLE(INDEX(DATABASE!$AV$14:$BC$968,SUMPRODUCT((ROW(DATABASE!$AV$14:$AV$968)) * (DATABASE!$AV$14:AX$968='Résultats Projection'!$A13 ) * (DATABASE!$AW$14:$AW$968= E$4))-ROW(DATABASE!$AV$14)+1,E$5+3)),"")</f>
        <v/>
      </c>
      <c r="F13" s="116">
        <f t="array" ref="F13">IFERROR(_xlfn.SINGLE(INDEX(DATABASE!$AV$14:$BC$968,SUMPRODUCT((ROW(DATABASE!$AV$14:$AV$968)) * (DATABASE!$AV$14:AY$968='Résultats Projection'!$A13 ) * (DATABASE!$AW$14:$AW$968= F$4))-ROW(DATABASE!$AV$14)+1,F$5+3)),"")</f>
        <v/>
      </c>
      <c r="G13" s="116">
        <f t="array" ref="G13">IFERROR(_xlfn.SINGLE(INDEX(DATABASE!$AV$14:$BC$968,SUMPRODUCT((ROW(DATABASE!$AV$14:$AV$968)) * (DATABASE!$AV$14:AZ$968='Résultats Projection'!$A13 ) * (DATABASE!$AW$14:$AW$968= G$4))-ROW(DATABASE!$AV$14)+1,G$5+3)),"")</f>
        <v/>
      </c>
      <c r="H13" s="116">
        <f t="array" ref="H13">IFERROR(_xlfn.SINGLE(INDEX(DATABASE!$AV$14:$BC$968,SUMPRODUCT((ROW(DATABASE!$AV$14:$AV$968)) * (DATABASE!$AV$14:BA$968='Résultats Projection'!$A13 ) * (DATABASE!$AW$14:$AW$968= H$4))-ROW(DATABASE!$AV$14)+1,H$5+3)),"")</f>
        <v/>
      </c>
      <c r="I13" s="116">
        <f t="array" ref="I13">IFERROR(_xlfn.SINGLE(INDEX(DATABASE!$AV$14:$BC$968,SUMPRODUCT((ROW(DATABASE!$AV$14:$AV$968)) * (DATABASE!$AV$14:BB$968='Résultats Projection'!$A13 ) * (DATABASE!$AW$14:$AW$968= I$4))-ROW(DATABASE!$AV$14)+1,I$5+3)),"")</f>
        <v/>
      </c>
      <c r="J13" s="116">
        <f t="array" ref="J13">IFERROR(_xlfn.SINGLE(INDEX(DATABASE!$AV$14:$BC$968,SUMPRODUCT((ROW(DATABASE!$AV$14:$AV$968)) * (DATABASE!$AV$14:BC$968='Résultats Projection'!$A13 ) * (DATABASE!$AW$14:$AW$968= J$4))-ROW(DATABASE!$AV$14)+1,J$5+3)),"")</f>
        <v/>
      </c>
      <c r="K13" s="116">
        <f t="array" ref="K13">IFERROR(_xlfn.SINGLE(INDEX(DATABASE!$AV$14:$BC$968,SUMPRODUCT((ROW(DATABASE!$AV$14:$AV$968)) * (DATABASE!$AV$14:BD$968='Résultats Projection'!$A13 ) * (DATABASE!$AW$14:$AW$968= K$4))-ROW(DATABASE!$AV$14)+1,K$5+3)),"")</f>
        <v/>
      </c>
      <c r="L13" s="116">
        <f t="array" ref="L13">IFERROR(_xlfn.SINGLE(INDEX(DATABASE!$AV$14:$BC$968,SUMPRODUCT((ROW(DATABASE!$AV$14:$AV$968)) * (DATABASE!$AV$14:BE$968='Résultats Projection'!$A13 ) * (DATABASE!$AW$14:$AW$968= L$4))-ROW(DATABASE!$AV$14)+1,L$5+3)),"")</f>
        <v/>
      </c>
      <c r="M13" s="116">
        <f t="array" ref="M13">IFERROR(_xlfn.SINGLE(INDEX(DATABASE!$AV$14:$BC$968,SUMPRODUCT((ROW(DATABASE!$AV$14:$AV$968)) * (DATABASE!$AV$14:BF$968='Résultats Projection'!$A13 ) * (DATABASE!$AW$14:$AW$968= M$4))-ROW(DATABASE!$AV$14)+1,M$5+3)),"")</f>
        <v/>
      </c>
      <c r="N13" s="116">
        <f t="array" ref="N13">IFERROR(_xlfn.SINGLE(INDEX(DATABASE!$AV$14:$BC$968,SUMPRODUCT((ROW(DATABASE!$AV$14:$AV$968)) * (DATABASE!$AV$14:BG$968='Résultats Projection'!$A13 ) * (DATABASE!$AW$14:$AW$968= N$4))-ROW(DATABASE!$AV$14)+1,N$5+3)),"")</f>
        <v/>
      </c>
      <c r="O13" s="116">
        <f t="array" ref="O13">IFERROR(_xlfn.SINGLE(INDEX(DATABASE!$AV$14:$BC$968,SUMPRODUCT((ROW(DATABASE!$AV$14:$AV$968)) * (DATABASE!$AV$14:BH$968='Résultats Projection'!$A13 ) * (DATABASE!$AW$14:$AW$968= O$4))-ROW(DATABASE!$AV$14)+1,O$5+3)),"")</f>
        <v/>
      </c>
      <c r="P13" s="116">
        <f t="array" ref="P13">IFERROR(_xlfn.SINGLE(INDEX(DATABASE!$AV$14:$BC$968,SUMPRODUCT((ROW(DATABASE!$AV$14:$AV$968)) * (DATABASE!$AV$14:BI$968='Résultats Projection'!$A13 ) * (DATABASE!$AW$14:$AW$968= P$4))-ROW(DATABASE!$AV$14)+1,P$5+3)),"")</f>
        <v/>
      </c>
      <c r="Q13" s="116">
        <f t="array" ref="Q13">IFERROR(_xlfn.SINGLE(INDEX(DATABASE!$AV$14:$BC$968,SUMPRODUCT((ROW(DATABASE!$AV$14:$AV$968)) * (DATABASE!$AV$14:BJ$968='Résultats Projection'!$A13 ) * (DATABASE!$AW$14:$AW$968= Q$4))-ROW(DATABASE!$AV$14)+1,Q$5+3)),"")</f>
        <v/>
      </c>
      <c r="R13" s="116">
        <f t="array" ref="R13">IFERROR(_xlfn.SINGLE(INDEX(DATABASE!$AV$14:$BC$968,SUMPRODUCT((ROW(DATABASE!$AV$14:$AV$968)) * (DATABASE!$AV$14:BK$968='Résultats Projection'!$A13 ) * (DATABASE!$AW$14:$AW$968= R$4))-ROW(DATABASE!$AV$14)+1,R$5+3)),"")</f>
        <v/>
      </c>
      <c r="S13" s="116">
        <f t="array" ref="S13">IFERROR(_xlfn.SINGLE(INDEX(DATABASE!$AV$14:$BC$968,SUMPRODUCT((ROW(DATABASE!$AV$14:$AV$968)) * (DATABASE!$AV$14:BL$968='Résultats Projection'!$A13 ) * (DATABASE!$AW$14:$AW$968= S$4))-ROW(DATABASE!$AV$14)+1,S$5+3)),"")</f>
        <v/>
      </c>
      <c r="T13" s="116">
        <f t="array" ref="T13">IFERROR(_xlfn.SINGLE(INDEX(DATABASE!$AV$14:$BC$968,SUMPRODUCT((ROW(DATABASE!$AV$14:$AV$968)) * (DATABASE!$AV$14:BM$968='Résultats Projection'!$A13 ) * (DATABASE!$AW$14:$AW$968= T$4))-ROW(DATABASE!$AV$14)+1,T$5+3)),"")</f>
        <v/>
      </c>
      <c r="U13" s="116">
        <f t="array" ref="U13">IFERROR(_xlfn.SINGLE(INDEX(DATABASE!$AV$14:$BC$968,SUMPRODUCT((ROW(DATABASE!$AV$14:$AV$968)) * (DATABASE!$AV$14:BN$968='Résultats Projection'!$A13 ) * (DATABASE!$AW$14:$AW$968= U$4))-ROW(DATABASE!$AV$14)+1,U$5+3)),"")</f>
        <v/>
      </c>
      <c r="V13" s="116">
        <f t="array" ref="V13">IFERROR(_xlfn.SINGLE(INDEX(DATABASE!$AV$14:$BC$968,SUMPRODUCT((ROW(DATABASE!$AV$14:$AV$968)) * (DATABASE!$AV$14:BO$968='Résultats Projection'!$A13 ) * (DATABASE!$AW$14:$AW$968= V$4))-ROW(DATABASE!$AV$14)+1,V$5+3)),"")</f>
        <v/>
      </c>
      <c r="W13" s="116">
        <f t="array" ref="W13">IFERROR(_xlfn.SINGLE(INDEX(DATABASE!$AV$14:$BC$968,SUMPRODUCT((ROW(DATABASE!$AV$14:$AV$968)) * (DATABASE!$AV$14:BP$968='Résultats Projection'!$A13 ) * (DATABASE!$AW$14:$AW$968= W$4))-ROW(DATABASE!$AV$14)+1,W$5+3)),"")</f>
        <v/>
      </c>
      <c r="X13" s="116">
        <f t="array" ref="X13">IFERROR(_xlfn.SINGLE(INDEX(DATABASE!$AV$14:$BC$968,SUMPRODUCT((ROW(DATABASE!$AV$14:$AV$968)) * (DATABASE!$AV$14:BQ$968='Résultats Projection'!$A13 ) * (DATABASE!$AW$14:$AW$968= X$4))-ROW(DATABASE!$AV$14)+1,X$5+3)),"")</f>
        <v/>
      </c>
      <c r="Y13" s="116">
        <f t="array" ref="Y13">IFERROR(_xlfn.SINGLE(INDEX(DATABASE!$AV$14:$BC$968,SUMPRODUCT((ROW(DATABASE!$AV$14:$AV$968)) * (DATABASE!$AV$14:BR$968='Résultats Projection'!$A13 ) * (DATABASE!$AW$14:$AW$968= Y$4))-ROW(DATABASE!$AV$14)+1,Y$5+3)),"")</f>
        <v/>
      </c>
      <c r="Z13" s="116">
        <f t="array" ref="Z13">IFERROR(_xlfn.SINGLE(INDEX(DATABASE!$AV$14:$BC$968,SUMPRODUCT((ROW(DATABASE!$AV$14:$AV$968)) * (DATABASE!$AV$14:BS$968='Résultats Projection'!$A13 ) * (DATABASE!$AW$14:$AW$968= Z$4))-ROW(DATABASE!$AV$14)+1,Z$5+3)),"")</f>
        <v/>
      </c>
      <c r="AA13" s="116">
        <f t="array" ref="AA13">IFERROR(_xlfn.SINGLE(INDEX(DATABASE!$AV$14:$BC$968,SUMPRODUCT((ROW(DATABASE!$AV$14:$AV$968)) * (DATABASE!$AV$14:BT$968='Résultats Projection'!$A13 ) * (DATABASE!$AW$14:$AW$968= AA$4))-ROW(DATABASE!$AV$14)+1,AA$5+3)),"")</f>
        <v/>
      </c>
      <c r="AB13" s="116">
        <f t="array" ref="AB13">IFERROR(_xlfn.SINGLE(INDEX(DATABASE!$AV$14:$BC$968,SUMPRODUCT((ROW(DATABASE!$AV$14:$AV$968)) * (DATABASE!$AV$14:BU$968='Résultats Projection'!$A13 ) * (DATABASE!$AW$14:$AW$968= AB$4))-ROW(DATABASE!$AV$14)+1,AB$5+3)),"")</f>
        <v/>
      </c>
      <c r="AC13" s="116">
        <f t="array" ref="AC13">IFERROR(_xlfn.SINGLE(INDEX(DATABASE!$AV$14:$BC$968,SUMPRODUCT((ROW(DATABASE!$AV$14:$AV$968)) * (DATABASE!$AV$14:BV$968='Résultats Projection'!$A13 ) * (DATABASE!$AW$14:$AW$968= AC$4))-ROW(DATABASE!$AV$14)+1,AC$5+3)),"")</f>
        <v/>
      </c>
      <c r="AD13" s="116">
        <f t="array" ref="AD13">IFERROR(_xlfn.SINGLE(INDEX(DATABASE!$AV$14:$BC$968,SUMPRODUCT((ROW(DATABASE!$AV$14:$AV$968)) * (DATABASE!$AV$14:BW$968='Résultats Projection'!$A13 ) * (DATABASE!$AW$14:$AW$968= AD$4))-ROW(DATABASE!$AV$14)+1,AD$5+3)),"")</f>
        <v/>
      </c>
      <c r="AE13" s="116">
        <f t="array" ref="AE13">IFERROR(_xlfn.SINGLE(INDEX(DATABASE!$AV$14:$BC$968,SUMPRODUCT((ROW(DATABASE!$AV$14:$AV$968)) * (DATABASE!$AV$14:BX$968='Résultats Projection'!$A13 ) * (DATABASE!$AW$14:$AW$968= AE$4))-ROW(DATABASE!$AV$14)+1,AE$5+3)),"")</f>
        <v/>
      </c>
      <c r="AF13" s="116">
        <f t="array" ref="AF13">IFERROR(_xlfn.SINGLE(INDEX(DATABASE!$AV$14:$BC$968,SUMPRODUCT((ROW(DATABASE!$AV$14:$AV$968)) * (DATABASE!$AV$14:BY$968='Résultats Projection'!$A13 ) * (DATABASE!$AW$14:$AW$968= AF$4))-ROW(DATABASE!$AV$14)+1,AF$5+3)),"")</f>
        <v/>
      </c>
      <c r="AG13" s="116">
        <f t="array" ref="AG13">IFERROR(_xlfn.SINGLE(INDEX(DATABASE!$AV$14:$BC$968,SUMPRODUCT((ROW(DATABASE!$AV$14:$AV$968)) * (DATABASE!$AV$14:BZ$968='Résultats Projection'!$A13 ) * (DATABASE!$AW$14:$AW$968= AG$4))-ROW(DATABASE!$AV$14)+1,AG$5+3)),"")</f>
        <v/>
      </c>
      <c r="AH13" s="116">
        <f t="array" ref="AH13">IFERROR(_xlfn.SINGLE(INDEX(DATABASE!$AV$14:$BC$968,SUMPRODUCT((ROW(DATABASE!$AV$14:$AV$968)) * (DATABASE!$AV$14:CA$968='Résultats Projection'!$A13 ) * (DATABASE!$AW$14:$AW$968= AH$4))-ROW(DATABASE!$AV$14)+1,AH$5+3)),"")</f>
        <v/>
      </c>
      <c r="AI13" s="116">
        <f t="array" ref="AI13">IFERROR(_xlfn.SINGLE(INDEX(DATABASE!$AV$14:$BC$968,SUMPRODUCT((ROW(DATABASE!$AV$14:$AV$968)) * (DATABASE!$AV$14:CB$968='Résultats Projection'!$A13 ) * (DATABASE!$AW$14:$AW$968= AI$4))-ROW(DATABASE!$AV$14)+1,AI$5+3)),"")</f>
        <v/>
      </c>
      <c r="AJ13" s="116">
        <f t="array" ref="AJ13">IFERROR(_xlfn.SINGLE(INDEX(DATABASE!$AV$14:$BC$968,SUMPRODUCT((ROW(DATABASE!$AV$14:$AV$968)) * (DATABASE!$AV$14:CC$968='Résultats Projection'!$A13 ) * (DATABASE!$AW$14:$AW$968= AJ$4))-ROW(DATABASE!$AV$14)+1,AJ$5+3)),"")</f>
        <v/>
      </c>
      <c r="AK13" s="116">
        <f t="array" ref="AK13">IFERROR(_xlfn.SINGLE(INDEX(DATABASE!$AV$14:$BC$968,SUMPRODUCT((ROW(DATABASE!$AV$14:$AV$968)) * (DATABASE!$AV$14:CD$968='Résultats Projection'!$A13 ) * (DATABASE!$AW$14:$AW$968= AK$4))-ROW(DATABASE!$AV$14)+1,AK$5+3)),"")</f>
        <v/>
      </c>
      <c r="AL13" s="116">
        <f t="array" ref="AL13">IFERROR(_xlfn.SINGLE(INDEX(DATABASE!$AV$14:$BC$968,SUMPRODUCT((ROW(DATABASE!$AV$14:$AV$968)) * (DATABASE!$AV$14:CE$968='Résultats Projection'!$A13 ) * (DATABASE!$AW$14:$AW$968= AL$4))-ROW(DATABASE!$AV$14)+1,AL$5+3)),"")</f>
        <v/>
      </c>
      <c r="AM13" s="116">
        <f t="array" ref="AM13">IFERROR(_xlfn.SINGLE(INDEX(DATABASE!$AV$14:$BC$968,SUMPRODUCT((ROW(DATABASE!$AV$14:$AV$968)) * (DATABASE!$AV$14:CF$968='Résultats Projection'!$A13 ) * (DATABASE!$AW$14:$AW$968= AM$4))-ROW(DATABASE!$AV$14)+1,AM$5+3)),"")</f>
        <v/>
      </c>
      <c r="AN13" s="116">
        <f t="array" ref="AN13">IFERROR(_xlfn.SINGLE(INDEX(DATABASE!$AV$14:$BC$968,SUMPRODUCT((ROW(DATABASE!$AV$14:$AV$968)) * (DATABASE!$AV$14:CG$968='Résultats Projection'!$A13 ) * (DATABASE!$AW$14:$AW$968= AN$4))-ROW(DATABASE!$AV$14)+1,AN$5+3)),"")</f>
        <v/>
      </c>
      <c r="AO13" s="116">
        <f t="array" ref="AO13">IFERROR(_xlfn.SINGLE(INDEX(DATABASE!$AV$14:$BC$968,SUMPRODUCT((ROW(DATABASE!$AV$14:$AV$968)) * (DATABASE!$AV$14:CH$968='Résultats Projection'!$A13 ) * (DATABASE!$AW$14:$AW$968= AO$4))-ROW(DATABASE!$AV$14)+1,AO$5+3)),"")</f>
        <v/>
      </c>
      <c r="AP13" s="116">
        <f t="array" ref="AP13">IFERROR(_xlfn.SINGLE(INDEX(DATABASE!$AV$14:$BC$968,SUMPRODUCT((ROW(DATABASE!$AV$14:$AV$968)) * (DATABASE!$AV$14:CI$968='Résultats Projection'!$A13 ) * (DATABASE!$AW$14:$AW$968= AP$4))-ROW(DATABASE!$AV$14)+1,AP$5+3)),"")</f>
        <v/>
      </c>
      <c r="AQ13" s="116">
        <f t="array" ref="AQ13">IFERROR(_xlfn.SINGLE(INDEX(DATABASE!$AV$14:$BC$968,SUMPRODUCT((ROW(DATABASE!$AV$14:$AV$968)) * (DATABASE!$AV$14:CJ$968='Résultats Projection'!$A13 ) * (DATABASE!$AW$14:$AW$968= AQ$4))-ROW(DATABASE!$AV$14)+1,AQ$5+3)),"")</f>
        <v/>
      </c>
      <c r="AR13" s="116">
        <f t="array" ref="AR13">IFERROR(_xlfn.SINGLE(INDEX(DATABASE!$AV$14:$BC$968,SUMPRODUCT((ROW(DATABASE!$AV$14:$AV$968)) * (DATABASE!$AV$14:CK$968='Résultats Projection'!$A13 ) * (DATABASE!$AW$14:$AW$968= AR$4))-ROW(DATABASE!$AV$14)+1,AR$5+3)),"")</f>
        <v/>
      </c>
      <c r="AS13" s="116">
        <f t="array" ref="AS13">IFERROR(_xlfn.SINGLE(INDEX(DATABASE!$AV$14:$BC$968,SUMPRODUCT((ROW(DATABASE!$AV$14:$AV$968)) * (DATABASE!$AV$14:CL$968='Résultats Projection'!$A13 ) * (DATABASE!$AW$14:$AW$968= AS$4))-ROW(DATABASE!$AV$14)+1,AS$5+3)),"")</f>
        <v/>
      </c>
      <c r="AT13" s="116">
        <f t="array" ref="AT13">IFERROR(_xlfn.SINGLE(INDEX(DATABASE!$AV$14:$BC$968,SUMPRODUCT((ROW(DATABASE!$AV$14:$AV$968)) * (DATABASE!$AV$14:CM$968='Résultats Projection'!$A13 ) * (DATABASE!$AW$14:$AW$968= AT$4))-ROW(DATABASE!$AV$14)+1,AT$5+3)),"")</f>
        <v/>
      </c>
      <c r="AU13" s="116">
        <f t="array" ref="AU13">IFERROR(_xlfn.SINGLE(INDEX(DATABASE!$AV$14:$BC$968,SUMPRODUCT((ROW(DATABASE!$AV$14:$AV$968)) * (DATABASE!$AV$14:CN$968='Résultats Projection'!$A13 ) * (DATABASE!$AW$14:$AW$968= AU$4))-ROW(DATABASE!$AV$14)+1,AU$5+3)),"")</f>
        <v/>
      </c>
      <c r="AV13" s="116">
        <f t="array" ref="AV13">IFERROR(_xlfn.SINGLE(INDEX(DATABASE!$AV$14:$BC$968,SUMPRODUCT((ROW(DATABASE!$AV$14:$AV$968)) * (DATABASE!$AV$14:CO$968='Résultats Projection'!$A13 ) * (DATABASE!$AW$14:$AW$968= AV$4))-ROW(DATABASE!$AV$14)+1,AV$5+3)),"")</f>
        <v/>
      </c>
      <c r="AW13" s="116">
        <f t="array" ref="AW13">IFERROR(_xlfn.SINGLE(INDEX(DATABASE!$AV$14:$BC$968,SUMPRODUCT((ROW(DATABASE!$AV$14:$AV$968)) * (DATABASE!$AV$14:CP$968='Résultats Projection'!$A13 ) * (DATABASE!$AW$14:$AW$968= AW$4))-ROW(DATABASE!$AV$14)+1,AW$5+3)),"")</f>
        <v/>
      </c>
      <c r="AX13" s="116">
        <f t="array" ref="AX13">IFERROR(_xlfn.SINGLE(INDEX(DATABASE!$AV$14:$BC$968,SUMPRODUCT((ROW(DATABASE!$AV$14:$AV$968)) * (DATABASE!$AV$14:CQ$968='Résultats Projection'!$A13 ) * (DATABASE!$AW$14:$AW$968= AX$4))-ROW(DATABASE!$AV$14)+1,AX$5+3)),"")</f>
        <v/>
      </c>
      <c r="AY13" s="116">
        <f t="array" ref="AY13">IFERROR(_xlfn.SINGLE(INDEX(DATABASE!$AV$14:$BC$968,SUMPRODUCT((ROW(DATABASE!$AV$14:$AV$968)) * (DATABASE!$AV$14:CR$968='Résultats Projection'!$A13 ) * (DATABASE!$AW$14:$AW$968= AY$4))-ROW(DATABASE!$AV$14)+1,AY$5+3)),"")</f>
        <v/>
      </c>
      <c r="AZ13" s="116">
        <f t="array" ref="AZ13">IFERROR(_xlfn.SINGLE(INDEX(DATABASE!$AV$14:$BC$968,SUMPRODUCT((ROW(DATABASE!$AV$14:$AV$968)) * (DATABASE!$AV$14:CS$968='Résultats Projection'!$A13 ) * (DATABASE!$AW$14:$AW$968= AZ$4))-ROW(DATABASE!$AV$14)+1,AZ$5+3)),"")</f>
        <v/>
      </c>
      <c r="BA13" s="116">
        <f t="array" ref="BA13">IFERROR(_xlfn.SINGLE(INDEX(DATABASE!$AV$14:$BC$968,SUMPRODUCT((ROW(DATABASE!$AV$14:$AV$968)) * (DATABASE!$AV$14:CT$968='Résultats Projection'!$A13 ) * (DATABASE!$AW$14:$AW$968= BA$4))-ROW(DATABASE!$AV$14)+1,BA$5+3)),"")</f>
        <v/>
      </c>
      <c r="BB13" s="116">
        <f t="array" ref="BB13">IFERROR(_xlfn.SINGLE(INDEX(DATABASE!$AV$14:$BC$968,SUMPRODUCT((ROW(DATABASE!$AV$14:$AV$968)) * (DATABASE!$AV$14:CU$968='Résultats Projection'!$A13 ) * (DATABASE!$AW$14:$AW$968= BB$4))-ROW(DATABASE!$AV$14)+1,BB$5+3)),"")</f>
        <v/>
      </c>
      <c r="BC13" s="116">
        <f t="array" ref="BC13">IFERROR(_xlfn.SINGLE(INDEX(DATABASE!$AV$14:$BC$968,SUMPRODUCT((ROW(DATABASE!$AV$14:$AV$968)) * (DATABASE!$AV$14:CV$968='Résultats Projection'!$A13 ) * (DATABASE!$AW$14:$AW$968= BC$4))-ROW(DATABASE!$AV$14)+1,BC$5+3)),"")</f>
        <v/>
      </c>
      <c r="BD13" s="116">
        <f t="array" ref="BD13">IFERROR(_xlfn.SINGLE(INDEX(DATABASE!$AV$14:$BC$968,SUMPRODUCT((ROW(DATABASE!$AV$14:$AV$968)) * (DATABASE!$AV$14:CW$968='Résultats Projection'!$A13 ) * (DATABASE!$AW$14:$AW$968= BD$4))-ROW(DATABASE!$AV$14)+1,BD$5+3)),"")</f>
        <v/>
      </c>
      <c r="BE13" s="116">
        <f t="array" ref="BE13">IFERROR(_xlfn.SINGLE(INDEX(DATABASE!$AV$14:$BC$968,SUMPRODUCT((ROW(DATABASE!$AV$14:$AV$968)) * (DATABASE!$AV$14:CX$968='Résultats Projection'!$A13 ) * (DATABASE!$AW$14:$AW$968= BE$4))-ROW(DATABASE!$AV$14)+1,BE$5+3)),"")</f>
        <v/>
      </c>
      <c r="BF13" s="116">
        <f t="array" ref="BF13">IFERROR(_xlfn.SINGLE(INDEX(DATABASE!$AV$14:$BC$968,SUMPRODUCT((ROW(DATABASE!$AV$14:$AV$968)) * (DATABASE!$AV$14:CY$968='Résultats Projection'!$A13 ) * (DATABASE!$AW$14:$AW$968= BF$4))-ROW(DATABASE!$AV$14)+1,BF$5+3)),"")</f>
        <v/>
      </c>
      <c r="BG13" s="116">
        <f t="array" ref="BG13">IFERROR(_xlfn.SINGLE(INDEX(DATABASE!$AV$14:$BC$968,SUMPRODUCT((ROW(DATABASE!$AV$14:$AV$968)) * (DATABASE!$AV$14:CZ$968='Résultats Projection'!$A13 ) * (DATABASE!$AW$14:$AW$968= BG$4))-ROW(DATABASE!$AV$14)+1,BG$5+3)),"")</f>
        <v/>
      </c>
      <c r="BH13" s="116">
        <f t="array" ref="BH13">IFERROR(_xlfn.SINGLE(INDEX(DATABASE!$AV$14:$BC$968,SUMPRODUCT((ROW(DATABASE!$AV$14:$AV$968)) * (DATABASE!$AV$14:DA$968='Résultats Projection'!$A13 ) * (DATABASE!$AW$14:$AW$968= BH$4))-ROW(DATABASE!$AV$14)+1,BH$5+3)),"")</f>
        <v/>
      </c>
      <c r="BI13" s="116">
        <f t="array" ref="BI13">IFERROR(_xlfn.SINGLE(INDEX(DATABASE!$AV$14:$BC$968,SUMPRODUCT((ROW(DATABASE!$AV$14:$AV$968)) * (DATABASE!$AV$14:DB$968='Résultats Projection'!$A13 ) * (DATABASE!$AW$14:$AW$968= BI$4))-ROW(DATABASE!$AV$14)+1,BI$5+3)),"")</f>
        <v/>
      </c>
      <c r="BJ13" s="116">
        <f t="array" ref="BJ13">IFERROR(_xlfn.SINGLE(INDEX(DATABASE!$AV$14:$BC$968,SUMPRODUCT((ROW(DATABASE!$AV$14:$AV$968)) * (DATABASE!$AV$14:DC$968='Résultats Projection'!$A13 ) * (DATABASE!$AW$14:$AW$968= BJ$4))-ROW(DATABASE!$AV$14)+1,BJ$5+3)),"")</f>
        <v/>
      </c>
    </row>
    <row r="14" ht="29.25" customFormat="1" customHeight="1" s="28">
      <c r="A14" s="42" t="n">
        <v>45552</v>
      </c>
      <c r="B14" s="8">
        <f>A14-A$10</f>
        <v/>
      </c>
      <c r="C14" s="116">
        <f t="array" ref="C14">IFERROR(_xlfn.SINGLE(INDEX(DATABASE!$AV$14:$BC$968,SUMPRODUCT((ROW(DATABASE!$AV$14:$AV$968)) * (DATABASE!AV$14:$AV$968='Résultats Projection'!$A14 ) * (DATABASE!$AW$14:$AW$968= C$4))-ROW(DATABASE!$AV$14)+1,C$5+3)),"")</f>
        <v/>
      </c>
      <c r="D14" s="116">
        <f t="array" ref="D14">IFERROR(_xlfn.SINGLE(INDEX(DATABASE!$AV$14:$BC$968,SUMPRODUCT((ROW(DATABASE!$AV$14:$AV$968)) * (DATABASE!$AV$14:AW$968='Résultats Projection'!$A14 ) * (DATABASE!$AW$14:$AW$968= D$4))-ROW(DATABASE!$AV$14)+1,D$5+3)),"")</f>
        <v/>
      </c>
      <c r="E14" s="116">
        <f t="array" ref="E14">IFERROR(_xlfn.SINGLE(INDEX(DATABASE!$AV$14:$BC$968,SUMPRODUCT((ROW(DATABASE!$AV$14:$AV$968)) * (DATABASE!$AV$14:AX$968='Résultats Projection'!$A14 ) * (DATABASE!$AW$14:$AW$968= E$4))-ROW(DATABASE!$AV$14)+1,E$5+3)),"")</f>
        <v/>
      </c>
      <c r="F14" s="116">
        <f t="array" ref="F14">IFERROR(_xlfn.SINGLE(INDEX(DATABASE!$AV$14:$BC$968,SUMPRODUCT((ROW(DATABASE!$AV$14:$AV$968)) * (DATABASE!$AV$14:AY$968='Résultats Projection'!$A14 ) * (DATABASE!$AW$14:$AW$968= F$4))-ROW(DATABASE!$AV$14)+1,F$5+3)),"")</f>
        <v/>
      </c>
      <c r="G14" s="116">
        <f t="array" ref="G14">IFERROR(_xlfn.SINGLE(INDEX(DATABASE!$AV$14:$BC$968,SUMPRODUCT((ROW(DATABASE!$AV$14:$AV$968)) * (DATABASE!$AV$14:AZ$968='Résultats Projection'!$A14 ) * (DATABASE!$AW$14:$AW$968= G$4))-ROW(DATABASE!$AV$14)+1,G$5+3)),"")</f>
        <v/>
      </c>
      <c r="H14" s="116">
        <f t="array" ref="H14">IFERROR(_xlfn.SINGLE(INDEX(DATABASE!$AV$14:$BC$968,SUMPRODUCT((ROW(DATABASE!$AV$14:$AV$968)) * (DATABASE!$AV$14:BA$968='Résultats Projection'!$A14 ) * (DATABASE!$AW$14:$AW$968= H$4))-ROW(DATABASE!$AV$14)+1,H$5+3)),"")</f>
        <v/>
      </c>
      <c r="I14" s="116">
        <f t="array" ref="I14">IFERROR(_xlfn.SINGLE(INDEX(DATABASE!$AV$14:$BC$968,SUMPRODUCT((ROW(DATABASE!$AV$14:$AV$968)) * (DATABASE!$AV$14:BB$968='Résultats Projection'!$A14 ) * (DATABASE!$AW$14:$AW$968= I$4))-ROW(DATABASE!$AV$14)+1,I$5+3)),"")</f>
        <v/>
      </c>
      <c r="J14" s="116">
        <f t="array" ref="J14">IFERROR(_xlfn.SINGLE(INDEX(DATABASE!$AV$14:$BC$968,SUMPRODUCT((ROW(DATABASE!$AV$14:$AV$968)) * (DATABASE!$AV$14:BC$968='Résultats Projection'!$A14 ) * (DATABASE!$AW$14:$AW$968= J$4))-ROW(DATABASE!$AV$14)+1,J$5+3)),"")</f>
        <v/>
      </c>
      <c r="K14" s="116">
        <f t="array" ref="K14">IFERROR(_xlfn.SINGLE(INDEX(DATABASE!$AV$14:$BC$968,SUMPRODUCT((ROW(DATABASE!$AV$14:$AV$968)) * (DATABASE!$AV$14:BD$968='Résultats Projection'!$A14 ) * (DATABASE!$AW$14:$AW$968= K$4))-ROW(DATABASE!$AV$14)+1,K$5+3)),"")</f>
        <v/>
      </c>
      <c r="L14" s="116">
        <f t="array" ref="L14">IFERROR(_xlfn.SINGLE(INDEX(DATABASE!$AV$14:$BC$968,SUMPRODUCT((ROW(DATABASE!$AV$14:$AV$968)) * (DATABASE!$AV$14:BE$968='Résultats Projection'!$A14 ) * (DATABASE!$AW$14:$AW$968= L$4))-ROW(DATABASE!$AV$14)+1,L$5+3)),"")</f>
        <v/>
      </c>
      <c r="M14" s="116">
        <f t="array" ref="M14">IFERROR(_xlfn.SINGLE(INDEX(DATABASE!$AV$14:$BC$968,SUMPRODUCT((ROW(DATABASE!$AV$14:$AV$968)) * (DATABASE!$AV$14:BF$968='Résultats Projection'!$A14 ) * (DATABASE!$AW$14:$AW$968= M$4))-ROW(DATABASE!$AV$14)+1,M$5+3)),"")</f>
        <v/>
      </c>
      <c r="N14" s="116">
        <f t="array" ref="N14">IFERROR(_xlfn.SINGLE(INDEX(DATABASE!$AV$14:$BC$968,SUMPRODUCT((ROW(DATABASE!$AV$14:$AV$968)) * (DATABASE!$AV$14:BG$968='Résultats Projection'!$A14 ) * (DATABASE!$AW$14:$AW$968= N$4))-ROW(DATABASE!$AV$14)+1,N$5+3)),"")</f>
        <v/>
      </c>
      <c r="O14" s="116">
        <f t="array" ref="O14">IFERROR(_xlfn.SINGLE(INDEX(DATABASE!$AV$14:$BC$968,SUMPRODUCT((ROW(DATABASE!$AV$14:$AV$968)) * (DATABASE!$AV$14:BH$968='Résultats Projection'!$A14 ) * (DATABASE!$AW$14:$AW$968= O$4))-ROW(DATABASE!$AV$14)+1,O$5+3)),"")</f>
        <v/>
      </c>
      <c r="P14" s="116">
        <f t="array" ref="P14">IFERROR(_xlfn.SINGLE(INDEX(DATABASE!$AV$14:$BC$968,SUMPRODUCT((ROW(DATABASE!$AV$14:$AV$968)) * (DATABASE!$AV$14:BI$968='Résultats Projection'!$A14 ) * (DATABASE!$AW$14:$AW$968= P$4))-ROW(DATABASE!$AV$14)+1,P$5+3)),"")</f>
        <v/>
      </c>
      <c r="Q14" s="116">
        <f t="array" ref="Q14">IFERROR(_xlfn.SINGLE(INDEX(DATABASE!$AV$14:$BC$968,SUMPRODUCT((ROW(DATABASE!$AV$14:$AV$968)) * (DATABASE!$AV$14:BJ$968='Résultats Projection'!$A14 ) * (DATABASE!$AW$14:$AW$968= Q$4))-ROW(DATABASE!$AV$14)+1,Q$5+3)),"")</f>
        <v/>
      </c>
      <c r="R14" s="116">
        <f t="array" ref="R14">IFERROR(_xlfn.SINGLE(INDEX(DATABASE!$AV$14:$BC$968,SUMPRODUCT((ROW(DATABASE!$AV$14:$AV$968)) * (DATABASE!$AV$14:BK$968='Résultats Projection'!$A14 ) * (DATABASE!$AW$14:$AW$968= R$4))-ROW(DATABASE!$AV$14)+1,R$5+3)),"")</f>
        <v/>
      </c>
      <c r="S14" s="116">
        <f t="array" ref="S14">IFERROR(_xlfn.SINGLE(INDEX(DATABASE!$AV$14:$BC$968,SUMPRODUCT((ROW(DATABASE!$AV$14:$AV$968)) * (DATABASE!$AV$14:BL$968='Résultats Projection'!$A14 ) * (DATABASE!$AW$14:$AW$968= S$4))-ROW(DATABASE!$AV$14)+1,S$5+3)),"")</f>
        <v/>
      </c>
      <c r="T14" s="116">
        <f t="array" ref="T14">IFERROR(_xlfn.SINGLE(INDEX(DATABASE!$AV$14:$BC$968,SUMPRODUCT((ROW(DATABASE!$AV$14:$AV$968)) * (DATABASE!$AV$14:BM$968='Résultats Projection'!$A14 ) * (DATABASE!$AW$14:$AW$968= T$4))-ROW(DATABASE!$AV$14)+1,T$5+3)),"")</f>
        <v/>
      </c>
      <c r="U14" s="116">
        <f t="array" ref="U14">IFERROR(_xlfn.SINGLE(INDEX(DATABASE!$AV$14:$BC$968,SUMPRODUCT((ROW(DATABASE!$AV$14:$AV$968)) * (DATABASE!$AV$14:BN$968='Résultats Projection'!$A14 ) * (DATABASE!$AW$14:$AW$968= U$4))-ROW(DATABASE!$AV$14)+1,U$5+3)),"")</f>
        <v/>
      </c>
      <c r="V14" s="116">
        <f t="array" ref="V14">IFERROR(_xlfn.SINGLE(INDEX(DATABASE!$AV$14:$BC$968,SUMPRODUCT((ROW(DATABASE!$AV$14:$AV$968)) * (DATABASE!$AV$14:BO$968='Résultats Projection'!$A14 ) * (DATABASE!$AW$14:$AW$968= V$4))-ROW(DATABASE!$AV$14)+1,V$5+3)),"")</f>
        <v/>
      </c>
      <c r="W14" s="116">
        <f t="array" ref="W14">IFERROR(_xlfn.SINGLE(INDEX(DATABASE!$AV$14:$BC$968,SUMPRODUCT((ROW(DATABASE!$AV$14:$AV$968)) * (DATABASE!$AV$14:BP$968='Résultats Projection'!$A14 ) * (DATABASE!$AW$14:$AW$968= W$4))-ROW(DATABASE!$AV$14)+1,W$5+3)),"")</f>
        <v/>
      </c>
      <c r="X14" s="116">
        <f t="array" ref="X14">IFERROR(_xlfn.SINGLE(INDEX(DATABASE!$AV$14:$BC$968,SUMPRODUCT((ROW(DATABASE!$AV$14:$AV$968)) * (DATABASE!$AV$14:BQ$968='Résultats Projection'!$A14 ) * (DATABASE!$AW$14:$AW$968= X$4))-ROW(DATABASE!$AV$14)+1,X$5+3)),"")</f>
        <v/>
      </c>
      <c r="Y14" s="116">
        <f t="array" ref="Y14">IFERROR(_xlfn.SINGLE(INDEX(DATABASE!$AV$14:$BC$968,SUMPRODUCT((ROW(DATABASE!$AV$14:$AV$968)) * (DATABASE!$AV$14:BR$968='Résultats Projection'!$A14 ) * (DATABASE!$AW$14:$AW$968= Y$4))-ROW(DATABASE!$AV$14)+1,Y$5+3)),"")</f>
        <v/>
      </c>
      <c r="Z14" s="116">
        <f t="array" ref="Z14">IFERROR(_xlfn.SINGLE(INDEX(DATABASE!$AV$14:$BC$968,SUMPRODUCT((ROW(DATABASE!$AV$14:$AV$968)) * (DATABASE!$AV$14:BS$968='Résultats Projection'!$A14 ) * (DATABASE!$AW$14:$AW$968= Z$4))-ROW(DATABASE!$AV$14)+1,Z$5+3)),"")</f>
        <v/>
      </c>
      <c r="AA14" s="116">
        <f t="array" ref="AA14">IFERROR(_xlfn.SINGLE(INDEX(DATABASE!$AV$14:$BC$968,SUMPRODUCT((ROW(DATABASE!$AV$14:$AV$968)) * (DATABASE!$AV$14:BT$968='Résultats Projection'!$A14 ) * (DATABASE!$AW$14:$AW$968= AA$4))-ROW(DATABASE!$AV$14)+1,AA$5+3)),"")</f>
        <v/>
      </c>
      <c r="AB14" s="116">
        <f t="array" ref="AB14">IFERROR(_xlfn.SINGLE(INDEX(DATABASE!$AV$14:$BC$968,SUMPRODUCT((ROW(DATABASE!$AV$14:$AV$968)) * (DATABASE!$AV$14:BU$968='Résultats Projection'!$A14 ) * (DATABASE!$AW$14:$AW$968= AB$4))-ROW(DATABASE!$AV$14)+1,AB$5+3)),"")</f>
        <v/>
      </c>
      <c r="AC14" s="116">
        <f t="array" ref="AC14">IFERROR(_xlfn.SINGLE(INDEX(DATABASE!$AV$14:$BC$968,SUMPRODUCT((ROW(DATABASE!$AV$14:$AV$968)) * (DATABASE!$AV$14:BV$968='Résultats Projection'!$A14 ) * (DATABASE!$AW$14:$AW$968= AC$4))-ROW(DATABASE!$AV$14)+1,AC$5+3)),"")</f>
        <v/>
      </c>
      <c r="AD14" s="116">
        <f t="array" ref="AD14">IFERROR(_xlfn.SINGLE(INDEX(DATABASE!$AV$14:$BC$968,SUMPRODUCT((ROW(DATABASE!$AV$14:$AV$968)) * (DATABASE!$AV$14:BW$968='Résultats Projection'!$A14 ) * (DATABASE!$AW$14:$AW$968= AD$4))-ROW(DATABASE!$AV$14)+1,AD$5+3)),"")</f>
        <v/>
      </c>
      <c r="AE14" s="116">
        <f t="array" ref="AE14">IFERROR(_xlfn.SINGLE(INDEX(DATABASE!$AV$14:$BC$968,SUMPRODUCT((ROW(DATABASE!$AV$14:$AV$968)) * (DATABASE!$AV$14:BX$968='Résultats Projection'!$A14 ) * (DATABASE!$AW$14:$AW$968= AE$4))-ROW(DATABASE!$AV$14)+1,AE$5+3)),"")</f>
        <v/>
      </c>
      <c r="AF14" s="116">
        <f t="array" ref="AF14">IFERROR(_xlfn.SINGLE(INDEX(DATABASE!$AV$14:$BC$968,SUMPRODUCT((ROW(DATABASE!$AV$14:$AV$968)) * (DATABASE!$AV$14:BY$968='Résultats Projection'!$A14 ) * (DATABASE!$AW$14:$AW$968= AF$4))-ROW(DATABASE!$AV$14)+1,AF$5+3)),"")</f>
        <v/>
      </c>
      <c r="AG14" s="116">
        <f t="array" ref="AG14">IFERROR(_xlfn.SINGLE(INDEX(DATABASE!$AV$14:$BC$968,SUMPRODUCT((ROW(DATABASE!$AV$14:$AV$968)) * (DATABASE!$AV$14:BZ$968='Résultats Projection'!$A14 ) * (DATABASE!$AW$14:$AW$968= AG$4))-ROW(DATABASE!$AV$14)+1,AG$5+3)),"")</f>
        <v/>
      </c>
      <c r="AH14" s="116">
        <f t="array" ref="AH14">IFERROR(_xlfn.SINGLE(INDEX(DATABASE!$AV$14:$BC$968,SUMPRODUCT((ROW(DATABASE!$AV$14:$AV$968)) * (DATABASE!$AV$14:CA$968='Résultats Projection'!$A14 ) * (DATABASE!$AW$14:$AW$968= AH$4))-ROW(DATABASE!$AV$14)+1,AH$5+3)),"")</f>
        <v/>
      </c>
      <c r="AI14" s="116">
        <f t="array" ref="AI14">IFERROR(_xlfn.SINGLE(INDEX(DATABASE!$AV$14:$BC$968,SUMPRODUCT((ROW(DATABASE!$AV$14:$AV$968)) * (DATABASE!$AV$14:CB$968='Résultats Projection'!$A14 ) * (DATABASE!$AW$14:$AW$968= AI$4))-ROW(DATABASE!$AV$14)+1,AI$5+3)),"")</f>
        <v/>
      </c>
      <c r="AJ14" s="116">
        <f t="array" ref="AJ14">IFERROR(_xlfn.SINGLE(INDEX(DATABASE!$AV$14:$BC$968,SUMPRODUCT((ROW(DATABASE!$AV$14:$AV$968)) * (DATABASE!$AV$14:CC$968='Résultats Projection'!$A14 ) * (DATABASE!$AW$14:$AW$968= AJ$4))-ROW(DATABASE!$AV$14)+1,AJ$5+3)),"")</f>
        <v/>
      </c>
      <c r="AK14" s="116">
        <f t="array" ref="AK14">IFERROR(_xlfn.SINGLE(INDEX(DATABASE!$AV$14:$BC$968,SUMPRODUCT((ROW(DATABASE!$AV$14:$AV$968)) * (DATABASE!$AV$14:CD$968='Résultats Projection'!$A14 ) * (DATABASE!$AW$14:$AW$968= AK$4))-ROW(DATABASE!$AV$14)+1,AK$5+3)),"")</f>
        <v/>
      </c>
      <c r="AL14" s="116">
        <f t="array" ref="AL14">IFERROR(_xlfn.SINGLE(INDEX(DATABASE!$AV$14:$BC$968,SUMPRODUCT((ROW(DATABASE!$AV$14:$AV$968)) * (DATABASE!$AV$14:CE$968='Résultats Projection'!$A14 ) * (DATABASE!$AW$14:$AW$968= AL$4))-ROW(DATABASE!$AV$14)+1,AL$5+3)),"")</f>
        <v/>
      </c>
      <c r="AM14" s="116">
        <f t="array" ref="AM14">IFERROR(_xlfn.SINGLE(INDEX(DATABASE!$AV$14:$BC$968,SUMPRODUCT((ROW(DATABASE!$AV$14:$AV$968)) * (DATABASE!$AV$14:CF$968='Résultats Projection'!$A14 ) * (DATABASE!$AW$14:$AW$968= AM$4))-ROW(DATABASE!$AV$14)+1,AM$5+3)),"")</f>
        <v/>
      </c>
      <c r="AN14" s="116">
        <f t="array" ref="AN14">IFERROR(_xlfn.SINGLE(INDEX(DATABASE!$AV$14:$BC$968,SUMPRODUCT((ROW(DATABASE!$AV$14:$AV$968)) * (DATABASE!$AV$14:CG$968='Résultats Projection'!$A14 ) * (DATABASE!$AW$14:$AW$968= AN$4))-ROW(DATABASE!$AV$14)+1,AN$5+3)),"")</f>
        <v/>
      </c>
      <c r="AO14" s="116">
        <f t="array" ref="AO14">IFERROR(_xlfn.SINGLE(INDEX(DATABASE!$AV$14:$BC$968,SUMPRODUCT((ROW(DATABASE!$AV$14:$AV$968)) * (DATABASE!$AV$14:CH$968='Résultats Projection'!$A14 ) * (DATABASE!$AW$14:$AW$968= AO$4))-ROW(DATABASE!$AV$14)+1,AO$5+3)),"")</f>
        <v/>
      </c>
      <c r="AP14" s="116">
        <f t="array" ref="AP14">IFERROR(_xlfn.SINGLE(INDEX(DATABASE!$AV$14:$BC$968,SUMPRODUCT((ROW(DATABASE!$AV$14:$AV$968)) * (DATABASE!$AV$14:CI$968='Résultats Projection'!$A14 ) * (DATABASE!$AW$14:$AW$968= AP$4))-ROW(DATABASE!$AV$14)+1,AP$5+3)),"")</f>
        <v/>
      </c>
      <c r="AQ14" s="116">
        <f t="array" ref="AQ14">IFERROR(_xlfn.SINGLE(INDEX(DATABASE!$AV$14:$BC$968,SUMPRODUCT((ROW(DATABASE!$AV$14:$AV$968)) * (DATABASE!$AV$14:CJ$968='Résultats Projection'!$A14 ) * (DATABASE!$AW$14:$AW$968= AQ$4))-ROW(DATABASE!$AV$14)+1,AQ$5+3)),"")</f>
        <v/>
      </c>
      <c r="AR14" s="116">
        <f t="array" ref="AR14">IFERROR(_xlfn.SINGLE(INDEX(DATABASE!$AV$14:$BC$968,SUMPRODUCT((ROW(DATABASE!$AV$14:$AV$968)) * (DATABASE!$AV$14:CK$968='Résultats Projection'!$A14 ) * (DATABASE!$AW$14:$AW$968= AR$4))-ROW(DATABASE!$AV$14)+1,AR$5+3)),"")</f>
        <v/>
      </c>
      <c r="AS14" s="116">
        <f t="array" ref="AS14">IFERROR(_xlfn.SINGLE(INDEX(DATABASE!$AV$14:$BC$968,SUMPRODUCT((ROW(DATABASE!$AV$14:$AV$968)) * (DATABASE!$AV$14:CL$968='Résultats Projection'!$A14 ) * (DATABASE!$AW$14:$AW$968= AS$4))-ROW(DATABASE!$AV$14)+1,AS$5+3)),"")</f>
        <v/>
      </c>
      <c r="AT14" s="116">
        <f t="array" ref="AT14">IFERROR(_xlfn.SINGLE(INDEX(DATABASE!$AV$14:$BC$968,SUMPRODUCT((ROW(DATABASE!$AV$14:$AV$968)) * (DATABASE!$AV$14:CM$968='Résultats Projection'!$A14 ) * (DATABASE!$AW$14:$AW$968= AT$4))-ROW(DATABASE!$AV$14)+1,AT$5+3)),"")</f>
        <v/>
      </c>
      <c r="AU14" s="116">
        <f t="array" ref="AU14">IFERROR(_xlfn.SINGLE(INDEX(DATABASE!$AV$14:$BC$968,SUMPRODUCT((ROW(DATABASE!$AV$14:$AV$968)) * (DATABASE!$AV$14:CN$968='Résultats Projection'!$A14 ) * (DATABASE!$AW$14:$AW$968= AU$4))-ROW(DATABASE!$AV$14)+1,AU$5+3)),"")</f>
        <v/>
      </c>
      <c r="AV14" s="116">
        <f t="array" ref="AV14">IFERROR(_xlfn.SINGLE(INDEX(DATABASE!$AV$14:$BC$968,SUMPRODUCT((ROW(DATABASE!$AV$14:$AV$968)) * (DATABASE!$AV$14:CO$968='Résultats Projection'!$A14 ) * (DATABASE!$AW$14:$AW$968= AV$4))-ROW(DATABASE!$AV$14)+1,AV$5+3)),"")</f>
        <v/>
      </c>
      <c r="AW14" s="116">
        <f t="array" ref="AW14">IFERROR(_xlfn.SINGLE(INDEX(DATABASE!$AV$14:$BC$968,SUMPRODUCT((ROW(DATABASE!$AV$14:$AV$968)) * (DATABASE!$AV$14:CP$968='Résultats Projection'!$A14 ) * (DATABASE!$AW$14:$AW$968= AW$4))-ROW(DATABASE!$AV$14)+1,AW$5+3)),"")</f>
        <v/>
      </c>
      <c r="AX14" s="116">
        <f t="array" ref="AX14">IFERROR(_xlfn.SINGLE(INDEX(DATABASE!$AV$14:$BC$968,SUMPRODUCT((ROW(DATABASE!$AV$14:$AV$968)) * (DATABASE!$AV$14:CQ$968='Résultats Projection'!$A14 ) * (DATABASE!$AW$14:$AW$968= AX$4))-ROW(DATABASE!$AV$14)+1,AX$5+3)),"")</f>
        <v/>
      </c>
      <c r="AY14" s="116">
        <f t="array" ref="AY14">IFERROR(_xlfn.SINGLE(INDEX(DATABASE!$AV$14:$BC$968,SUMPRODUCT((ROW(DATABASE!$AV$14:$AV$968)) * (DATABASE!$AV$14:CR$968='Résultats Projection'!$A14 ) * (DATABASE!$AW$14:$AW$968= AY$4))-ROW(DATABASE!$AV$14)+1,AY$5+3)),"")</f>
        <v/>
      </c>
      <c r="AZ14" s="116">
        <f t="array" ref="AZ14">IFERROR(_xlfn.SINGLE(INDEX(DATABASE!$AV$14:$BC$968,SUMPRODUCT((ROW(DATABASE!$AV$14:$AV$968)) * (DATABASE!$AV$14:CS$968='Résultats Projection'!$A14 ) * (DATABASE!$AW$14:$AW$968= AZ$4))-ROW(DATABASE!$AV$14)+1,AZ$5+3)),"")</f>
        <v/>
      </c>
      <c r="BA14" s="116">
        <f t="array" ref="BA14">IFERROR(_xlfn.SINGLE(INDEX(DATABASE!$AV$14:$BC$968,SUMPRODUCT((ROW(DATABASE!$AV$14:$AV$968)) * (DATABASE!$AV$14:CT$968='Résultats Projection'!$A14 ) * (DATABASE!$AW$14:$AW$968= BA$4))-ROW(DATABASE!$AV$14)+1,BA$5+3)),"")</f>
        <v/>
      </c>
      <c r="BB14" s="116">
        <f t="array" ref="BB14">IFERROR(_xlfn.SINGLE(INDEX(DATABASE!$AV$14:$BC$968,SUMPRODUCT((ROW(DATABASE!$AV$14:$AV$968)) * (DATABASE!$AV$14:CU$968='Résultats Projection'!$A14 ) * (DATABASE!$AW$14:$AW$968= BB$4))-ROW(DATABASE!$AV$14)+1,BB$5+3)),"")</f>
        <v/>
      </c>
      <c r="BC14" s="116">
        <f t="array" ref="BC14">IFERROR(_xlfn.SINGLE(INDEX(DATABASE!$AV$14:$BC$968,SUMPRODUCT((ROW(DATABASE!$AV$14:$AV$968)) * (DATABASE!$AV$14:CV$968='Résultats Projection'!$A14 ) * (DATABASE!$AW$14:$AW$968= BC$4))-ROW(DATABASE!$AV$14)+1,BC$5+3)),"")</f>
        <v/>
      </c>
      <c r="BD14" s="116">
        <f t="array" ref="BD14">IFERROR(_xlfn.SINGLE(INDEX(DATABASE!$AV$14:$BC$968,SUMPRODUCT((ROW(DATABASE!$AV$14:$AV$968)) * (DATABASE!$AV$14:CW$968='Résultats Projection'!$A14 ) * (DATABASE!$AW$14:$AW$968= BD$4))-ROW(DATABASE!$AV$14)+1,BD$5+3)),"")</f>
        <v/>
      </c>
      <c r="BE14" s="116">
        <f t="array" ref="BE14">IFERROR(_xlfn.SINGLE(INDEX(DATABASE!$AV$14:$BC$968,SUMPRODUCT((ROW(DATABASE!$AV$14:$AV$968)) * (DATABASE!$AV$14:CX$968='Résultats Projection'!$A14 ) * (DATABASE!$AW$14:$AW$968= BE$4))-ROW(DATABASE!$AV$14)+1,BE$5+3)),"")</f>
        <v/>
      </c>
      <c r="BF14" s="116">
        <f t="array" ref="BF14">IFERROR(_xlfn.SINGLE(INDEX(DATABASE!$AV$14:$BC$968,SUMPRODUCT((ROW(DATABASE!$AV$14:$AV$968)) * (DATABASE!$AV$14:CY$968='Résultats Projection'!$A14 ) * (DATABASE!$AW$14:$AW$968= BF$4))-ROW(DATABASE!$AV$14)+1,BF$5+3)),"")</f>
        <v/>
      </c>
      <c r="BG14" s="116">
        <f t="array" ref="BG14">IFERROR(_xlfn.SINGLE(INDEX(DATABASE!$AV$14:$BC$968,SUMPRODUCT((ROW(DATABASE!$AV$14:$AV$968)) * (DATABASE!$AV$14:CZ$968='Résultats Projection'!$A14 ) * (DATABASE!$AW$14:$AW$968= BG$4))-ROW(DATABASE!$AV$14)+1,BG$5+3)),"")</f>
        <v/>
      </c>
      <c r="BH14" s="116">
        <f t="array" ref="BH14">IFERROR(_xlfn.SINGLE(INDEX(DATABASE!$AV$14:$BC$968,SUMPRODUCT((ROW(DATABASE!$AV$14:$AV$968)) * (DATABASE!$AV$14:DA$968='Résultats Projection'!$A14 ) * (DATABASE!$AW$14:$AW$968= BH$4))-ROW(DATABASE!$AV$14)+1,BH$5+3)),"")</f>
        <v/>
      </c>
      <c r="BI14" s="116">
        <f t="array" ref="BI14">IFERROR(_xlfn.SINGLE(INDEX(DATABASE!$AV$14:$BC$968,SUMPRODUCT((ROW(DATABASE!$AV$14:$AV$968)) * (DATABASE!$AV$14:DB$968='Résultats Projection'!$A14 ) * (DATABASE!$AW$14:$AW$968= BI$4))-ROW(DATABASE!$AV$14)+1,BI$5+3)),"")</f>
        <v/>
      </c>
      <c r="BJ14" s="116">
        <f t="array" ref="BJ14">IFERROR(_xlfn.SINGLE(INDEX(DATABASE!$AV$14:$BC$968,SUMPRODUCT((ROW(DATABASE!$AV$14:$AV$968)) * (DATABASE!$AV$14:DC$968='Résultats Projection'!$A14 ) * (DATABASE!$AW$14:$AW$968= BJ$4))-ROW(DATABASE!$AV$14)+1,BJ$5+3)),"")</f>
        <v/>
      </c>
    </row>
    <row r="15" ht="29.25" customFormat="1" customHeight="1" s="28">
      <c r="A15" s="42" t="n">
        <v>45553</v>
      </c>
      <c r="B15" s="8">
        <f>A15-A$10</f>
        <v/>
      </c>
      <c r="C15" s="116">
        <f t="array" ref="C15">IFERROR(_xlfn.SINGLE(INDEX(DATABASE!$AV$14:$BC$968,SUMPRODUCT((ROW(DATABASE!$AV$14:$AV$968)) * (DATABASE!AV$14:$AV$968='Résultats Projection'!$A15 ) * (DATABASE!$AW$14:$AW$968= C$4))-ROW(DATABASE!$AV$14)+1,C$5+3)),"")</f>
        <v/>
      </c>
      <c r="D15" s="116">
        <f t="array" ref="D15">IFERROR(_xlfn.SINGLE(INDEX(DATABASE!$AV$14:$BC$968,SUMPRODUCT((ROW(DATABASE!$AV$14:$AV$968)) * (DATABASE!$AV$14:AW$968='Résultats Projection'!$A15 ) * (DATABASE!$AW$14:$AW$968= D$4))-ROW(DATABASE!$AV$14)+1,D$5+3)),"")</f>
        <v/>
      </c>
      <c r="E15" s="116">
        <f t="array" ref="E15">IFERROR(_xlfn.SINGLE(INDEX(DATABASE!$AV$14:$BC$968,SUMPRODUCT((ROW(DATABASE!$AV$14:$AV$968)) * (DATABASE!$AV$14:AX$968='Résultats Projection'!$A15 ) * (DATABASE!$AW$14:$AW$968= E$4))-ROW(DATABASE!$AV$14)+1,E$5+3)),"")</f>
        <v/>
      </c>
      <c r="F15" s="116">
        <f t="array" ref="F15">IFERROR(_xlfn.SINGLE(INDEX(DATABASE!$AV$14:$BC$968,SUMPRODUCT((ROW(DATABASE!$AV$14:$AV$968)) * (DATABASE!$AV$14:AY$968='Résultats Projection'!$A15 ) * (DATABASE!$AW$14:$AW$968= F$4))-ROW(DATABASE!$AV$14)+1,F$5+3)),"")</f>
        <v/>
      </c>
      <c r="G15" s="116">
        <f t="array" ref="G15">IFERROR(_xlfn.SINGLE(INDEX(DATABASE!$AV$14:$BC$968,SUMPRODUCT((ROW(DATABASE!$AV$14:$AV$968)) * (DATABASE!$AV$14:AZ$968='Résultats Projection'!$A15 ) * (DATABASE!$AW$14:$AW$968= G$4))-ROW(DATABASE!$AV$14)+1,G$5+3)),"")</f>
        <v/>
      </c>
      <c r="H15" s="116">
        <f t="array" ref="H15">IFERROR(_xlfn.SINGLE(INDEX(DATABASE!$AV$14:$BC$968,SUMPRODUCT((ROW(DATABASE!$AV$14:$AV$968)) * (DATABASE!$AV$14:BA$968='Résultats Projection'!$A15 ) * (DATABASE!$AW$14:$AW$968= H$4))-ROW(DATABASE!$AV$14)+1,H$5+3)),"")</f>
        <v/>
      </c>
      <c r="I15" s="116">
        <f t="array" ref="I15">IFERROR(_xlfn.SINGLE(INDEX(DATABASE!$AV$14:$BC$968,SUMPRODUCT((ROW(DATABASE!$AV$14:$AV$968)) * (DATABASE!$AV$14:BB$968='Résultats Projection'!$A15 ) * (DATABASE!$AW$14:$AW$968= I$4))-ROW(DATABASE!$AV$14)+1,I$5+3)),"")</f>
        <v/>
      </c>
      <c r="J15" s="116">
        <f t="array" ref="J15">IFERROR(_xlfn.SINGLE(INDEX(DATABASE!$AV$14:$BC$968,SUMPRODUCT((ROW(DATABASE!$AV$14:$AV$968)) * (DATABASE!$AV$14:BC$968='Résultats Projection'!$A15 ) * (DATABASE!$AW$14:$AW$968= J$4))-ROW(DATABASE!$AV$14)+1,J$5+3)),"")</f>
        <v/>
      </c>
      <c r="K15" s="116">
        <f t="array" ref="K15">IFERROR(_xlfn.SINGLE(INDEX(DATABASE!$AV$14:$BC$968,SUMPRODUCT((ROW(DATABASE!$AV$14:$AV$968)) * (DATABASE!$AV$14:BD$968='Résultats Projection'!$A15 ) * (DATABASE!$AW$14:$AW$968= K$4))-ROW(DATABASE!$AV$14)+1,K$5+3)),"")</f>
        <v/>
      </c>
      <c r="L15" s="116">
        <f t="array" ref="L15">IFERROR(_xlfn.SINGLE(INDEX(DATABASE!$AV$14:$BC$968,SUMPRODUCT((ROW(DATABASE!$AV$14:$AV$968)) * (DATABASE!$AV$14:BE$968='Résultats Projection'!$A15 ) * (DATABASE!$AW$14:$AW$968= L$4))-ROW(DATABASE!$AV$14)+1,L$5+3)),"")</f>
        <v/>
      </c>
      <c r="M15" s="116">
        <f t="array" ref="M15">IFERROR(_xlfn.SINGLE(INDEX(DATABASE!$AV$14:$BC$968,SUMPRODUCT((ROW(DATABASE!$AV$14:$AV$968)) * (DATABASE!$AV$14:BF$968='Résultats Projection'!$A15 ) * (DATABASE!$AW$14:$AW$968= M$4))-ROW(DATABASE!$AV$14)+1,M$5+3)),"")</f>
        <v/>
      </c>
      <c r="N15" s="116">
        <f t="array" ref="N15">IFERROR(_xlfn.SINGLE(INDEX(DATABASE!$AV$14:$BC$968,SUMPRODUCT((ROW(DATABASE!$AV$14:$AV$968)) * (DATABASE!$AV$14:BG$968='Résultats Projection'!$A15 ) * (DATABASE!$AW$14:$AW$968= N$4))-ROW(DATABASE!$AV$14)+1,N$5+3)),"")</f>
        <v/>
      </c>
      <c r="O15" s="116">
        <f t="array" ref="O15">IFERROR(_xlfn.SINGLE(INDEX(DATABASE!$AV$14:$BC$968,SUMPRODUCT((ROW(DATABASE!$AV$14:$AV$968)) * (DATABASE!$AV$14:BH$968='Résultats Projection'!$A15 ) * (DATABASE!$AW$14:$AW$968= O$4))-ROW(DATABASE!$AV$14)+1,O$5+3)),"")</f>
        <v/>
      </c>
      <c r="P15" s="116">
        <f t="array" ref="P15">IFERROR(_xlfn.SINGLE(INDEX(DATABASE!$AV$14:$BC$968,SUMPRODUCT((ROW(DATABASE!$AV$14:$AV$968)) * (DATABASE!$AV$14:BI$968='Résultats Projection'!$A15 ) * (DATABASE!$AW$14:$AW$968= P$4))-ROW(DATABASE!$AV$14)+1,P$5+3)),"")</f>
        <v/>
      </c>
      <c r="Q15" s="116">
        <f t="array" ref="Q15">IFERROR(_xlfn.SINGLE(INDEX(DATABASE!$AV$14:$BC$968,SUMPRODUCT((ROW(DATABASE!$AV$14:$AV$968)) * (DATABASE!$AV$14:BJ$968='Résultats Projection'!$A15 ) * (DATABASE!$AW$14:$AW$968= Q$4))-ROW(DATABASE!$AV$14)+1,Q$5+3)),"")</f>
        <v/>
      </c>
      <c r="R15" s="116">
        <f t="array" ref="R15">IFERROR(_xlfn.SINGLE(INDEX(DATABASE!$AV$14:$BC$968,SUMPRODUCT((ROW(DATABASE!$AV$14:$AV$968)) * (DATABASE!$AV$14:BK$968='Résultats Projection'!$A15 ) * (DATABASE!$AW$14:$AW$968= R$4))-ROW(DATABASE!$AV$14)+1,R$5+3)),"")</f>
        <v/>
      </c>
      <c r="S15" s="116">
        <f t="array" ref="S15">IFERROR(_xlfn.SINGLE(INDEX(DATABASE!$AV$14:$BC$968,SUMPRODUCT((ROW(DATABASE!$AV$14:$AV$968)) * (DATABASE!$AV$14:BL$968='Résultats Projection'!$A15 ) * (DATABASE!$AW$14:$AW$968= S$4))-ROW(DATABASE!$AV$14)+1,S$5+3)),"")</f>
        <v/>
      </c>
      <c r="T15" s="116">
        <f t="array" ref="T15">IFERROR(_xlfn.SINGLE(INDEX(DATABASE!$AV$14:$BC$968,SUMPRODUCT((ROW(DATABASE!$AV$14:$AV$968)) * (DATABASE!$AV$14:BM$968='Résultats Projection'!$A15 ) * (DATABASE!$AW$14:$AW$968= T$4))-ROW(DATABASE!$AV$14)+1,T$5+3)),"")</f>
        <v/>
      </c>
      <c r="U15" s="116">
        <f t="array" ref="U15">IFERROR(_xlfn.SINGLE(INDEX(DATABASE!$AV$14:$BC$968,SUMPRODUCT((ROW(DATABASE!$AV$14:$AV$968)) * (DATABASE!$AV$14:BN$968='Résultats Projection'!$A15 ) * (DATABASE!$AW$14:$AW$968= U$4))-ROW(DATABASE!$AV$14)+1,U$5+3)),"")</f>
        <v/>
      </c>
      <c r="V15" s="116">
        <f t="array" ref="V15">IFERROR(_xlfn.SINGLE(INDEX(DATABASE!$AV$14:$BC$968,SUMPRODUCT((ROW(DATABASE!$AV$14:$AV$968)) * (DATABASE!$AV$14:BO$968='Résultats Projection'!$A15 ) * (DATABASE!$AW$14:$AW$968= V$4))-ROW(DATABASE!$AV$14)+1,V$5+3)),"")</f>
        <v/>
      </c>
      <c r="W15" s="116">
        <f t="array" ref="W15">IFERROR(_xlfn.SINGLE(INDEX(DATABASE!$AV$14:$BC$968,SUMPRODUCT((ROW(DATABASE!$AV$14:$AV$968)) * (DATABASE!$AV$14:BP$968='Résultats Projection'!$A15 ) * (DATABASE!$AW$14:$AW$968= W$4))-ROW(DATABASE!$AV$14)+1,W$5+3)),"")</f>
        <v/>
      </c>
      <c r="X15" s="116">
        <f t="array" ref="X15">IFERROR(_xlfn.SINGLE(INDEX(DATABASE!$AV$14:$BC$968,SUMPRODUCT((ROW(DATABASE!$AV$14:$AV$968)) * (DATABASE!$AV$14:BQ$968='Résultats Projection'!$A15 ) * (DATABASE!$AW$14:$AW$968= X$4))-ROW(DATABASE!$AV$14)+1,X$5+3)),"")</f>
        <v/>
      </c>
      <c r="Y15" s="116">
        <f t="array" ref="Y15">IFERROR(_xlfn.SINGLE(INDEX(DATABASE!$AV$14:$BC$968,SUMPRODUCT((ROW(DATABASE!$AV$14:$AV$968)) * (DATABASE!$AV$14:BR$968='Résultats Projection'!$A15 ) * (DATABASE!$AW$14:$AW$968= Y$4))-ROW(DATABASE!$AV$14)+1,Y$5+3)),"")</f>
        <v/>
      </c>
      <c r="Z15" s="116">
        <f t="array" ref="Z15">IFERROR(_xlfn.SINGLE(INDEX(DATABASE!$AV$14:$BC$968,SUMPRODUCT((ROW(DATABASE!$AV$14:$AV$968)) * (DATABASE!$AV$14:BS$968='Résultats Projection'!$A15 ) * (DATABASE!$AW$14:$AW$968= Z$4))-ROW(DATABASE!$AV$14)+1,Z$5+3)),"")</f>
        <v/>
      </c>
      <c r="AA15" s="116">
        <f t="array" ref="AA15">IFERROR(_xlfn.SINGLE(INDEX(DATABASE!$AV$14:$BC$968,SUMPRODUCT((ROW(DATABASE!$AV$14:$AV$968)) * (DATABASE!$AV$14:BT$968='Résultats Projection'!$A15 ) * (DATABASE!$AW$14:$AW$968= AA$4))-ROW(DATABASE!$AV$14)+1,AA$5+3)),"")</f>
        <v/>
      </c>
      <c r="AB15" s="116">
        <f t="array" ref="AB15">IFERROR(_xlfn.SINGLE(INDEX(DATABASE!$AV$14:$BC$968,SUMPRODUCT((ROW(DATABASE!$AV$14:$AV$968)) * (DATABASE!$AV$14:BU$968='Résultats Projection'!$A15 ) * (DATABASE!$AW$14:$AW$968= AB$4))-ROW(DATABASE!$AV$14)+1,AB$5+3)),"")</f>
        <v/>
      </c>
      <c r="AC15" s="116">
        <f t="array" ref="AC15">IFERROR(_xlfn.SINGLE(INDEX(DATABASE!$AV$14:$BC$968,SUMPRODUCT((ROW(DATABASE!$AV$14:$AV$968)) * (DATABASE!$AV$14:BV$968='Résultats Projection'!$A15 ) * (DATABASE!$AW$14:$AW$968= AC$4))-ROW(DATABASE!$AV$14)+1,AC$5+3)),"")</f>
        <v/>
      </c>
      <c r="AD15" s="116">
        <f t="array" ref="AD15">IFERROR(_xlfn.SINGLE(INDEX(DATABASE!$AV$14:$BC$968,SUMPRODUCT((ROW(DATABASE!$AV$14:$AV$968)) * (DATABASE!$AV$14:BW$968='Résultats Projection'!$A15 ) * (DATABASE!$AW$14:$AW$968= AD$4))-ROW(DATABASE!$AV$14)+1,AD$5+3)),"")</f>
        <v/>
      </c>
      <c r="AE15" s="116">
        <f t="array" ref="AE15">IFERROR(_xlfn.SINGLE(INDEX(DATABASE!$AV$14:$BC$968,SUMPRODUCT((ROW(DATABASE!$AV$14:$AV$968)) * (DATABASE!$AV$14:BX$968='Résultats Projection'!$A15 ) * (DATABASE!$AW$14:$AW$968= AE$4))-ROW(DATABASE!$AV$14)+1,AE$5+3)),"")</f>
        <v/>
      </c>
      <c r="AF15" s="116">
        <f t="array" ref="AF15">IFERROR(_xlfn.SINGLE(INDEX(DATABASE!$AV$14:$BC$968,SUMPRODUCT((ROW(DATABASE!$AV$14:$AV$968)) * (DATABASE!$AV$14:BY$968='Résultats Projection'!$A15 ) * (DATABASE!$AW$14:$AW$968= AF$4))-ROW(DATABASE!$AV$14)+1,AF$5+3)),"")</f>
        <v/>
      </c>
      <c r="AG15" s="116">
        <f t="array" ref="AG15">IFERROR(_xlfn.SINGLE(INDEX(DATABASE!$AV$14:$BC$968,SUMPRODUCT((ROW(DATABASE!$AV$14:$AV$968)) * (DATABASE!$AV$14:BZ$968='Résultats Projection'!$A15 ) * (DATABASE!$AW$14:$AW$968= AG$4))-ROW(DATABASE!$AV$14)+1,AG$5+3)),"")</f>
        <v/>
      </c>
      <c r="AH15" s="116">
        <f t="array" ref="AH15">IFERROR(_xlfn.SINGLE(INDEX(DATABASE!$AV$14:$BC$968,SUMPRODUCT((ROW(DATABASE!$AV$14:$AV$968)) * (DATABASE!$AV$14:CA$968='Résultats Projection'!$A15 ) * (DATABASE!$AW$14:$AW$968= AH$4))-ROW(DATABASE!$AV$14)+1,AH$5+3)),"")</f>
        <v/>
      </c>
      <c r="AI15" s="116">
        <f t="array" ref="AI15">IFERROR(_xlfn.SINGLE(INDEX(DATABASE!$AV$14:$BC$968,SUMPRODUCT((ROW(DATABASE!$AV$14:$AV$968)) * (DATABASE!$AV$14:CB$968='Résultats Projection'!$A15 ) * (DATABASE!$AW$14:$AW$968= AI$4))-ROW(DATABASE!$AV$14)+1,AI$5+3)),"")</f>
        <v/>
      </c>
      <c r="AJ15" s="116">
        <f t="array" ref="AJ15">IFERROR(_xlfn.SINGLE(INDEX(DATABASE!$AV$14:$BC$968,SUMPRODUCT((ROW(DATABASE!$AV$14:$AV$968)) * (DATABASE!$AV$14:CC$968='Résultats Projection'!$A15 ) * (DATABASE!$AW$14:$AW$968= AJ$4))-ROW(DATABASE!$AV$14)+1,AJ$5+3)),"")</f>
        <v/>
      </c>
      <c r="AK15" s="116">
        <f t="array" ref="AK15">IFERROR(_xlfn.SINGLE(INDEX(DATABASE!$AV$14:$BC$968,SUMPRODUCT((ROW(DATABASE!$AV$14:$AV$968)) * (DATABASE!$AV$14:CD$968='Résultats Projection'!$A15 ) * (DATABASE!$AW$14:$AW$968= AK$4))-ROW(DATABASE!$AV$14)+1,AK$5+3)),"")</f>
        <v/>
      </c>
      <c r="AL15" s="116">
        <f t="array" ref="AL15">IFERROR(_xlfn.SINGLE(INDEX(DATABASE!$AV$14:$BC$968,SUMPRODUCT((ROW(DATABASE!$AV$14:$AV$968)) * (DATABASE!$AV$14:CE$968='Résultats Projection'!$A15 ) * (DATABASE!$AW$14:$AW$968= AL$4))-ROW(DATABASE!$AV$14)+1,AL$5+3)),"")</f>
        <v/>
      </c>
      <c r="AM15" s="116">
        <f t="array" ref="AM15">IFERROR(_xlfn.SINGLE(INDEX(DATABASE!$AV$14:$BC$968,SUMPRODUCT((ROW(DATABASE!$AV$14:$AV$968)) * (DATABASE!$AV$14:CF$968='Résultats Projection'!$A15 ) * (DATABASE!$AW$14:$AW$968= AM$4))-ROW(DATABASE!$AV$14)+1,AM$5+3)),"")</f>
        <v/>
      </c>
      <c r="AN15" s="116">
        <f t="array" ref="AN15">IFERROR(_xlfn.SINGLE(INDEX(DATABASE!$AV$14:$BC$968,SUMPRODUCT((ROW(DATABASE!$AV$14:$AV$968)) * (DATABASE!$AV$14:CG$968='Résultats Projection'!$A15 ) * (DATABASE!$AW$14:$AW$968= AN$4))-ROW(DATABASE!$AV$14)+1,AN$5+3)),"")</f>
        <v/>
      </c>
      <c r="AO15" s="116">
        <f t="array" ref="AO15">IFERROR(_xlfn.SINGLE(INDEX(DATABASE!$AV$14:$BC$968,SUMPRODUCT((ROW(DATABASE!$AV$14:$AV$968)) * (DATABASE!$AV$14:CH$968='Résultats Projection'!$A15 ) * (DATABASE!$AW$14:$AW$968= AO$4))-ROW(DATABASE!$AV$14)+1,AO$5+3)),"")</f>
        <v/>
      </c>
      <c r="AP15" s="116">
        <f t="array" ref="AP15">IFERROR(_xlfn.SINGLE(INDEX(DATABASE!$AV$14:$BC$968,SUMPRODUCT((ROW(DATABASE!$AV$14:$AV$968)) * (DATABASE!$AV$14:CI$968='Résultats Projection'!$A15 ) * (DATABASE!$AW$14:$AW$968= AP$4))-ROW(DATABASE!$AV$14)+1,AP$5+3)),"")</f>
        <v/>
      </c>
      <c r="AQ15" s="116">
        <f t="array" ref="AQ15">IFERROR(_xlfn.SINGLE(INDEX(DATABASE!$AV$14:$BC$968,SUMPRODUCT((ROW(DATABASE!$AV$14:$AV$968)) * (DATABASE!$AV$14:CJ$968='Résultats Projection'!$A15 ) * (DATABASE!$AW$14:$AW$968= AQ$4))-ROW(DATABASE!$AV$14)+1,AQ$5+3)),"")</f>
        <v/>
      </c>
      <c r="AR15" s="116">
        <f t="array" ref="AR15">IFERROR(_xlfn.SINGLE(INDEX(DATABASE!$AV$14:$BC$968,SUMPRODUCT((ROW(DATABASE!$AV$14:$AV$968)) * (DATABASE!$AV$14:CK$968='Résultats Projection'!$A15 ) * (DATABASE!$AW$14:$AW$968= AR$4))-ROW(DATABASE!$AV$14)+1,AR$5+3)),"")</f>
        <v/>
      </c>
      <c r="AS15" s="116">
        <f t="array" ref="AS15">IFERROR(_xlfn.SINGLE(INDEX(DATABASE!$AV$14:$BC$968,SUMPRODUCT((ROW(DATABASE!$AV$14:$AV$968)) * (DATABASE!$AV$14:CL$968='Résultats Projection'!$A15 ) * (DATABASE!$AW$14:$AW$968= AS$4))-ROW(DATABASE!$AV$14)+1,AS$5+3)),"")</f>
        <v/>
      </c>
      <c r="AT15" s="116">
        <f t="array" ref="AT15">IFERROR(_xlfn.SINGLE(INDEX(DATABASE!$AV$14:$BC$968,SUMPRODUCT((ROW(DATABASE!$AV$14:$AV$968)) * (DATABASE!$AV$14:CM$968='Résultats Projection'!$A15 ) * (DATABASE!$AW$14:$AW$968= AT$4))-ROW(DATABASE!$AV$14)+1,AT$5+3)),"")</f>
        <v/>
      </c>
      <c r="AU15" s="116">
        <f t="array" ref="AU15">IFERROR(_xlfn.SINGLE(INDEX(DATABASE!$AV$14:$BC$968,SUMPRODUCT((ROW(DATABASE!$AV$14:$AV$968)) * (DATABASE!$AV$14:CN$968='Résultats Projection'!$A15 ) * (DATABASE!$AW$14:$AW$968= AU$4))-ROW(DATABASE!$AV$14)+1,AU$5+3)),"")</f>
        <v/>
      </c>
      <c r="AV15" s="116">
        <f t="array" ref="AV15">IFERROR(_xlfn.SINGLE(INDEX(DATABASE!$AV$14:$BC$968,SUMPRODUCT((ROW(DATABASE!$AV$14:$AV$968)) * (DATABASE!$AV$14:CO$968='Résultats Projection'!$A15 ) * (DATABASE!$AW$14:$AW$968= AV$4))-ROW(DATABASE!$AV$14)+1,AV$5+3)),"")</f>
        <v/>
      </c>
      <c r="AW15" s="116">
        <f t="array" ref="AW15">IFERROR(_xlfn.SINGLE(INDEX(DATABASE!$AV$14:$BC$968,SUMPRODUCT((ROW(DATABASE!$AV$14:$AV$968)) * (DATABASE!$AV$14:CP$968='Résultats Projection'!$A15 ) * (DATABASE!$AW$14:$AW$968= AW$4))-ROW(DATABASE!$AV$14)+1,AW$5+3)),"")</f>
        <v/>
      </c>
      <c r="AX15" s="116">
        <f t="array" ref="AX15">IFERROR(_xlfn.SINGLE(INDEX(DATABASE!$AV$14:$BC$968,SUMPRODUCT((ROW(DATABASE!$AV$14:$AV$968)) * (DATABASE!$AV$14:CQ$968='Résultats Projection'!$A15 ) * (DATABASE!$AW$14:$AW$968= AX$4))-ROW(DATABASE!$AV$14)+1,AX$5+3)),"")</f>
        <v/>
      </c>
      <c r="AY15" s="116">
        <f t="array" ref="AY15">IFERROR(_xlfn.SINGLE(INDEX(DATABASE!$AV$14:$BC$968,SUMPRODUCT((ROW(DATABASE!$AV$14:$AV$968)) * (DATABASE!$AV$14:CR$968='Résultats Projection'!$A15 ) * (DATABASE!$AW$14:$AW$968= AY$4))-ROW(DATABASE!$AV$14)+1,AY$5+3)),"")</f>
        <v/>
      </c>
      <c r="AZ15" s="116">
        <f t="array" ref="AZ15">IFERROR(_xlfn.SINGLE(INDEX(DATABASE!$AV$14:$BC$968,SUMPRODUCT((ROW(DATABASE!$AV$14:$AV$968)) * (DATABASE!$AV$14:CS$968='Résultats Projection'!$A15 ) * (DATABASE!$AW$14:$AW$968= AZ$4))-ROW(DATABASE!$AV$14)+1,AZ$5+3)),"")</f>
        <v/>
      </c>
      <c r="BA15" s="116">
        <f t="array" ref="BA15">IFERROR(_xlfn.SINGLE(INDEX(DATABASE!$AV$14:$BC$968,SUMPRODUCT((ROW(DATABASE!$AV$14:$AV$968)) * (DATABASE!$AV$14:CT$968='Résultats Projection'!$A15 ) * (DATABASE!$AW$14:$AW$968= BA$4))-ROW(DATABASE!$AV$14)+1,BA$5+3)),"")</f>
        <v/>
      </c>
      <c r="BB15" s="116">
        <f t="array" ref="BB15">IFERROR(_xlfn.SINGLE(INDEX(DATABASE!$AV$14:$BC$968,SUMPRODUCT((ROW(DATABASE!$AV$14:$AV$968)) * (DATABASE!$AV$14:CU$968='Résultats Projection'!$A15 ) * (DATABASE!$AW$14:$AW$968= BB$4))-ROW(DATABASE!$AV$14)+1,BB$5+3)),"")</f>
        <v/>
      </c>
      <c r="BC15" s="116">
        <f t="array" ref="BC15">IFERROR(_xlfn.SINGLE(INDEX(DATABASE!$AV$14:$BC$968,SUMPRODUCT((ROW(DATABASE!$AV$14:$AV$968)) * (DATABASE!$AV$14:CV$968='Résultats Projection'!$A15 ) * (DATABASE!$AW$14:$AW$968= BC$4))-ROW(DATABASE!$AV$14)+1,BC$5+3)),"")</f>
        <v/>
      </c>
      <c r="BD15" s="116">
        <f t="array" ref="BD15">IFERROR(_xlfn.SINGLE(INDEX(DATABASE!$AV$14:$BC$968,SUMPRODUCT((ROW(DATABASE!$AV$14:$AV$968)) * (DATABASE!$AV$14:CW$968='Résultats Projection'!$A15 ) * (DATABASE!$AW$14:$AW$968= BD$4))-ROW(DATABASE!$AV$14)+1,BD$5+3)),"")</f>
        <v/>
      </c>
      <c r="BE15" s="116">
        <f t="array" ref="BE15">IFERROR(_xlfn.SINGLE(INDEX(DATABASE!$AV$14:$BC$968,SUMPRODUCT((ROW(DATABASE!$AV$14:$AV$968)) * (DATABASE!$AV$14:CX$968='Résultats Projection'!$A15 ) * (DATABASE!$AW$14:$AW$968= BE$4))-ROW(DATABASE!$AV$14)+1,BE$5+3)),"")</f>
        <v/>
      </c>
      <c r="BF15" s="116">
        <f t="array" ref="BF15">IFERROR(_xlfn.SINGLE(INDEX(DATABASE!$AV$14:$BC$968,SUMPRODUCT((ROW(DATABASE!$AV$14:$AV$968)) * (DATABASE!$AV$14:CY$968='Résultats Projection'!$A15 ) * (DATABASE!$AW$14:$AW$968= BF$4))-ROW(DATABASE!$AV$14)+1,BF$5+3)),"")</f>
        <v/>
      </c>
      <c r="BG15" s="116">
        <f t="array" ref="BG15">IFERROR(_xlfn.SINGLE(INDEX(DATABASE!$AV$14:$BC$968,SUMPRODUCT((ROW(DATABASE!$AV$14:$AV$968)) * (DATABASE!$AV$14:CZ$968='Résultats Projection'!$A15 ) * (DATABASE!$AW$14:$AW$968= BG$4))-ROW(DATABASE!$AV$14)+1,BG$5+3)),"")</f>
        <v/>
      </c>
      <c r="BH15" s="116">
        <f t="array" ref="BH15">IFERROR(_xlfn.SINGLE(INDEX(DATABASE!$AV$14:$BC$968,SUMPRODUCT((ROW(DATABASE!$AV$14:$AV$968)) * (DATABASE!$AV$14:DA$968='Résultats Projection'!$A15 ) * (DATABASE!$AW$14:$AW$968= BH$4))-ROW(DATABASE!$AV$14)+1,BH$5+3)),"")</f>
        <v/>
      </c>
      <c r="BI15" s="116">
        <f t="array" ref="BI15">IFERROR(_xlfn.SINGLE(INDEX(DATABASE!$AV$14:$BC$968,SUMPRODUCT((ROW(DATABASE!$AV$14:$AV$968)) * (DATABASE!$AV$14:DB$968='Résultats Projection'!$A15 ) * (DATABASE!$AW$14:$AW$968= BI$4))-ROW(DATABASE!$AV$14)+1,BI$5+3)),"")</f>
        <v/>
      </c>
      <c r="BJ15" s="116">
        <f t="array" ref="BJ15">IFERROR(_xlfn.SINGLE(INDEX(DATABASE!$AV$14:$BC$968,SUMPRODUCT((ROW(DATABASE!$AV$14:$AV$968)) * (DATABASE!$AV$14:DC$968='Résultats Projection'!$A15 ) * (DATABASE!$AW$14:$AW$968= BJ$4))-ROW(DATABASE!$AV$14)+1,BJ$5+3)),"")</f>
        <v/>
      </c>
    </row>
    <row r="16" ht="29.25" customFormat="1" customHeight="1" s="28">
      <c r="A16" s="42" t="n">
        <v>45554</v>
      </c>
      <c r="B16" s="8">
        <f>A16-A$10</f>
        <v/>
      </c>
      <c r="C16" s="116">
        <f t="array" ref="C16">IFERROR(_xlfn.SINGLE(INDEX(DATABASE!$AV$14:$BC$968,SUMPRODUCT((ROW(DATABASE!$AV$14:$AV$968)) * (DATABASE!AV$14:$AV$968='Résultats Projection'!$A16 ) * (DATABASE!$AW$14:$AW$968= C$4))-ROW(DATABASE!$AV$14)+1,C$5+3)),"")</f>
        <v/>
      </c>
      <c r="D16" s="116">
        <f t="array" ref="D16">IFERROR(_xlfn.SINGLE(INDEX(DATABASE!$AV$14:$BC$968,SUMPRODUCT((ROW(DATABASE!$AV$14:$AV$968)) * (DATABASE!$AV$14:AW$968='Résultats Projection'!$A16 ) * (DATABASE!$AW$14:$AW$968= D$4))-ROW(DATABASE!$AV$14)+1,D$5+3)),"")</f>
        <v/>
      </c>
      <c r="E16" s="116">
        <f t="array" ref="E16">IFERROR(_xlfn.SINGLE(INDEX(DATABASE!$AV$14:$BC$968,SUMPRODUCT((ROW(DATABASE!$AV$14:$AV$968)) * (DATABASE!$AV$14:AX$968='Résultats Projection'!$A16 ) * (DATABASE!$AW$14:$AW$968= E$4))-ROW(DATABASE!$AV$14)+1,E$5+3)),"")</f>
        <v/>
      </c>
      <c r="F16" s="116">
        <f t="array" ref="F16">IFERROR(_xlfn.SINGLE(INDEX(DATABASE!$AV$14:$BC$968,SUMPRODUCT((ROW(DATABASE!$AV$14:$AV$968)) * (DATABASE!$AV$14:AY$968='Résultats Projection'!$A16 ) * (DATABASE!$AW$14:$AW$968= F$4))-ROW(DATABASE!$AV$14)+1,F$5+3)),"")</f>
        <v/>
      </c>
      <c r="G16" s="116">
        <f t="array" ref="G16">IFERROR(_xlfn.SINGLE(INDEX(DATABASE!$AV$14:$BC$968,SUMPRODUCT((ROW(DATABASE!$AV$14:$AV$968)) * (DATABASE!$AV$14:AZ$968='Résultats Projection'!$A16 ) * (DATABASE!$AW$14:$AW$968= G$4))-ROW(DATABASE!$AV$14)+1,G$5+3)),"")</f>
        <v/>
      </c>
      <c r="H16" s="116">
        <f t="array" ref="H16">IFERROR(_xlfn.SINGLE(INDEX(DATABASE!$AV$14:$BC$968,SUMPRODUCT((ROW(DATABASE!$AV$14:$AV$968)) * (DATABASE!$AV$14:BA$968='Résultats Projection'!$A16 ) * (DATABASE!$AW$14:$AW$968= H$4))-ROW(DATABASE!$AV$14)+1,H$5+3)),"")</f>
        <v/>
      </c>
      <c r="I16" s="116">
        <f t="array" ref="I16">IFERROR(_xlfn.SINGLE(INDEX(DATABASE!$AV$14:$BC$968,SUMPRODUCT((ROW(DATABASE!$AV$14:$AV$968)) * (DATABASE!$AV$14:BB$968='Résultats Projection'!$A16 ) * (DATABASE!$AW$14:$AW$968= I$4))-ROW(DATABASE!$AV$14)+1,I$5+3)),"")</f>
        <v/>
      </c>
      <c r="J16" s="116">
        <f t="array" ref="J16">IFERROR(_xlfn.SINGLE(INDEX(DATABASE!$AV$14:$BC$968,SUMPRODUCT((ROW(DATABASE!$AV$14:$AV$968)) * (DATABASE!$AV$14:BC$968='Résultats Projection'!$A16 ) * (DATABASE!$AW$14:$AW$968= J$4))-ROW(DATABASE!$AV$14)+1,J$5+3)),"")</f>
        <v/>
      </c>
      <c r="K16" s="116">
        <f t="array" ref="K16">IFERROR(_xlfn.SINGLE(INDEX(DATABASE!$AV$14:$BC$968,SUMPRODUCT((ROW(DATABASE!$AV$14:$AV$968)) * (DATABASE!$AV$14:BD$968='Résultats Projection'!$A16 ) * (DATABASE!$AW$14:$AW$968= K$4))-ROW(DATABASE!$AV$14)+1,K$5+3)),"")</f>
        <v/>
      </c>
      <c r="L16" s="116">
        <f t="array" ref="L16">IFERROR(_xlfn.SINGLE(INDEX(DATABASE!$AV$14:$BC$968,SUMPRODUCT((ROW(DATABASE!$AV$14:$AV$968)) * (DATABASE!$AV$14:BE$968='Résultats Projection'!$A16 ) * (DATABASE!$AW$14:$AW$968= L$4))-ROW(DATABASE!$AV$14)+1,L$5+3)),"")</f>
        <v/>
      </c>
      <c r="M16" s="116">
        <f t="array" ref="M16">IFERROR(_xlfn.SINGLE(INDEX(DATABASE!$AV$14:$BC$968,SUMPRODUCT((ROW(DATABASE!$AV$14:$AV$968)) * (DATABASE!$AV$14:BF$968='Résultats Projection'!$A16 ) * (DATABASE!$AW$14:$AW$968= M$4))-ROW(DATABASE!$AV$14)+1,M$5+3)),"")</f>
        <v/>
      </c>
      <c r="N16" s="116">
        <f t="array" ref="N16">IFERROR(_xlfn.SINGLE(INDEX(DATABASE!$AV$14:$BC$968,SUMPRODUCT((ROW(DATABASE!$AV$14:$AV$968)) * (DATABASE!$AV$14:BG$968='Résultats Projection'!$A16 ) * (DATABASE!$AW$14:$AW$968= N$4))-ROW(DATABASE!$AV$14)+1,N$5+3)),"")</f>
        <v/>
      </c>
      <c r="O16" s="116">
        <f t="array" ref="O16">IFERROR(_xlfn.SINGLE(INDEX(DATABASE!$AV$14:$BC$968,SUMPRODUCT((ROW(DATABASE!$AV$14:$AV$968)) * (DATABASE!$AV$14:BH$968='Résultats Projection'!$A16 ) * (DATABASE!$AW$14:$AW$968= O$4))-ROW(DATABASE!$AV$14)+1,O$5+3)),"")</f>
        <v/>
      </c>
      <c r="P16" s="116">
        <f t="array" ref="P16">IFERROR(_xlfn.SINGLE(INDEX(DATABASE!$AV$14:$BC$968,SUMPRODUCT((ROW(DATABASE!$AV$14:$AV$968)) * (DATABASE!$AV$14:BI$968='Résultats Projection'!$A16 ) * (DATABASE!$AW$14:$AW$968= P$4))-ROW(DATABASE!$AV$14)+1,P$5+3)),"")</f>
        <v/>
      </c>
      <c r="Q16" s="116">
        <f t="array" ref="Q16">IFERROR(_xlfn.SINGLE(INDEX(DATABASE!$AV$14:$BC$968,SUMPRODUCT((ROW(DATABASE!$AV$14:$AV$968)) * (DATABASE!$AV$14:BJ$968='Résultats Projection'!$A16 ) * (DATABASE!$AW$14:$AW$968= Q$4))-ROW(DATABASE!$AV$14)+1,Q$5+3)),"")</f>
        <v/>
      </c>
      <c r="R16" s="116">
        <f t="array" ref="R16">IFERROR(_xlfn.SINGLE(INDEX(DATABASE!$AV$14:$BC$968,SUMPRODUCT((ROW(DATABASE!$AV$14:$AV$968)) * (DATABASE!$AV$14:BK$968='Résultats Projection'!$A16 ) * (DATABASE!$AW$14:$AW$968= R$4))-ROW(DATABASE!$AV$14)+1,R$5+3)),"")</f>
        <v/>
      </c>
      <c r="S16" s="116">
        <f t="array" ref="S16">IFERROR(_xlfn.SINGLE(INDEX(DATABASE!$AV$14:$BC$968,SUMPRODUCT((ROW(DATABASE!$AV$14:$AV$968)) * (DATABASE!$AV$14:BL$968='Résultats Projection'!$A16 ) * (DATABASE!$AW$14:$AW$968= S$4))-ROW(DATABASE!$AV$14)+1,S$5+3)),"")</f>
        <v/>
      </c>
      <c r="T16" s="116">
        <f t="array" ref="T16">IFERROR(_xlfn.SINGLE(INDEX(DATABASE!$AV$14:$BC$968,SUMPRODUCT((ROW(DATABASE!$AV$14:$AV$968)) * (DATABASE!$AV$14:BM$968='Résultats Projection'!$A16 ) * (DATABASE!$AW$14:$AW$968= T$4))-ROW(DATABASE!$AV$14)+1,T$5+3)),"")</f>
        <v/>
      </c>
      <c r="U16" s="116">
        <f t="array" ref="U16">IFERROR(_xlfn.SINGLE(INDEX(DATABASE!$AV$14:$BC$968,SUMPRODUCT((ROW(DATABASE!$AV$14:$AV$968)) * (DATABASE!$AV$14:BN$968='Résultats Projection'!$A16 ) * (DATABASE!$AW$14:$AW$968= U$4))-ROW(DATABASE!$AV$14)+1,U$5+3)),"")</f>
        <v/>
      </c>
      <c r="V16" s="116">
        <f t="array" ref="V16">IFERROR(_xlfn.SINGLE(INDEX(DATABASE!$AV$14:$BC$968,SUMPRODUCT((ROW(DATABASE!$AV$14:$AV$968)) * (DATABASE!$AV$14:BO$968='Résultats Projection'!$A16 ) * (DATABASE!$AW$14:$AW$968= V$4))-ROW(DATABASE!$AV$14)+1,V$5+3)),"")</f>
        <v/>
      </c>
      <c r="W16" s="116">
        <f t="array" ref="W16">IFERROR(_xlfn.SINGLE(INDEX(DATABASE!$AV$14:$BC$968,SUMPRODUCT((ROW(DATABASE!$AV$14:$AV$968)) * (DATABASE!$AV$14:BP$968='Résultats Projection'!$A16 ) * (DATABASE!$AW$14:$AW$968= W$4))-ROW(DATABASE!$AV$14)+1,W$5+3)),"")</f>
        <v/>
      </c>
      <c r="X16" s="116">
        <f t="array" ref="X16">IFERROR(_xlfn.SINGLE(INDEX(DATABASE!$AV$14:$BC$968,SUMPRODUCT((ROW(DATABASE!$AV$14:$AV$968)) * (DATABASE!$AV$14:BQ$968='Résultats Projection'!$A16 ) * (DATABASE!$AW$14:$AW$968= X$4))-ROW(DATABASE!$AV$14)+1,X$5+3)),"")</f>
        <v/>
      </c>
      <c r="Y16" s="116">
        <f t="array" ref="Y16">IFERROR(_xlfn.SINGLE(INDEX(DATABASE!$AV$14:$BC$968,SUMPRODUCT((ROW(DATABASE!$AV$14:$AV$968)) * (DATABASE!$AV$14:BR$968='Résultats Projection'!$A16 ) * (DATABASE!$AW$14:$AW$968= Y$4))-ROW(DATABASE!$AV$14)+1,Y$5+3)),"")</f>
        <v/>
      </c>
      <c r="Z16" s="116">
        <f t="array" ref="Z16">IFERROR(_xlfn.SINGLE(INDEX(DATABASE!$AV$14:$BC$968,SUMPRODUCT((ROW(DATABASE!$AV$14:$AV$968)) * (DATABASE!$AV$14:BS$968='Résultats Projection'!$A16 ) * (DATABASE!$AW$14:$AW$968= Z$4))-ROW(DATABASE!$AV$14)+1,Z$5+3)),"")</f>
        <v/>
      </c>
      <c r="AA16" s="116">
        <f t="array" ref="AA16">IFERROR(_xlfn.SINGLE(INDEX(DATABASE!$AV$14:$BC$968,SUMPRODUCT((ROW(DATABASE!$AV$14:$AV$968)) * (DATABASE!$AV$14:BT$968='Résultats Projection'!$A16 ) * (DATABASE!$AW$14:$AW$968= AA$4))-ROW(DATABASE!$AV$14)+1,AA$5+3)),"")</f>
        <v/>
      </c>
      <c r="AB16" s="116">
        <f t="array" ref="AB16">IFERROR(_xlfn.SINGLE(INDEX(DATABASE!$AV$14:$BC$968,SUMPRODUCT((ROW(DATABASE!$AV$14:$AV$968)) * (DATABASE!$AV$14:BU$968='Résultats Projection'!$A16 ) * (DATABASE!$AW$14:$AW$968= AB$4))-ROW(DATABASE!$AV$14)+1,AB$5+3)),"")</f>
        <v/>
      </c>
      <c r="AC16" s="116">
        <f t="array" ref="AC16">IFERROR(_xlfn.SINGLE(INDEX(DATABASE!$AV$14:$BC$968,SUMPRODUCT((ROW(DATABASE!$AV$14:$AV$968)) * (DATABASE!$AV$14:BV$968='Résultats Projection'!$A16 ) * (DATABASE!$AW$14:$AW$968= AC$4))-ROW(DATABASE!$AV$14)+1,AC$5+3)),"")</f>
        <v/>
      </c>
      <c r="AD16" s="116">
        <f t="array" ref="AD16">IFERROR(_xlfn.SINGLE(INDEX(DATABASE!$AV$14:$BC$968,SUMPRODUCT((ROW(DATABASE!$AV$14:$AV$968)) * (DATABASE!$AV$14:BW$968='Résultats Projection'!$A16 ) * (DATABASE!$AW$14:$AW$968= AD$4))-ROW(DATABASE!$AV$14)+1,AD$5+3)),"")</f>
        <v/>
      </c>
      <c r="AE16" s="116">
        <f t="array" ref="AE16">IFERROR(_xlfn.SINGLE(INDEX(DATABASE!$AV$14:$BC$968,SUMPRODUCT((ROW(DATABASE!$AV$14:$AV$968)) * (DATABASE!$AV$14:BX$968='Résultats Projection'!$A16 ) * (DATABASE!$AW$14:$AW$968= AE$4))-ROW(DATABASE!$AV$14)+1,AE$5+3)),"")</f>
        <v/>
      </c>
      <c r="AF16" s="116">
        <f t="array" ref="AF16">IFERROR(_xlfn.SINGLE(INDEX(DATABASE!$AV$14:$BC$968,SUMPRODUCT((ROW(DATABASE!$AV$14:$AV$968)) * (DATABASE!$AV$14:BY$968='Résultats Projection'!$A16 ) * (DATABASE!$AW$14:$AW$968= AF$4))-ROW(DATABASE!$AV$14)+1,AF$5+3)),"")</f>
        <v/>
      </c>
      <c r="AG16" s="116">
        <f t="array" ref="AG16">IFERROR(_xlfn.SINGLE(INDEX(DATABASE!$AV$14:$BC$968,SUMPRODUCT((ROW(DATABASE!$AV$14:$AV$968)) * (DATABASE!$AV$14:BZ$968='Résultats Projection'!$A16 ) * (DATABASE!$AW$14:$AW$968= AG$4))-ROW(DATABASE!$AV$14)+1,AG$5+3)),"")</f>
        <v/>
      </c>
      <c r="AH16" s="116">
        <f t="array" ref="AH16">IFERROR(_xlfn.SINGLE(INDEX(DATABASE!$AV$14:$BC$968,SUMPRODUCT((ROW(DATABASE!$AV$14:$AV$968)) * (DATABASE!$AV$14:CA$968='Résultats Projection'!$A16 ) * (DATABASE!$AW$14:$AW$968= AH$4))-ROW(DATABASE!$AV$14)+1,AH$5+3)),"")</f>
        <v/>
      </c>
      <c r="AI16" s="116">
        <f t="array" ref="AI16">IFERROR(_xlfn.SINGLE(INDEX(DATABASE!$AV$14:$BC$968,SUMPRODUCT((ROW(DATABASE!$AV$14:$AV$968)) * (DATABASE!$AV$14:CB$968='Résultats Projection'!$A16 ) * (DATABASE!$AW$14:$AW$968= AI$4))-ROW(DATABASE!$AV$14)+1,AI$5+3)),"")</f>
        <v/>
      </c>
      <c r="AJ16" s="116">
        <f t="array" ref="AJ16">IFERROR(_xlfn.SINGLE(INDEX(DATABASE!$AV$14:$BC$968,SUMPRODUCT((ROW(DATABASE!$AV$14:$AV$968)) * (DATABASE!$AV$14:CC$968='Résultats Projection'!$A16 ) * (DATABASE!$AW$14:$AW$968= AJ$4))-ROW(DATABASE!$AV$14)+1,AJ$5+3)),"")</f>
        <v/>
      </c>
      <c r="AK16" s="116">
        <f t="array" ref="AK16">IFERROR(_xlfn.SINGLE(INDEX(DATABASE!$AV$14:$BC$968,SUMPRODUCT((ROW(DATABASE!$AV$14:$AV$968)) * (DATABASE!$AV$14:CD$968='Résultats Projection'!$A16 ) * (DATABASE!$AW$14:$AW$968= AK$4))-ROW(DATABASE!$AV$14)+1,AK$5+3)),"")</f>
        <v/>
      </c>
      <c r="AL16" s="116">
        <f t="array" ref="AL16">IFERROR(_xlfn.SINGLE(INDEX(DATABASE!$AV$14:$BC$968,SUMPRODUCT((ROW(DATABASE!$AV$14:$AV$968)) * (DATABASE!$AV$14:CE$968='Résultats Projection'!$A16 ) * (DATABASE!$AW$14:$AW$968= AL$4))-ROW(DATABASE!$AV$14)+1,AL$5+3)),"")</f>
        <v/>
      </c>
      <c r="AM16" s="116">
        <f t="array" ref="AM16">IFERROR(_xlfn.SINGLE(INDEX(DATABASE!$AV$14:$BC$968,SUMPRODUCT((ROW(DATABASE!$AV$14:$AV$968)) * (DATABASE!$AV$14:CF$968='Résultats Projection'!$A16 ) * (DATABASE!$AW$14:$AW$968= AM$4))-ROW(DATABASE!$AV$14)+1,AM$5+3)),"")</f>
        <v/>
      </c>
      <c r="AN16" s="116">
        <f t="array" ref="AN16">IFERROR(_xlfn.SINGLE(INDEX(DATABASE!$AV$14:$BC$968,SUMPRODUCT((ROW(DATABASE!$AV$14:$AV$968)) * (DATABASE!$AV$14:CG$968='Résultats Projection'!$A16 ) * (DATABASE!$AW$14:$AW$968= AN$4))-ROW(DATABASE!$AV$14)+1,AN$5+3)),"")</f>
        <v/>
      </c>
      <c r="AO16" s="116">
        <f t="array" ref="AO16">IFERROR(_xlfn.SINGLE(INDEX(DATABASE!$AV$14:$BC$968,SUMPRODUCT((ROW(DATABASE!$AV$14:$AV$968)) * (DATABASE!$AV$14:CH$968='Résultats Projection'!$A16 ) * (DATABASE!$AW$14:$AW$968= AO$4))-ROW(DATABASE!$AV$14)+1,AO$5+3)),"")</f>
        <v/>
      </c>
      <c r="AP16" s="116">
        <f t="array" ref="AP16">IFERROR(_xlfn.SINGLE(INDEX(DATABASE!$AV$14:$BC$968,SUMPRODUCT((ROW(DATABASE!$AV$14:$AV$968)) * (DATABASE!$AV$14:CI$968='Résultats Projection'!$A16 ) * (DATABASE!$AW$14:$AW$968= AP$4))-ROW(DATABASE!$AV$14)+1,AP$5+3)),"")</f>
        <v/>
      </c>
      <c r="AQ16" s="116">
        <f t="array" ref="AQ16">IFERROR(_xlfn.SINGLE(INDEX(DATABASE!$AV$14:$BC$968,SUMPRODUCT((ROW(DATABASE!$AV$14:$AV$968)) * (DATABASE!$AV$14:CJ$968='Résultats Projection'!$A16 ) * (DATABASE!$AW$14:$AW$968= AQ$4))-ROW(DATABASE!$AV$14)+1,AQ$5+3)),"")</f>
        <v/>
      </c>
      <c r="AR16" s="116">
        <f t="array" ref="AR16">IFERROR(_xlfn.SINGLE(INDEX(DATABASE!$AV$14:$BC$968,SUMPRODUCT((ROW(DATABASE!$AV$14:$AV$968)) * (DATABASE!$AV$14:CK$968='Résultats Projection'!$A16 ) * (DATABASE!$AW$14:$AW$968= AR$4))-ROW(DATABASE!$AV$14)+1,AR$5+3)),"")</f>
        <v/>
      </c>
      <c r="AS16" s="116">
        <f t="array" ref="AS16">IFERROR(_xlfn.SINGLE(INDEX(DATABASE!$AV$14:$BC$968,SUMPRODUCT((ROW(DATABASE!$AV$14:$AV$968)) * (DATABASE!$AV$14:CL$968='Résultats Projection'!$A16 ) * (DATABASE!$AW$14:$AW$968= AS$4))-ROW(DATABASE!$AV$14)+1,AS$5+3)),"")</f>
        <v/>
      </c>
      <c r="AT16" s="116">
        <f t="array" ref="AT16">IFERROR(_xlfn.SINGLE(INDEX(DATABASE!$AV$14:$BC$968,SUMPRODUCT((ROW(DATABASE!$AV$14:$AV$968)) * (DATABASE!$AV$14:CM$968='Résultats Projection'!$A16 ) * (DATABASE!$AW$14:$AW$968= AT$4))-ROW(DATABASE!$AV$14)+1,AT$5+3)),"")</f>
        <v/>
      </c>
      <c r="AU16" s="116">
        <f t="array" ref="AU16">IFERROR(_xlfn.SINGLE(INDEX(DATABASE!$AV$14:$BC$968,SUMPRODUCT((ROW(DATABASE!$AV$14:$AV$968)) * (DATABASE!$AV$14:CN$968='Résultats Projection'!$A16 ) * (DATABASE!$AW$14:$AW$968= AU$4))-ROW(DATABASE!$AV$14)+1,AU$5+3)),"")</f>
        <v/>
      </c>
      <c r="AV16" s="116">
        <f t="array" ref="AV16">IFERROR(_xlfn.SINGLE(INDEX(DATABASE!$AV$14:$BC$968,SUMPRODUCT((ROW(DATABASE!$AV$14:$AV$968)) * (DATABASE!$AV$14:CO$968='Résultats Projection'!$A16 ) * (DATABASE!$AW$14:$AW$968= AV$4))-ROW(DATABASE!$AV$14)+1,AV$5+3)),"")</f>
        <v/>
      </c>
      <c r="AW16" s="116">
        <f t="array" ref="AW16">IFERROR(_xlfn.SINGLE(INDEX(DATABASE!$AV$14:$BC$968,SUMPRODUCT((ROW(DATABASE!$AV$14:$AV$968)) * (DATABASE!$AV$14:CP$968='Résultats Projection'!$A16 ) * (DATABASE!$AW$14:$AW$968= AW$4))-ROW(DATABASE!$AV$14)+1,AW$5+3)),"")</f>
        <v/>
      </c>
      <c r="AX16" s="116">
        <f t="array" ref="AX16">IFERROR(_xlfn.SINGLE(INDEX(DATABASE!$AV$14:$BC$968,SUMPRODUCT((ROW(DATABASE!$AV$14:$AV$968)) * (DATABASE!$AV$14:CQ$968='Résultats Projection'!$A16 ) * (DATABASE!$AW$14:$AW$968= AX$4))-ROW(DATABASE!$AV$14)+1,AX$5+3)),"")</f>
        <v/>
      </c>
      <c r="AY16" s="116">
        <f t="array" ref="AY16">IFERROR(_xlfn.SINGLE(INDEX(DATABASE!$AV$14:$BC$968,SUMPRODUCT((ROW(DATABASE!$AV$14:$AV$968)) * (DATABASE!$AV$14:CR$968='Résultats Projection'!$A16 ) * (DATABASE!$AW$14:$AW$968= AY$4))-ROW(DATABASE!$AV$14)+1,AY$5+3)),"")</f>
        <v/>
      </c>
      <c r="AZ16" s="116">
        <f t="array" ref="AZ16">IFERROR(_xlfn.SINGLE(INDEX(DATABASE!$AV$14:$BC$968,SUMPRODUCT((ROW(DATABASE!$AV$14:$AV$968)) * (DATABASE!$AV$14:CS$968='Résultats Projection'!$A16 ) * (DATABASE!$AW$14:$AW$968= AZ$4))-ROW(DATABASE!$AV$14)+1,AZ$5+3)),"")</f>
        <v/>
      </c>
      <c r="BA16" s="116">
        <f t="array" ref="BA16">IFERROR(_xlfn.SINGLE(INDEX(DATABASE!$AV$14:$BC$968,SUMPRODUCT((ROW(DATABASE!$AV$14:$AV$968)) * (DATABASE!$AV$14:CT$968='Résultats Projection'!$A16 ) * (DATABASE!$AW$14:$AW$968= BA$4))-ROW(DATABASE!$AV$14)+1,BA$5+3)),"")</f>
        <v/>
      </c>
      <c r="BB16" s="116">
        <f t="array" ref="BB16">IFERROR(_xlfn.SINGLE(INDEX(DATABASE!$AV$14:$BC$968,SUMPRODUCT((ROW(DATABASE!$AV$14:$AV$968)) * (DATABASE!$AV$14:CU$968='Résultats Projection'!$A16 ) * (DATABASE!$AW$14:$AW$968= BB$4))-ROW(DATABASE!$AV$14)+1,BB$5+3)),"")</f>
        <v/>
      </c>
      <c r="BC16" s="116">
        <f t="array" ref="BC16">IFERROR(_xlfn.SINGLE(INDEX(DATABASE!$AV$14:$BC$968,SUMPRODUCT((ROW(DATABASE!$AV$14:$AV$968)) * (DATABASE!$AV$14:CV$968='Résultats Projection'!$A16 ) * (DATABASE!$AW$14:$AW$968= BC$4))-ROW(DATABASE!$AV$14)+1,BC$5+3)),"")</f>
        <v/>
      </c>
      <c r="BD16" s="116">
        <f t="array" ref="BD16">IFERROR(_xlfn.SINGLE(INDEX(DATABASE!$AV$14:$BC$968,SUMPRODUCT((ROW(DATABASE!$AV$14:$AV$968)) * (DATABASE!$AV$14:CW$968='Résultats Projection'!$A16 ) * (DATABASE!$AW$14:$AW$968= BD$4))-ROW(DATABASE!$AV$14)+1,BD$5+3)),"")</f>
        <v/>
      </c>
      <c r="BE16" s="116">
        <f t="array" ref="BE16">IFERROR(_xlfn.SINGLE(INDEX(DATABASE!$AV$14:$BC$968,SUMPRODUCT((ROW(DATABASE!$AV$14:$AV$968)) * (DATABASE!$AV$14:CX$968='Résultats Projection'!$A16 ) * (DATABASE!$AW$14:$AW$968= BE$4))-ROW(DATABASE!$AV$14)+1,BE$5+3)),"")</f>
        <v/>
      </c>
      <c r="BF16" s="116">
        <f t="array" ref="BF16">IFERROR(_xlfn.SINGLE(INDEX(DATABASE!$AV$14:$BC$968,SUMPRODUCT((ROW(DATABASE!$AV$14:$AV$968)) * (DATABASE!$AV$14:CY$968='Résultats Projection'!$A16 ) * (DATABASE!$AW$14:$AW$968= BF$4))-ROW(DATABASE!$AV$14)+1,BF$5+3)),"")</f>
        <v/>
      </c>
      <c r="BG16" s="116">
        <f t="array" ref="BG16">IFERROR(_xlfn.SINGLE(INDEX(DATABASE!$AV$14:$BC$968,SUMPRODUCT((ROW(DATABASE!$AV$14:$AV$968)) * (DATABASE!$AV$14:CZ$968='Résultats Projection'!$A16 ) * (DATABASE!$AW$14:$AW$968= BG$4))-ROW(DATABASE!$AV$14)+1,BG$5+3)),"")</f>
        <v/>
      </c>
      <c r="BH16" s="116">
        <f t="array" ref="BH16">IFERROR(_xlfn.SINGLE(INDEX(DATABASE!$AV$14:$BC$968,SUMPRODUCT((ROW(DATABASE!$AV$14:$AV$968)) * (DATABASE!$AV$14:DA$968='Résultats Projection'!$A16 ) * (DATABASE!$AW$14:$AW$968= BH$4))-ROW(DATABASE!$AV$14)+1,BH$5+3)),"")</f>
        <v/>
      </c>
      <c r="BI16" s="116">
        <f t="array" ref="BI16">IFERROR(_xlfn.SINGLE(INDEX(DATABASE!$AV$14:$BC$968,SUMPRODUCT((ROW(DATABASE!$AV$14:$AV$968)) * (DATABASE!$AV$14:DB$968='Résultats Projection'!$A16 ) * (DATABASE!$AW$14:$AW$968= BI$4))-ROW(DATABASE!$AV$14)+1,BI$5+3)),"")</f>
        <v/>
      </c>
      <c r="BJ16" s="116">
        <f t="array" ref="BJ16">IFERROR(_xlfn.SINGLE(INDEX(DATABASE!$AV$14:$BC$968,SUMPRODUCT((ROW(DATABASE!$AV$14:$AV$968)) * (DATABASE!$AV$14:DC$968='Résultats Projection'!$A16 ) * (DATABASE!$AW$14:$AW$968= BJ$4))-ROW(DATABASE!$AV$14)+1,BJ$5+3)),"")</f>
        <v/>
      </c>
    </row>
    <row r="17" ht="29.25" customFormat="1" customHeight="1" s="28">
      <c r="A17" s="42" t="n">
        <v>45557</v>
      </c>
      <c r="B17" s="8">
        <f>A17-A$10</f>
        <v/>
      </c>
      <c r="C17" s="116">
        <f t="array" ref="C17">IFERROR(_xlfn.SINGLE(INDEX(DATABASE!$AV$14:$BC$968,SUMPRODUCT((ROW(DATABASE!$AV$14:$AV$968)) * (DATABASE!AV$14:$AV$968='Résultats Projection'!$A17 ) * (DATABASE!$AW$14:$AW$968= C$4))-ROW(DATABASE!$AV$14)+1,C$5+3)),"")</f>
        <v/>
      </c>
      <c r="D17" s="116">
        <f t="array" ref="D17">IFERROR(_xlfn.SINGLE(INDEX(DATABASE!$AV$14:$BC$968,SUMPRODUCT((ROW(DATABASE!$AV$14:$AV$968)) * (DATABASE!$AV$14:AW$968='Résultats Projection'!$A17 ) * (DATABASE!$AW$14:$AW$968= D$4))-ROW(DATABASE!$AV$14)+1,D$5+3)),"")</f>
        <v/>
      </c>
      <c r="E17" s="116">
        <f t="array" ref="E17">IFERROR(_xlfn.SINGLE(INDEX(DATABASE!$AV$14:$BC$968,SUMPRODUCT((ROW(DATABASE!$AV$14:$AV$968)) * (DATABASE!$AV$14:AX$968='Résultats Projection'!$A17 ) * (DATABASE!$AW$14:$AW$968= E$4))-ROW(DATABASE!$AV$14)+1,E$5+3)),"")</f>
        <v/>
      </c>
      <c r="F17" s="116">
        <f t="array" ref="F17">IFERROR(_xlfn.SINGLE(INDEX(DATABASE!$AV$14:$BC$968,SUMPRODUCT((ROW(DATABASE!$AV$14:$AV$968)) * (DATABASE!$AV$14:AY$968='Résultats Projection'!$A17 ) * (DATABASE!$AW$14:$AW$968= F$4))-ROW(DATABASE!$AV$14)+1,F$5+3)),"")</f>
        <v/>
      </c>
      <c r="G17" s="116">
        <f t="array" ref="G17">IFERROR(_xlfn.SINGLE(INDEX(DATABASE!$AV$14:$BC$968,SUMPRODUCT((ROW(DATABASE!$AV$14:$AV$968)) * (DATABASE!$AV$14:AZ$968='Résultats Projection'!$A17 ) * (DATABASE!$AW$14:$AW$968= G$4))-ROW(DATABASE!$AV$14)+1,G$5+3)),"")</f>
        <v/>
      </c>
      <c r="H17" s="116">
        <f t="array" ref="H17">IFERROR(_xlfn.SINGLE(INDEX(DATABASE!$AV$14:$BC$968,SUMPRODUCT((ROW(DATABASE!$AV$14:$AV$968)) * (DATABASE!$AV$14:BA$968='Résultats Projection'!$A17 ) * (DATABASE!$AW$14:$AW$968= H$4))-ROW(DATABASE!$AV$14)+1,H$5+3)),"")</f>
        <v/>
      </c>
      <c r="I17" s="116">
        <f t="array" ref="I17">IFERROR(_xlfn.SINGLE(INDEX(DATABASE!$AV$14:$BC$968,SUMPRODUCT((ROW(DATABASE!$AV$14:$AV$968)) * (DATABASE!$AV$14:BB$968='Résultats Projection'!$A17 ) * (DATABASE!$AW$14:$AW$968= I$4))-ROW(DATABASE!$AV$14)+1,I$5+3)),"")</f>
        <v/>
      </c>
      <c r="J17" s="116">
        <f t="array" ref="J17">IFERROR(_xlfn.SINGLE(INDEX(DATABASE!$AV$14:$BC$968,SUMPRODUCT((ROW(DATABASE!$AV$14:$AV$968)) * (DATABASE!$AV$14:BC$968='Résultats Projection'!$A17 ) * (DATABASE!$AW$14:$AW$968= J$4))-ROW(DATABASE!$AV$14)+1,J$5+3)),"")</f>
        <v/>
      </c>
      <c r="K17" s="116">
        <f t="array" ref="K17">IFERROR(_xlfn.SINGLE(INDEX(DATABASE!$AV$14:$BC$968,SUMPRODUCT((ROW(DATABASE!$AV$14:$AV$968)) * (DATABASE!$AV$14:BD$968='Résultats Projection'!$A17 ) * (DATABASE!$AW$14:$AW$968= K$4))-ROW(DATABASE!$AV$14)+1,K$5+3)),"")</f>
        <v/>
      </c>
      <c r="L17" s="116">
        <f t="array" ref="L17">IFERROR(_xlfn.SINGLE(INDEX(DATABASE!$AV$14:$BC$968,SUMPRODUCT((ROW(DATABASE!$AV$14:$AV$968)) * (DATABASE!$AV$14:BE$968='Résultats Projection'!$A17 ) * (DATABASE!$AW$14:$AW$968= L$4))-ROW(DATABASE!$AV$14)+1,L$5+3)),"")</f>
        <v/>
      </c>
      <c r="M17" s="116">
        <f t="array" ref="M17">IFERROR(_xlfn.SINGLE(INDEX(DATABASE!$AV$14:$BC$968,SUMPRODUCT((ROW(DATABASE!$AV$14:$AV$968)) * (DATABASE!$AV$14:BF$968='Résultats Projection'!$A17 ) * (DATABASE!$AW$14:$AW$968= M$4))-ROW(DATABASE!$AV$14)+1,M$5+3)),"")</f>
        <v/>
      </c>
      <c r="N17" s="116">
        <f t="array" ref="N17">IFERROR(_xlfn.SINGLE(INDEX(DATABASE!$AV$14:$BC$968,SUMPRODUCT((ROW(DATABASE!$AV$14:$AV$968)) * (DATABASE!$AV$14:BG$968='Résultats Projection'!$A17 ) * (DATABASE!$AW$14:$AW$968= N$4))-ROW(DATABASE!$AV$14)+1,N$5+3)),"")</f>
        <v/>
      </c>
      <c r="O17" s="116">
        <f t="array" ref="O17">IFERROR(_xlfn.SINGLE(INDEX(DATABASE!$AV$14:$BC$968,SUMPRODUCT((ROW(DATABASE!$AV$14:$AV$968)) * (DATABASE!$AV$14:BH$968='Résultats Projection'!$A17 ) * (DATABASE!$AW$14:$AW$968= O$4))-ROW(DATABASE!$AV$14)+1,O$5+3)),"")</f>
        <v/>
      </c>
      <c r="P17" s="116">
        <f t="array" ref="P17">IFERROR(_xlfn.SINGLE(INDEX(DATABASE!$AV$14:$BC$968,SUMPRODUCT((ROW(DATABASE!$AV$14:$AV$968)) * (DATABASE!$AV$14:BI$968='Résultats Projection'!$A17 ) * (DATABASE!$AW$14:$AW$968= P$4))-ROW(DATABASE!$AV$14)+1,P$5+3)),"")</f>
        <v/>
      </c>
      <c r="Q17" s="116">
        <f t="array" ref="Q17">IFERROR(_xlfn.SINGLE(INDEX(DATABASE!$AV$14:$BC$968,SUMPRODUCT((ROW(DATABASE!$AV$14:$AV$968)) * (DATABASE!$AV$14:BJ$968='Résultats Projection'!$A17 ) * (DATABASE!$AW$14:$AW$968= Q$4))-ROW(DATABASE!$AV$14)+1,Q$5+3)),"")</f>
        <v/>
      </c>
      <c r="R17" s="116">
        <f t="array" ref="R17">IFERROR(_xlfn.SINGLE(INDEX(DATABASE!$AV$14:$BC$968,SUMPRODUCT((ROW(DATABASE!$AV$14:$AV$968)) * (DATABASE!$AV$14:BK$968='Résultats Projection'!$A17 ) * (DATABASE!$AW$14:$AW$968= R$4))-ROW(DATABASE!$AV$14)+1,R$5+3)),"")</f>
        <v/>
      </c>
      <c r="S17" s="116">
        <f t="array" ref="S17">IFERROR(_xlfn.SINGLE(INDEX(DATABASE!$AV$14:$BC$968,SUMPRODUCT((ROW(DATABASE!$AV$14:$AV$968)) * (DATABASE!$AV$14:BL$968='Résultats Projection'!$A17 ) * (DATABASE!$AW$14:$AW$968= S$4))-ROW(DATABASE!$AV$14)+1,S$5+3)),"")</f>
        <v/>
      </c>
      <c r="T17" s="116">
        <f t="array" ref="T17">IFERROR(_xlfn.SINGLE(INDEX(DATABASE!$AV$14:$BC$968,SUMPRODUCT((ROW(DATABASE!$AV$14:$AV$968)) * (DATABASE!$AV$14:BM$968='Résultats Projection'!$A17 ) * (DATABASE!$AW$14:$AW$968= T$4))-ROW(DATABASE!$AV$14)+1,T$5+3)),"")</f>
        <v/>
      </c>
      <c r="U17" s="116">
        <f t="array" ref="U17">IFERROR(_xlfn.SINGLE(INDEX(DATABASE!$AV$14:$BC$968,SUMPRODUCT((ROW(DATABASE!$AV$14:$AV$968)) * (DATABASE!$AV$14:BN$968='Résultats Projection'!$A17 ) * (DATABASE!$AW$14:$AW$968= U$4))-ROW(DATABASE!$AV$14)+1,U$5+3)),"")</f>
        <v/>
      </c>
      <c r="V17" s="116">
        <f t="array" ref="V17">IFERROR(_xlfn.SINGLE(INDEX(DATABASE!$AV$14:$BC$968,SUMPRODUCT((ROW(DATABASE!$AV$14:$AV$968)) * (DATABASE!$AV$14:BO$968='Résultats Projection'!$A17 ) * (DATABASE!$AW$14:$AW$968= V$4))-ROW(DATABASE!$AV$14)+1,V$5+3)),"")</f>
        <v/>
      </c>
      <c r="W17" s="116">
        <f t="array" ref="W17">IFERROR(_xlfn.SINGLE(INDEX(DATABASE!$AV$14:$BC$968,SUMPRODUCT((ROW(DATABASE!$AV$14:$AV$968)) * (DATABASE!$AV$14:BP$968='Résultats Projection'!$A17 ) * (DATABASE!$AW$14:$AW$968= W$4))-ROW(DATABASE!$AV$14)+1,W$5+3)),"")</f>
        <v/>
      </c>
      <c r="X17" s="116">
        <f t="array" ref="X17">IFERROR(_xlfn.SINGLE(INDEX(DATABASE!$AV$14:$BC$968,SUMPRODUCT((ROW(DATABASE!$AV$14:$AV$968)) * (DATABASE!$AV$14:BQ$968='Résultats Projection'!$A17 ) * (DATABASE!$AW$14:$AW$968= X$4))-ROW(DATABASE!$AV$14)+1,X$5+3)),"")</f>
        <v/>
      </c>
      <c r="Y17" s="116">
        <f t="array" ref="Y17">IFERROR(_xlfn.SINGLE(INDEX(DATABASE!$AV$14:$BC$968,SUMPRODUCT((ROW(DATABASE!$AV$14:$AV$968)) * (DATABASE!$AV$14:BR$968='Résultats Projection'!$A17 ) * (DATABASE!$AW$14:$AW$968= Y$4))-ROW(DATABASE!$AV$14)+1,Y$5+3)),"")</f>
        <v/>
      </c>
      <c r="Z17" s="116">
        <f t="array" ref="Z17">IFERROR(_xlfn.SINGLE(INDEX(DATABASE!$AV$14:$BC$968,SUMPRODUCT((ROW(DATABASE!$AV$14:$AV$968)) * (DATABASE!$AV$14:BS$968='Résultats Projection'!$A17 ) * (DATABASE!$AW$14:$AW$968= Z$4))-ROW(DATABASE!$AV$14)+1,Z$5+3)),"")</f>
        <v/>
      </c>
      <c r="AA17" s="116">
        <f t="array" ref="AA17">IFERROR(_xlfn.SINGLE(INDEX(DATABASE!$AV$14:$BC$968,SUMPRODUCT((ROW(DATABASE!$AV$14:$AV$968)) * (DATABASE!$AV$14:BT$968='Résultats Projection'!$A17 ) * (DATABASE!$AW$14:$AW$968= AA$4))-ROW(DATABASE!$AV$14)+1,AA$5+3)),"")</f>
        <v/>
      </c>
      <c r="AB17" s="116">
        <f t="array" ref="AB17">IFERROR(_xlfn.SINGLE(INDEX(DATABASE!$AV$14:$BC$968,SUMPRODUCT((ROW(DATABASE!$AV$14:$AV$968)) * (DATABASE!$AV$14:BU$968='Résultats Projection'!$A17 ) * (DATABASE!$AW$14:$AW$968= AB$4))-ROW(DATABASE!$AV$14)+1,AB$5+3)),"")</f>
        <v/>
      </c>
      <c r="AC17" s="116">
        <f t="array" ref="AC17">IFERROR(_xlfn.SINGLE(INDEX(DATABASE!$AV$14:$BC$968,SUMPRODUCT((ROW(DATABASE!$AV$14:$AV$968)) * (DATABASE!$AV$14:BV$968='Résultats Projection'!$A17 ) * (DATABASE!$AW$14:$AW$968= AC$4))-ROW(DATABASE!$AV$14)+1,AC$5+3)),"")</f>
        <v/>
      </c>
      <c r="AD17" s="116">
        <f t="array" ref="AD17">IFERROR(_xlfn.SINGLE(INDEX(DATABASE!$AV$14:$BC$968,SUMPRODUCT((ROW(DATABASE!$AV$14:$AV$968)) * (DATABASE!$AV$14:BW$968='Résultats Projection'!$A17 ) * (DATABASE!$AW$14:$AW$968= AD$4))-ROW(DATABASE!$AV$14)+1,AD$5+3)),"")</f>
        <v/>
      </c>
      <c r="AE17" s="116">
        <f t="array" ref="AE17">IFERROR(_xlfn.SINGLE(INDEX(DATABASE!$AV$14:$BC$968,SUMPRODUCT((ROW(DATABASE!$AV$14:$AV$968)) * (DATABASE!$AV$14:BX$968='Résultats Projection'!$A17 ) * (DATABASE!$AW$14:$AW$968= AE$4))-ROW(DATABASE!$AV$14)+1,AE$5+3)),"")</f>
        <v/>
      </c>
      <c r="AF17" s="116">
        <f t="array" ref="AF17">IFERROR(_xlfn.SINGLE(INDEX(DATABASE!$AV$14:$BC$968,SUMPRODUCT((ROW(DATABASE!$AV$14:$AV$968)) * (DATABASE!$AV$14:BY$968='Résultats Projection'!$A17 ) * (DATABASE!$AW$14:$AW$968= AF$4))-ROW(DATABASE!$AV$14)+1,AF$5+3)),"")</f>
        <v/>
      </c>
      <c r="AG17" s="116">
        <f t="array" ref="AG17">IFERROR(_xlfn.SINGLE(INDEX(DATABASE!$AV$14:$BC$968,SUMPRODUCT((ROW(DATABASE!$AV$14:$AV$968)) * (DATABASE!$AV$14:BZ$968='Résultats Projection'!$A17 ) * (DATABASE!$AW$14:$AW$968= AG$4))-ROW(DATABASE!$AV$14)+1,AG$5+3)),"")</f>
        <v/>
      </c>
      <c r="AH17" s="116">
        <f t="array" ref="AH17">IFERROR(_xlfn.SINGLE(INDEX(DATABASE!$AV$14:$BC$968,SUMPRODUCT((ROW(DATABASE!$AV$14:$AV$968)) * (DATABASE!$AV$14:CA$968='Résultats Projection'!$A17 ) * (DATABASE!$AW$14:$AW$968= AH$4))-ROW(DATABASE!$AV$14)+1,AH$5+3)),"")</f>
        <v/>
      </c>
      <c r="AI17" s="116">
        <f t="array" ref="AI17">IFERROR(_xlfn.SINGLE(INDEX(DATABASE!$AV$14:$BC$968,SUMPRODUCT((ROW(DATABASE!$AV$14:$AV$968)) * (DATABASE!$AV$14:CB$968='Résultats Projection'!$A17 ) * (DATABASE!$AW$14:$AW$968= AI$4))-ROW(DATABASE!$AV$14)+1,AI$5+3)),"")</f>
        <v/>
      </c>
      <c r="AJ17" s="116">
        <f t="array" ref="AJ17">IFERROR(_xlfn.SINGLE(INDEX(DATABASE!$AV$14:$BC$968,SUMPRODUCT((ROW(DATABASE!$AV$14:$AV$968)) * (DATABASE!$AV$14:CC$968='Résultats Projection'!$A17 ) * (DATABASE!$AW$14:$AW$968= AJ$4))-ROW(DATABASE!$AV$14)+1,AJ$5+3)),"")</f>
        <v/>
      </c>
      <c r="AK17" s="116">
        <f t="array" ref="AK17">IFERROR(_xlfn.SINGLE(INDEX(DATABASE!$AV$14:$BC$968,SUMPRODUCT((ROW(DATABASE!$AV$14:$AV$968)) * (DATABASE!$AV$14:CD$968='Résultats Projection'!$A17 ) * (DATABASE!$AW$14:$AW$968= AK$4))-ROW(DATABASE!$AV$14)+1,AK$5+3)),"")</f>
        <v/>
      </c>
      <c r="AL17" s="116">
        <f t="array" ref="AL17">IFERROR(_xlfn.SINGLE(INDEX(DATABASE!$AV$14:$BC$968,SUMPRODUCT((ROW(DATABASE!$AV$14:$AV$968)) * (DATABASE!$AV$14:CE$968='Résultats Projection'!$A17 ) * (DATABASE!$AW$14:$AW$968= AL$4))-ROW(DATABASE!$AV$14)+1,AL$5+3)),"")</f>
        <v/>
      </c>
      <c r="AM17" s="116">
        <f t="array" ref="AM17">IFERROR(_xlfn.SINGLE(INDEX(DATABASE!$AV$14:$BC$968,SUMPRODUCT((ROW(DATABASE!$AV$14:$AV$968)) * (DATABASE!$AV$14:CF$968='Résultats Projection'!$A17 ) * (DATABASE!$AW$14:$AW$968= AM$4))-ROW(DATABASE!$AV$14)+1,AM$5+3)),"")</f>
        <v/>
      </c>
      <c r="AN17" s="116">
        <f t="array" ref="AN17">IFERROR(_xlfn.SINGLE(INDEX(DATABASE!$AV$14:$BC$968,SUMPRODUCT((ROW(DATABASE!$AV$14:$AV$968)) * (DATABASE!$AV$14:CG$968='Résultats Projection'!$A17 ) * (DATABASE!$AW$14:$AW$968= AN$4))-ROW(DATABASE!$AV$14)+1,AN$5+3)),"")</f>
        <v/>
      </c>
      <c r="AO17" s="116">
        <f t="array" ref="AO17">IFERROR(_xlfn.SINGLE(INDEX(DATABASE!$AV$14:$BC$968,SUMPRODUCT((ROW(DATABASE!$AV$14:$AV$968)) * (DATABASE!$AV$14:CH$968='Résultats Projection'!$A17 ) * (DATABASE!$AW$14:$AW$968= AO$4))-ROW(DATABASE!$AV$14)+1,AO$5+3)),"")</f>
        <v/>
      </c>
      <c r="AP17" s="116">
        <f t="array" ref="AP17">IFERROR(_xlfn.SINGLE(INDEX(DATABASE!$AV$14:$BC$968,SUMPRODUCT((ROW(DATABASE!$AV$14:$AV$968)) * (DATABASE!$AV$14:CI$968='Résultats Projection'!$A17 ) * (DATABASE!$AW$14:$AW$968= AP$4))-ROW(DATABASE!$AV$14)+1,AP$5+3)),"")</f>
        <v/>
      </c>
      <c r="AQ17" s="116">
        <f t="array" ref="AQ17">IFERROR(_xlfn.SINGLE(INDEX(DATABASE!$AV$14:$BC$968,SUMPRODUCT((ROW(DATABASE!$AV$14:$AV$968)) * (DATABASE!$AV$14:CJ$968='Résultats Projection'!$A17 ) * (DATABASE!$AW$14:$AW$968= AQ$4))-ROW(DATABASE!$AV$14)+1,AQ$5+3)),"")</f>
        <v/>
      </c>
      <c r="AR17" s="116">
        <f t="array" ref="AR17">IFERROR(_xlfn.SINGLE(INDEX(DATABASE!$AV$14:$BC$968,SUMPRODUCT((ROW(DATABASE!$AV$14:$AV$968)) * (DATABASE!$AV$14:CK$968='Résultats Projection'!$A17 ) * (DATABASE!$AW$14:$AW$968= AR$4))-ROW(DATABASE!$AV$14)+1,AR$5+3)),"")</f>
        <v/>
      </c>
      <c r="AS17" s="116">
        <f t="array" ref="AS17">IFERROR(_xlfn.SINGLE(INDEX(DATABASE!$AV$14:$BC$968,SUMPRODUCT((ROW(DATABASE!$AV$14:$AV$968)) * (DATABASE!$AV$14:CL$968='Résultats Projection'!$A17 ) * (DATABASE!$AW$14:$AW$968= AS$4))-ROW(DATABASE!$AV$14)+1,AS$5+3)),"")</f>
        <v/>
      </c>
      <c r="AT17" s="116">
        <f t="array" ref="AT17">IFERROR(_xlfn.SINGLE(INDEX(DATABASE!$AV$14:$BC$968,SUMPRODUCT((ROW(DATABASE!$AV$14:$AV$968)) * (DATABASE!$AV$14:CM$968='Résultats Projection'!$A17 ) * (DATABASE!$AW$14:$AW$968= AT$4))-ROW(DATABASE!$AV$14)+1,AT$5+3)),"")</f>
        <v/>
      </c>
      <c r="AU17" s="116">
        <f t="array" ref="AU17">IFERROR(_xlfn.SINGLE(INDEX(DATABASE!$AV$14:$BC$968,SUMPRODUCT((ROW(DATABASE!$AV$14:$AV$968)) * (DATABASE!$AV$14:CN$968='Résultats Projection'!$A17 ) * (DATABASE!$AW$14:$AW$968= AU$4))-ROW(DATABASE!$AV$14)+1,AU$5+3)),"")</f>
        <v/>
      </c>
      <c r="AV17" s="116">
        <f t="array" ref="AV17">IFERROR(_xlfn.SINGLE(INDEX(DATABASE!$AV$14:$BC$968,SUMPRODUCT((ROW(DATABASE!$AV$14:$AV$968)) * (DATABASE!$AV$14:CO$968='Résultats Projection'!$A17 ) * (DATABASE!$AW$14:$AW$968= AV$4))-ROW(DATABASE!$AV$14)+1,AV$5+3)),"")</f>
        <v/>
      </c>
      <c r="AW17" s="116">
        <f t="array" ref="AW17">IFERROR(_xlfn.SINGLE(INDEX(DATABASE!$AV$14:$BC$968,SUMPRODUCT((ROW(DATABASE!$AV$14:$AV$968)) * (DATABASE!$AV$14:CP$968='Résultats Projection'!$A17 ) * (DATABASE!$AW$14:$AW$968= AW$4))-ROW(DATABASE!$AV$14)+1,AW$5+3)),"")</f>
        <v/>
      </c>
      <c r="AX17" s="116">
        <f t="array" ref="AX17">IFERROR(_xlfn.SINGLE(INDEX(DATABASE!$AV$14:$BC$968,SUMPRODUCT((ROW(DATABASE!$AV$14:$AV$968)) * (DATABASE!$AV$14:CQ$968='Résultats Projection'!$A17 ) * (DATABASE!$AW$14:$AW$968= AX$4))-ROW(DATABASE!$AV$14)+1,AX$5+3)),"")</f>
        <v/>
      </c>
      <c r="AY17" s="116">
        <f t="array" ref="AY17">IFERROR(_xlfn.SINGLE(INDEX(DATABASE!$AV$14:$BC$968,SUMPRODUCT((ROW(DATABASE!$AV$14:$AV$968)) * (DATABASE!$AV$14:CR$968='Résultats Projection'!$A17 ) * (DATABASE!$AW$14:$AW$968= AY$4))-ROW(DATABASE!$AV$14)+1,AY$5+3)),"")</f>
        <v/>
      </c>
      <c r="AZ17" s="116">
        <f t="array" ref="AZ17">IFERROR(_xlfn.SINGLE(INDEX(DATABASE!$AV$14:$BC$968,SUMPRODUCT((ROW(DATABASE!$AV$14:$AV$968)) * (DATABASE!$AV$14:CS$968='Résultats Projection'!$A17 ) * (DATABASE!$AW$14:$AW$968= AZ$4))-ROW(DATABASE!$AV$14)+1,AZ$5+3)),"")</f>
        <v/>
      </c>
      <c r="BA17" s="116">
        <f t="array" ref="BA17">IFERROR(_xlfn.SINGLE(INDEX(DATABASE!$AV$14:$BC$968,SUMPRODUCT((ROW(DATABASE!$AV$14:$AV$968)) * (DATABASE!$AV$14:CT$968='Résultats Projection'!$A17 ) * (DATABASE!$AW$14:$AW$968= BA$4))-ROW(DATABASE!$AV$14)+1,BA$5+3)),"")</f>
        <v/>
      </c>
      <c r="BB17" s="116">
        <f t="array" ref="BB17">IFERROR(_xlfn.SINGLE(INDEX(DATABASE!$AV$14:$BC$968,SUMPRODUCT((ROW(DATABASE!$AV$14:$AV$968)) * (DATABASE!$AV$14:CU$968='Résultats Projection'!$A17 ) * (DATABASE!$AW$14:$AW$968= BB$4))-ROW(DATABASE!$AV$14)+1,BB$5+3)),"")</f>
        <v/>
      </c>
      <c r="BC17" s="116">
        <f t="array" ref="BC17">IFERROR(_xlfn.SINGLE(INDEX(DATABASE!$AV$14:$BC$968,SUMPRODUCT((ROW(DATABASE!$AV$14:$AV$968)) * (DATABASE!$AV$14:CV$968='Résultats Projection'!$A17 ) * (DATABASE!$AW$14:$AW$968= BC$4))-ROW(DATABASE!$AV$14)+1,BC$5+3)),"")</f>
        <v/>
      </c>
      <c r="BD17" s="116">
        <f t="array" ref="BD17">IFERROR(_xlfn.SINGLE(INDEX(DATABASE!$AV$14:$BC$968,SUMPRODUCT((ROW(DATABASE!$AV$14:$AV$968)) * (DATABASE!$AV$14:CW$968='Résultats Projection'!$A17 ) * (DATABASE!$AW$14:$AW$968= BD$4))-ROW(DATABASE!$AV$14)+1,BD$5+3)),"")</f>
        <v/>
      </c>
      <c r="BE17" s="116">
        <f t="array" ref="BE17">IFERROR(_xlfn.SINGLE(INDEX(DATABASE!$AV$14:$BC$968,SUMPRODUCT((ROW(DATABASE!$AV$14:$AV$968)) * (DATABASE!$AV$14:CX$968='Résultats Projection'!$A17 ) * (DATABASE!$AW$14:$AW$968= BE$4))-ROW(DATABASE!$AV$14)+1,BE$5+3)),"")</f>
        <v/>
      </c>
      <c r="BF17" s="116">
        <f t="array" ref="BF17">IFERROR(_xlfn.SINGLE(INDEX(DATABASE!$AV$14:$BC$968,SUMPRODUCT((ROW(DATABASE!$AV$14:$AV$968)) * (DATABASE!$AV$14:CY$968='Résultats Projection'!$A17 ) * (DATABASE!$AW$14:$AW$968= BF$4))-ROW(DATABASE!$AV$14)+1,BF$5+3)),"")</f>
        <v/>
      </c>
      <c r="BG17" s="116">
        <f t="array" ref="BG17">IFERROR(_xlfn.SINGLE(INDEX(DATABASE!$AV$14:$BC$968,SUMPRODUCT((ROW(DATABASE!$AV$14:$AV$968)) * (DATABASE!$AV$14:CZ$968='Résultats Projection'!$A17 ) * (DATABASE!$AW$14:$AW$968= BG$4))-ROW(DATABASE!$AV$14)+1,BG$5+3)),"")</f>
        <v/>
      </c>
      <c r="BH17" s="116">
        <f t="array" ref="BH17">IFERROR(_xlfn.SINGLE(INDEX(DATABASE!$AV$14:$BC$968,SUMPRODUCT((ROW(DATABASE!$AV$14:$AV$968)) * (DATABASE!$AV$14:DA$968='Résultats Projection'!$A17 ) * (DATABASE!$AW$14:$AW$968= BH$4))-ROW(DATABASE!$AV$14)+1,BH$5+3)),"")</f>
        <v/>
      </c>
      <c r="BI17" s="116">
        <f t="array" ref="BI17">IFERROR(_xlfn.SINGLE(INDEX(DATABASE!$AV$14:$BC$968,SUMPRODUCT((ROW(DATABASE!$AV$14:$AV$968)) * (DATABASE!$AV$14:DB$968='Résultats Projection'!$A17 ) * (DATABASE!$AW$14:$AW$968= BI$4))-ROW(DATABASE!$AV$14)+1,BI$5+3)),"")</f>
        <v/>
      </c>
      <c r="BJ17" s="116">
        <f t="array" ref="BJ17">IFERROR(_xlfn.SINGLE(INDEX(DATABASE!$AV$14:$BC$968,SUMPRODUCT((ROW(DATABASE!$AV$14:$AV$968)) * (DATABASE!$AV$14:DC$968='Résultats Projection'!$A17 ) * (DATABASE!$AW$14:$AW$968= BJ$4))-ROW(DATABASE!$AV$14)+1,BJ$5+3)),"")</f>
        <v/>
      </c>
    </row>
    <row r="18" ht="29.25" customFormat="1" customHeight="1" s="28">
      <c r="A18" s="42" t="n">
        <v>45558</v>
      </c>
      <c r="B18" s="8">
        <f>A18-A$10</f>
        <v/>
      </c>
      <c r="C18" s="116">
        <f t="array" ref="C18">IFERROR(_xlfn.SINGLE(INDEX(DATABASE!$AV$14:$BC$968,SUMPRODUCT((ROW(DATABASE!$AV$14:$AV$968)) * (DATABASE!AV$14:$AV$968='Résultats Projection'!$A18 ) * (DATABASE!$AW$14:$AW$968= C$4))-ROW(DATABASE!$AV$14)+1,C$5+3)),"")</f>
        <v/>
      </c>
      <c r="D18" s="116">
        <f t="array" ref="D18">IFERROR(_xlfn.SINGLE(INDEX(DATABASE!$AV$14:$BC$968,SUMPRODUCT((ROW(DATABASE!$AV$14:$AV$968)) * (DATABASE!$AV$14:AW$968='Résultats Projection'!$A18 ) * (DATABASE!$AW$14:$AW$968= D$4))-ROW(DATABASE!$AV$14)+1,D$5+3)),"")</f>
        <v/>
      </c>
      <c r="E18" s="116">
        <f t="array" ref="E18">IFERROR(_xlfn.SINGLE(INDEX(DATABASE!$AV$14:$BC$968,SUMPRODUCT((ROW(DATABASE!$AV$14:$AV$968)) * (DATABASE!$AV$14:AX$968='Résultats Projection'!$A18 ) * (DATABASE!$AW$14:$AW$968= E$4))-ROW(DATABASE!$AV$14)+1,E$5+3)),"")</f>
        <v/>
      </c>
      <c r="F18" s="116">
        <f t="array" ref="F18">IFERROR(_xlfn.SINGLE(INDEX(DATABASE!$AV$14:$BC$968,SUMPRODUCT((ROW(DATABASE!$AV$14:$AV$968)) * (DATABASE!$AV$14:AY$968='Résultats Projection'!$A18 ) * (DATABASE!$AW$14:$AW$968= F$4))-ROW(DATABASE!$AV$14)+1,F$5+3)),"")</f>
        <v/>
      </c>
      <c r="G18" s="116">
        <f t="array" ref="G18">IFERROR(_xlfn.SINGLE(INDEX(DATABASE!$AV$14:$BC$968,SUMPRODUCT((ROW(DATABASE!$AV$14:$AV$968)) * (DATABASE!$AV$14:AZ$968='Résultats Projection'!$A18 ) * (DATABASE!$AW$14:$AW$968= G$4))-ROW(DATABASE!$AV$14)+1,G$5+3)),"")</f>
        <v/>
      </c>
      <c r="H18" s="116">
        <f t="array" ref="H18">IFERROR(_xlfn.SINGLE(INDEX(DATABASE!$AV$14:$BC$968,SUMPRODUCT((ROW(DATABASE!$AV$14:$AV$968)) * (DATABASE!$AV$14:BA$968='Résultats Projection'!$A18 ) * (DATABASE!$AW$14:$AW$968= H$4))-ROW(DATABASE!$AV$14)+1,H$5+3)),"")</f>
        <v/>
      </c>
      <c r="I18" s="116">
        <f t="array" ref="I18">IFERROR(_xlfn.SINGLE(INDEX(DATABASE!$AV$14:$BC$968,SUMPRODUCT((ROW(DATABASE!$AV$14:$AV$968)) * (DATABASE!$AV$14:BB$968='Résultats Projection'!$A18 ) * (DATABASE!$AW$14:$AW$968= I$4))-ROW(DATABASE!$AV$14)+1,I$5+3)),"")</f>
        <v/>
      </c>
      <c r="J18" s="116">
        <f t="array" ref="J18">IFERROR(_xlfn.SINGLE(INDEX(DATABASE!$AV$14:$BC$968,SUMPRODUCT((ROW(DATABASE!$AV$14:$AV$968)) * (DATABASE!$AV$14:BC$968='Résultats Projection'!$A18 ) * (DATABASE!$AW$14:$AW$968= J$4))-ROW(DATABASE!$AV$14)+1,J$5+3)),"")</f>
        <v/>
      </c>
      <c r="K18" s="116">
        <f t="array" ref="K18">IFERROR(_xlfn.SINGLE(INDEX(DATABASE!$AV$14:$BC$968,SUMPRODUCT((ROW(DATABASE!$AV$14:$AV$968)) * (DATABASE!$AV$14:BD$968='Résultats Projection'!$A18 ) * (DATABASE!$AW$14:$AW$968= K$4))-ROW(DATABASE!$AV$14)+1,K$5+3)),"")</f>
        <v/>
      </c>
      <c r="L18" s="116">
        <f t="array" ref="L18">IFERROR(_xlfn.SINGLE(INDEX(DATABASE!$AV$14:$BC$968,SUMPRODUCT((ROW(DATABASE!$AV$14:$AV$968)) * (DATABASE!$AV$14:BE$968='Résultats Projection'!$A18 ) * (DATABASE!$AW$14:$AW$968= L$4))-ROW(DATABASE!$AV$14)+1,L$5+3)),"")</f>
        <v/>
      </c>
      <c r="M18" s="116">
        <f t="array" ref="M18">IFERROR(_xlfn.SINGLE(INDEX(DATABASE!$AV$14:$BC$968,SUMPRODUCT((ROW(DATABASE!$AV$14:$AV$968)) * (DATABASE!$AV$14:BF$968='Résultats Projection'!$A18 ) * (DATABASE!$AW$14:$AW$968= M$4))-ROW(DATABASE!$AV$14)+1,M$5+3)),"")</f>
        <v/>
      </c>
      <c r="N18" s="116">
        <f t="array" ref="N18">IFERROR(_xlfn.SINGLE(INDEX(DATABASE!$AV$14:$BC$968,SUMPRODUCT((ROW(DATABASE!$AV$14:$AV$968)) * (DATABASE!$AV$14:BG$968='Résultats Projection'!$A18 ) * (DATABASE!$AW$14:$AW$968= N$4))-ROW(DATABASE!$AV$14)+1,N$5+3)),"")</f>
        <v/>
      </c>
      <c r="O18" s="116">
        <f t="array" ref="O18">IFERROR(_xlfn.SINGLE(INDEX(DATABASE!$AV$14:$BC$968,SUMPRODUCT((ROW(DATABASE!$AV$14:$AV$968)) * (DATABASE!$AV$14:BH$968='Résultats Projection'!$A18 ) * (DATABASE!$AW$14:$AW$968= O$4))-ROW(DATABASE!$AV$14)+1,O$5+3)),"")</f>
        <v/>
      </c>
      <c r="P18" s="116">
        <f t="array" ref="P18">IFERROR(_xlfn.SINGLE(INDEX(DATABASE!$AV$14:$BC$968,SUMPRODUCT((ROW(DATABASE!$AV$14:$AV$968)) * (DATABASE!$AV$14:BI$968='Résultats Projection'!$A18 ) * (DATABASE!$AW$14:$AW$968= P$4))-ROW(DATABASE!$AV$14)+1,P$5+3)),"")</f>
        <v/>
      </c>
      <c r="Q18" s="116">
        <f t="array" ref="Q18">IFERROR(_xlfn.SINGLE(INDEX(DATABASE!$AV$14:$BC$968,SUMPRODUCT((ROW(DATABASE!$AV$14:$AV$968)) * (DATABASE!$AV$14:BJ$968='Résultats Projection'!$A18 ) * (DATABASE!$AW$14:$AW$968= Q$4))-ROW(DATABASE!$AV$14)+1,Q$5+3)),"")</f>
        <v/>
      </c>
      <c r="R18" s="116">
        <f t="array" ref="R18">IFERROR(_xlfn.SINGLE(INDEX(DATABASE!$AV$14:$BC$968,SUMPRODUCT((ROW(DATABASE!$AV$14:$AV$968)) * (DATABASE!$AV$14:BK$968='Résultats Projection'!$A18 ) * (DATABASE!$AW$14:$AW$968= R$4))-ROW(DATABASE!$AV$14)+1,R$5+3)),"")</f>
        <v/>
      </c>
      <c r="S18" s="116">
        <f t="array" ref="S18">IFERROR(_xlfn.SINGLE(INDEX(DATABASE!$AV$14:$BC$968,SUMPRODUCT((ROW(DATABASE!$AV$14:$AV$968)) * (DATABASE!$AV$14:BL$968='Résultats Projection'!$A18 ) * (DATABASE!$AW$14:$AW$968= S$4))-ROW(DATABASE!$AV$14)+1,S$5+3)),"")</f>
        <v/>
      </c>
      <c r="T18" s="116">
        <f t="array" ref="T18">IFERROR(_xlfn.SINGLE(INDEX(DATABASE!$AV$14:$BC$968,SUMPRODUCT((ROW(DATABASE!$AV$14:$AV$968)) * (DATABASE!$AV$14:BM$968='Résultats Projection'!$A18 ) * (DATABASE!$AW$14:$AW$968= T$4))-ROW(DATABASE!$AV$14)+1,T$5+3)),"")</f>
        <v/>
      </c>
      <c r="U18" s="116">
        <f t="array" ref="U18">IFERROR(_xlfn.SINGLE(INDEX(DATABASE!$AV$14:$BC$968,SUMPRODUCT((ROW(DATABASE!$AV$14:$AV$968)) * (DATABASE!$AV$14:BN$968='Résultats Projection'!$A18 ) * (DATABASE!$AW$14:$AW$968= U$4))-ROW(DATABASE!$AV$14)+1,U$5+3)),"")</f>
        <v/>
      </c>
      <c r="V18" s="116">
        <f t="array" ref="V18">IFERROR(_xlfn.SINGLE(INDEX(DATABASE!$AV$14:$BC$968,SUMPRODUCT((ROW(DATABASE!$AV$14:$AV$968)) * (DATABASE!$AV$14:BO$968='Résultats Projection'!$A18 ) * (DATABASE!$AW$14:$AW$968= V$4))-ROW(DATABASE!$AV$14)+1,V$5+3)),"")</f>
        <v/>
      </c>
      <c r="W18" s="116">
        <f t="array" ref="W18">IFERROR(_xlfn.SINGLE(INDEX(DATABASE!$AV$14:$BC$968,SUMPRODUCT((ROW(DATABASE!$AV$14:$AV$968)) * (DATABASE!$AV$14:BP$968='Résultats Projection'!$A18 ) * (DATABASE!$AW$14:$AW$968= W$4))-ROW(DATABASE!$AV$14)+1,W$5+3)),"")</f>
        <v/>
      </c>
      <c r="X18" s="116">
        <f t="array" ref="X18">IFERROR(_xlfn.SINGLE(INDEX(DATABASE!$AV$14:$BC$968,SUMPRODUCT((ROW(DATABASE!$AV$14:$AV$968)) * (DATABASE!$AV$14:BQ$968='Résultats Projection'!$A18 ) * (DATABASE!$AW$14:$AW$968= X$4))-ROW(DATABASE!$AV$14)+1,X$5+3)),"")</f>
        <v/>
      </c>
      <c r="Y18" s="116">
        <f t="array" ref="Y18">IFERROR(_xlfn.SINGLE(INDEX(DATABASE!$AV$14:$BC$968,SUMPRODUCT((ROW(DATABASE!$AV$14:$AV$968)) * (DATABASE!$AV$14:BR$968='Résultats Projection'!$A18 ) * (DATABASE!$AW$14:$AW$968= Y$4))-ROW(DATABASE!$AV$14)+1,Y$5+3)),"")</f>
        <v/>
      </c>
      <c r="Z18" s="116">
        <f t="array" ref="Z18">IFERROR(_xlfn.SINGLE(INDEX(DATABASE!$AV$14:$BC$968,SUMPRODUCT((ROW(DATABASE!$AV$14:$AV$968)) * (DATABASE!$AV$14:BS$968='Résultats Projection'!$A18 ) * (DATABASE!$AW$14:$AW$968= Z$4))-ROW(DATABASE!$AV$14)+1,Z$5+3)),"")</f>
        <v/>
      </c>
      <c r="AA18" s="116">
        <f t="array" ref="AA18">IFERROR(_xlfn.SINGLE(INDEX(DATABASE!$AV$14:$BC$968,SUMPRODUCT((ROW(DATABASE!$AV$14:$AV$968)) * (DATABASE!$AV$14:BT$968='Résultats Projection'!$A18 ) * (DATABASE!$AW$14:$AW$968= AA$4))-ROW(DATABASE!$AV$14)+1,AA$5+3)),"")</f>
        <v/>
      </c>
      <c r="AB18" s="116">
        <f t="array" ref="AB18">IFERROR(_xlfn.SINGLE(INDEX(DATABASE!$AV$14:$BC$968,SUMPRODUCT((ROW(DATABASE!$AV$14:$AV$968)) * (DATABASE!$AV$14:BU$968='Résultats Projection'!$A18 ) * (DATABASE!$AW$14:$AW$968= AB$4))-ROW(DATABASE!$AV$14)+1,AB$5+3)),"")</f>
        <v/>
      </c>
      <c r="AC18" s="116">
        <f t="array" ref="AC18">IFERROR(_xlfn.SINGLE(INDEX(DATABASE!$AV$14:$BC$968,SUMPRODUCT((ROW(DATABASE!$AV$14:$AV$968)) * (DATABASE!$AV$14:BV$968='Résultats Projection'!$A18 ) * (DATABASE!$AW$14:$AW$968= AC$4))-ROW(DATABASE!$AV$14)+1,AC$5+3)),"")</f>
        <v/>
      </c>
      <c r="AD18" s="116">
        <f t="array" ref="AD18">IFERROR(_xlfn.SINGLE(INDEX(DATABASE!$AV$14:$BC$968,SUMPRODUCT((ROW(DATABASE!$AV$14:$AV$968)) * (DATABASE!$AV$14:BW$968='Résultats Projection'!$A18 ) * (DATABASE!$AW$14:$AW$968= AD$4))-ROW(DATABASE!$AV$14)+1,AD$5+3)),"")</f>
        <v/>
      </c>
      <c r="AE18" s="116">
        <f t="array" ref="AE18">IFERROR(_xlfn.SINGLE(INDEX(DATABASE!$AV$14:$BC$968,SUMPRODUCT((ROW(DATABASE!$AV$14:$AV$968)) * (DATABASE!$AV$14:BX$968='Résultats Projection'!$A18 ) * (DATABASE!$AW$14:$AW$968= AE$4))-ROW(DATABASE!$AV$14)+1,AE$5+3)),"")</f>
        <v/>
      </c>
      <c r="AF18" s="116">
        <f t="array" ref="AF18">IFERROR(_xlfn.SINGLE(INDEX(DATABASE!$AV$14:$BC$968,SUMPRODUCT((ROW(DATABASE!$AV$14:$AV$968)) * (DATABASE!$AV$14:BY$968='Résultats Projection'!$A18 ) * (DATABASE!$AW$14:$AW$968= AF$4))-ROW(DATABASE!$AV$14)+1,AF$5+3)),"")</f>
        <v/>
      </c>
      <c r="AG18" s="116">
        <f t="array" ref="AG18">IFERROR(_xlfn.SINGLE(INDEX(DATABASE!$AV$14:$BC$968,SUMPRODUCT((ROW(DATABASE!$AV$14:$AV$968)) * (DATABASE!$AV$14:BZ$968='Résultats Projection'!$A18 ) * (DATABASE!$AW$14:$AW$968= AG$4))-ROW(DATABASE!$AV$14)+1,AG$5+3)),"")</f>
        <v/>
      </c>
      <c r="AH18" s="116">
        <f t="array" ref="AH18">IFERROR(_xlfn.SINGLE(INDEX(DATABASE!$AV$14:$BC$968,SUMPRODUCT((ROW(DATABASE!$AV$14:$AV$968)) * (DATABASE!$AV$14:CA$968='Résultats Projection'!$A18 ) * (DATABASE!$AW$14:$AW$968= AH$4))-ROW(DATABASE!$AV$14)+1,AH$5+3)),"")</f>
        <v/>
      </c>
      <c r="AI18" s="116">
        <f t="array" ref="AI18">IFERROR(_xlfn.SINGLE(INDEX(DATABASE!$AV$14:$BC$968,SUMPRODUCT((ROW(DATABASE!$AV$14:$AV$968)) * (DATABASE!$AV$14:CB$968='Résultats Projection'!$A18 ) * (DATABASE!$AW$14:$AW$968= AI$4))-ROW(DATABASE!$AV$14)+1,AI$5+3)),"")</f>
        <v/>
      </c>
      <c r="AJ18" s="116">
        <f t="array" ref="AJ18">IFERROR(_xlfn.SINGLE(INDEX(DATABASE!$AV$14:$BC$968,SUMPRODUCT((ROW(DATABASE!$AV$14:$AV$968)) * (DATABASE!$AV$14:CC$968='Résultats Projection'!$A18 ) * (DATABASE!$AW$14:$AW$968= AJ$4))-ROW(DATABASE!$AV$14)+1,AJ$5+3)),"")</f>
        <v/>
      </c>
      <c r="AK18" s="116">
        <f t="array" ref="AK18">IFERROR(_xlfn.SINGLE(INDEX(DATABASE!$AV$14:$BC$968,SUMPRODUCT((ROW(DATABASE!$AV$14:$AV$968)) * (DATABASE!$AV$14:CD$968='Résultats Projection'!$A18 ) * (DATABASE!$AW$14:$AW$968= AK$4))-ROW(DATABASE!$AV$14)+1,AK$5+3)),"")</f>
        <v/>
      </c>
      <c r="AL18" s="116">
        <f t="array" ref="AL18">IFERROR(_xlfn.SINGLE(INDEX(DATABASE!$AV$14:$BC$968,SUMPRODUCT((ROW(DATABASE!$AV$14:$AV$968)) * (DATABASE!$AV$14:CE$968='Résultats Projection'!$A18 ) * (DATABASE!$AW$14:$AW$968= AL$4))-ROW(DATABASE!$AV$14)+1,AL$5+3)),"")</f>
        <v/>
      </c>
      <c r="AM18" s="116">
        <f t="array" ref="AM18">IFERROR(_xlfn.SINGLE(INDEX(DATABASE!$AV$14:$BC$968,SUMPRODUCT((ROW(DATABASE!$AV$14:$AV$968)) * (DATABASE!$AV$14:CF$968='Résultats Projection'!$A18 ) * (DATABASE!$AW$14:$AW$968= AM$4))-ROW(DATABASE!$AV$14)+1,AM$5+3)),"")</f>
        <v/>
      </c>
      <c r="AN18" s="116">
        <f t="array" ref="AN18">IFERROR(_xlfn.SINGLE(INDEX(DATABASE!$AV$14:$BC$968,SUMPRODUCT((ROW(DATABASE!$AV$14:$AV$968)) * (DATABASE!$AV$14:CG$968='Résultats Projection'!$A18 ) * (DATABASE!$AW$14:$AW$968= AN$4))-ROW(DATABASE!$AV$14)+1,AN$5+3)),"")</f>
        <v/>
      </c>
      <c r="AO18" s="116">
        <f t="array" ref="AO18">IFERROR(_xlfn.SINGLE(INDEX(DATABASE!$AV$14:$BC$968,SUMPRODUCT((ROW(DATABASE!$AV$14:$AV$968)) * (DATABASE!$AV$14:CH$968='Résultats Projection'!$A18 ) * (DATABASE!$AW$14:$AW$968= AO$4))-ROW(DATABASE!$AV$14)+1,AO$5+3)),"")</f>
        <v/>
      </c>
      <c r="AP18" s="116">
        <f t="array" ref="AP18">IFERROR(_xlfn.SINGLE(INDEX(DATABASE!$AV$14:$BC$968,SUMPRODUCT((ROW(DATABASE!$AV$14:$AV$968)) * (DATABASE!$AV$14:CI$968='Résultats Projection'!$A18 ) * (DATABASE!$AW$14:$AW$968= AP$4))-ROW(DATABASE!$AV$14)+1,AP$5+3)),"")</f>
        <v/>
      </c>
      <c r="AQ18" s="116">
        <f t="array" ref="AQ18">IFERROR(_xlfn.SINGLE(INDEX(DATABASE!$AV$14:$BC$968,SUMPRODUCT((ROW(DATABASE!$AV$14:$AV$968)) * (DATABASE!$AV$14:CJ$968='Résultats Projection'!$A18 ) * (DATABASE!$AW$14:$AW$968= AQ$4))-ROW(DATABASE!$AV$14)+1,AQ$5+3)),"")</f>
        <v/>
      </c>
      <c r="AR18" s="116">
        <f t="array" ref="AR18">IFERROR(_xlfn.SINGLE(INDEX(DATABASE!$AV$14:$BC$968,SUMPRODUCT((ROW(DATABASE!$AV$14:$AV$968)) * (DATABASE!$AV$14:CK$968='Résultats Projection'!$A18 ) * (DATABASE!$AW$14:$AW$968= AR$4))-ROW(DATABASE!$AV$14)+1,AR$5+3)),"")</f>
        <v/>
      </c>
      <c r="AS18" s="116">
        <f t="array" ref="AS18">IFERROR(_xlfn.SINGLE(INDEX(DATABASE!$AV$14:$BC$968,SUMPRODUCT((ROW(DATABASE!$AV$14:$AV$968)) * (DATABASE!$AV$14:CL$968='Résultats Projection'!$A18 ) * (DATABASE!$AW$14:$AW$968= AS$4))-ROW(DATABASE!$AV$14)+1,AS$5+3)),"")</f>
        <v/>
      </c>
      <c r="AT18" s="116">
        <f t="array" ref="AT18">IFERROR(_xlfn.SINGLE(INDEX(DATABASE!$AV$14:$BC$968,SUMPRODUCT((ROW(DATABASE!$AV$14:$AV$968)) * (DATABASE!$AV$14:CM$968='Résultats Projection'!$A18 ) * (DATABASE!$AW$14:$AW$968= AT$4))-ROW(DATABASE!$AV$14)+1,AT$5+3)),"")</f>
        <v/>
      </c>
      <c r="AU18" s="116">
        <f t="array" ref="AU18">IFERROR(_xlfn.SINGLE(INDEX(DATABASE!$AV$14:$BC$968,SUMPRODUCT((ROW(DATABASE!$AV$14:$AV$968)) * (DATABASE!$AV$14:CN$968='Résultats Projection'!$A18 ) * (DATABASE!$AW$14:$AW$968= AU$4))-ROW(DATABASE!$AV$14)+1,AU$5+3)),"")</f>
        <v/>
      </c>
      <c r="AV18" s="116">
        <f t="array" ref="AV18">IFERROR(_xlfn.SINGLE(INDEX(DATABASE!$AV$14:$BC$968,SUMPRODUCT((ROW(DATABASE!$AV$14:$AV$968)) * (DATABASE!$AV$14:CO$968='Résultats Projection'!$A18 ) * (DATABASE!$AW$14:$AW$968= AV$4))-ROW(DATABASE!$AV$14)+1,AV$5+3)),"")</f>
        <v/>
      </c>
      <c r="AW18" s="116">
        <f t="array" ref="AW18">IFERROR(_xlfn.SINGLE(INDEX(DATABASE!$AV$14:$BC$968,SUMPRODUCT((ROW(DATABASE!$AV$14:$AV$968)) * (DATABASE!$AV$14:CP$968='Résultats Projection'!$A18 ) * (DATABASE!$AW$14:$AW$968= AW$4))-ROW(DATABASE!$AV$14)+1,AW$5+3)),"")</f>
        <v/>
      </c>
      <c r="AX18" s="116">
        <f t="array" ref="AX18">IFERROR(_xlfn.SINGLE(INDEX(DATABASE!$AV$14:$BC$968,SUMPRODUCT((ROW(DATABASE!$AV$14:$AV$968)) * (DATABASE!$AV$14:CQ$968='Résultats Projection'!$A18 ) * (DATABASE!$AW$14:$AW$968= AX$4))-ROW(DATABASE!$AV$14)+1,AX$5+3)),"")</f>
        <v/>
      </c>
      <c r="AY18" s="116">
        <f t="array" ref="AY18">IFERROR(_xlfn.SINGLE(INDEX(DATABASE!$AV$14:$BC$968,SUMPRODUCT((ROW(DATABASE!$AV$14:$AV$968)) * (DATABASE!$AV$14:CR$968='Résultats Projection'!$A18 ) * (DATABASE!$AW$14:$AW$968= AY$4))-ROW(DATABASE!$AV$14)+1,AY$5+3)),"")</f>
        <v/>
      </c>
      <c r="AZ18" s="116">
        <f t="array" ref="AZ18">IFERROR(_xlfn.SINGLE(INDEX(DATABASE!$AV$14:$BC$968,SUMPRODUCT((ROW(DATABASE!$AV$14:$AV$968)) * (DATABASE!$AV$14:CS$968='Résultats Projection'!$A18 ) * (DATABASE!$AW$14:$AW$968= AZ$4))-ROW(DATABASE!$AV$14)+1,AZ$5+3)),"")</f>
        <v/>
      </c>
      <c r="BA18" s="116">
        <f t="array" ref="BA18">IFERROR(_xlfn.SINGLE(INDEX(DATABASE!$AV$14:$BC$968,SUMPRODUCT((ROW(DATABASE!$AV$14:$AV$968)) * (DATABASE!$AV$14:CT$968='Résultats Projection'!$A18 ) * (DATABASE!$AW$14:$AW$968= BA$4))-ROW(DATABASE!$AV$14)+1,BA$5+3)),"")</f>
        <v/>
      </c>
      <c r="BB18" s="116">
        <f t="array" ref="BB18">IFERROR(_xlfn.SINGLE(INDEX(DATABASE!$AV$14:$BC$968,SUMPRODUCT((ROW(DATABASE!$AV$14:$AV$968)) * (DATABASE!$AV$14:CU$968='Résultats Projection'!$A18 ) * (DATABASE!$AW$14:$AW$968= BB$4))-ROW(DATABASE!$AV$14)+1,BB$5+3)),"")</f>
        <v/>
      </c>
      <c r="BC18" s="116">
        <f t="array" ref="BC18">IFERROR(_xlfn.SINGLE(INDEX(DATABASE!$AV$14:$BC$968,SUMPRODUCT((ROW(DATABASE!$AV$14:$AV$968)) * (DATABASE!$AV$14:CV$968='Résultats Projection'!$A18 ) * (DATABASE!$AW$14:$AW$968= BC$4))-ROW(DATABASE!$AV$14)+1,BC$5+3)),"")</f>
        <v/>
      </c>
      <c r="BD18" s="116">
        <f t="array" ref="BD18">IFERROR(_xlfn.SINGLE(INDEX(DATABASE!$AV$14:$BC$968,SUMPRODUCT((ROW(DATABASE!$AV$14:$AV$968)) * (DATABASE!$AV$14:CW$968='Résultats Projection'!$A18 ) * (DATABASE!$AW$14:$AW$968= BD$4))-ROW(DATABASE!$AV$14)+1,BD$5+3)),"")</f>
        <v/>
      </c>
      <c r="BE18" s="116">
        <f t="array" ref="BE18">IFERROR(_xlfn.SINGLE(INDEX(DATABASE!$AV$14:$BC$968,SUMPRODUCT((ROW(DATABASE!$AV$14:$AV$968)) * (DATABASE!$AV$14:CX$968='Résultats Projection'!$A18 ) * (DATABASE!$AW$14:$AW$968= BE$4))-ROW(DATABASE!$AV$14)+1,BE$5+3)),"")</f>
        <v/>
      </c>
      <c r="BF18" s="116">
        <f t="array" ref="BF18">IFERROR(_xlfn.SINGLE(INDEX(DATABASE!$AV$14:$BC$968,SUMPRODUCT((ROW(DATABASE!$AV$14:$AV$968)) * (DATABASE!$AV$14:CY$968='Résultats Projection'!$A18 ) * (DATABASE!$AW$14:$AW$968= BF$4))-ROW(DATABASE!$AV$14)+1,BF$5+3)),"")</f>
        <v/>
      </c>
      <c r="BG18" s="116">
        <f t="array" ref="BG18">IFERROR(_xlfn.SINGLE(INDEX(DATABASE!$AV$14:$BC$968,SUMPRODUCT((ROW(DATABASE!$AV$14:$AV$968)) * (DATABASE!$AV$14:CZ$968='Résultats Projection'!$A18 ) * (DATABASE!$AW$14:$AW$968= BG$4))-ROW(DATABASE!$AV$14)+1,BG$5+3)),"")</f>
        <v/>
      </c>
      <c r="BH18" s="116">
        <f t="array" ref="BH18">IFERROR(_xlfn.SINGLE(INDEX(DATABASE!$AV$14:$BC$968,SUMPRODUCT((ROW(DATABASE!$AV$14:$AV$968)) * (DATABASE!$AV$14:DA$968='Résultats Projection'!$A18 ) * (DATABASE!$AW$14:$AW$968= BH$4))-ROW(DATABASE!$AV$14)+1,BH$5+3)),"")</f>
        <v/>
      </c>
      <c r="BI18" s="116">
        <f t="array" ref="BI18">IFERROR(_xlfn.SINGLE(INDEX(DATABASE!$AV$14:$BC$968,SUMPRODUCT((ROW(DATABASE!$AV$14:$AV$968)) * (DATABASE!$AV$14:DB$968='Résultats Projection'!$A18 ) * (DATABASE!$AW$14:$AW$968= BI$4))-ROW(DATABASE!$AV$14)+1,BI$5+3)),"")</f>
        <v/>
      </c>
      <c r="BJ18" s="116">
        <f t="array" ref="BJ18">IFERROR(_xlfn.SINGLE(INDEX(DATABASE!$AV$14:$BC$968,SUMPRODUCT((ROW(DATABASE!$AV$14:$AV$968)) * (DATABASE!$AV$14:DC$968='Résultats Projection'!$A18 ) * (DATABASE!$AW$14:$AW$968= BJ$4))-ROW(DATABASE!$AV$14)+1,BJ$5+3)),"")</f>
        <v/>
      </c>
    </row>
    <row r="19" ht="29.25" customFormat="1" customHeight="1" s="28">
      <c r="A19" s="42" t="n">
        <v>45559</v>
      </c>
      <c r="B19" s="8">
        <f>A19-A$10</f>
        <v/>
      </c>
      <c r="C19" s="116">
        <f t="array" ref="C19">IFERROR(_xlfn.SINGLE(INDEX(DATABASE!$AV$14:$BC$968,SUMPRODUCT((ROW(DATABASE!$AV$14:$AV$968)) * (DATABASE!AV$14:$AV$968='Résultats Projection'!$A19 ) * (DATABASE!$AW$14:$AW$968= C$4))-ROW(DATABASE!$AV$14)+1,C$5+3)),"")</f>
        <v/>
      </c>
      <c r="D19" s="116">
        <f t="array" ref="D19">IFERROR(_xlfn.SINGLE(INDEX(DATABASE!$AV$14:$BC$968,SUMPRODUCT((ROW(DATABASE!$AV$14:$AV$968)) * (DATABASE!$AV$14:AW$968='Résultats Projection'!$A19 ) * (DATABASE!$AW$14:$AW$968= D$4))-ROW(DATABASE!$AV$14)+1,D$5+3)),"")</f>
        <v/>
      </c>
      <c r="E19" s="116">
        <f t="array" ref="E19">IFERROR(_xlfn.SINGLE(INDEX(DATABASE!$AV$14:$BC$968,SUMPRODUCT((ROW(DATABASE!$AV$14:$AV$968)) * (DATABASE!$AV$14:AX$968='Résultats Projection'!$A19 ) * (DATABASE!$AW$14:$AW$968= E$4))-ROW(DATABASE!$AV$14)+1,E$5+3)),"")</f>
        <v/>
      </c>
      <c r="F19" s="116">
        <f t="array" ref="F19">IFERROR(_xlfn.SINGLE(INDEX(DATABASE!$AV$14:$BC$968,SUMPRODUCT((ROW(DATABASE!$AV$14:$AV$968)) * (DATABASE!$AV$14:AY$968='Résultats Projection'!$A19 ) * (DATABASE!$AW$14:$AW$968= F$4))-ROW(DATABASE!$AV$14)+1,F$5+3)),"")</f>
        <v/>
      </c>
      <c r="G19" s="116">
        <f t="array" ref="G19">IFERROR(_xlfn.SINGLE(INDEX(DATABASE!$AV$14:$BC$968,SUMPRODUCT((ROW(DATABASE!$AV$14:$AV$968)) * (DATABASE!$AV$14:AZ$968='Résultats Projection'!$A19 ) * (DATABASE!$AW$14:$AW$968= G$4))-ROW(DATABASE!$AV$14)+1,G$5+3)),"")</f>
        <v/>
      </c>
      <c r="H19" s="116">
        <f t="array" ref="H19">IFERROR(_xlfn.SINGLE(INDEX(DATABASE!$AV$14:$BC$968,SUMPRODUCT((ROW(DATABASE!$AV$14:$AV$968)) * (DATABASE!$AV$14:BA$968='Résultats Projection'!$A19 ) * (DATABASE!$AW$14:$AW$968= H$4))-ROW(DATABASE!$AV$14)+1,H$5+3)),"")</f>
        <v/>
      </c>
      <c r="I19" s="116">
        <f t="array" ref="I19">IFERROR(_xlfn.SINGLE(INDEX(DATABASE!$AV$14:$BC$968,SUMPRODUCT((ROW(DATABASE!$AV$14:$AV$968)) * (DATABASE!$AV$14:BB$968='Résultats Projection'!$A19 ) * (DATABASE!$AW$14:$AW$968= I$4))-ROW(DATABASE!$AV$14)+1,I$5+3)),"")</f>
        <v/>
      </c>
      <c r="J19" s="116">
        <f t="array" ref="J19">IFERROR(_xlfn.SINGLE(INDEX(DATABASE!$AV$14:$BC$968,SUMPRODUCT((ROW(DATABASE!$AV$14:$AV$968)) * (DATABASE!$AV$14:BC$968='Résultats Projection'!$A19 ) * (DATABASE!$AW$14:$AW$968= J$4))-ROW(DATABASE!$AV$14)+1,J$5+3)),"")</f>
        <v/>
      </c>
      <c r="K19" s="116">
        <f t="array" ref="K19">IFERROR(_xlfn.SINGLE(INDEX(DATABASE!$AV$14:$BC$968,SUMPRODUCT((ROW(DATABASE!$AV$14:$AV$968)) * (DATABASE!$AV$14:BD$968='Résultats Projection'!$A19 ) * (DATABASE!$AW$14:$AW$968= K$4))-ROW(DATABASE!$AV$14)+1,K$5+3)),"")</f>
        <v/>
      </c>
      <c r="L19" s="116">
        <f t="array" ref="L19">IFERROR(_xlfn.SINGLE(INDEX(DATABASE!$AV$14:$BC$968,SUMPRODUCT((ROW(DATABASE!$AV$14:$AV$968)) * (DATABASE!$AV$14:BE$968='Résultats Projection'!$A19 ) * (DATABASE!$AW$14:$AW$968= L$4))-ROW(DATABASE!$AV$14)+1,L$5+3)),"")</f>
        <v/>
      </c>
      <c r="M19" s="116">
        <f t="array" ref="M19">IFERROR(_xlfn.SINGLE(INDEX(DATABASE!$AV$14:$BC$968,SUMPRODUCT((ROW(DATABASE!$AV$14:$AV$968)) * (DATABASE!$AV$14:BF$968='Résultats Projection'!$A19 ) * (DATABASE!$AW$14:$AW$968= M$4))-ROW(DATABASE!$AV$14)+1,M$5+3)),"")</f>
        <v/>
      </c>
      <c r="N19" s="116">
        <f t="array" ref="N19">IFERROR(_xlfn.SINGLE(INDEX(DATABASE!$AV$14:$BC$968,SUMPRODUCT((ROW(DATABASE!$AV$14:$AV$968)) * (DATABASE!$AV$14:BG$968='Résultats Projection'!$A19 ) * (DATABASE!$AW$14:$AW$968= N$4))-ROW(DATABASE!$AV$14)+1,N$5+3)),"")</f>
        <v/>
      </c>
      <c r="O19" s="116">
        <f t="array" ref="O19">IFERROR(_xlfn.SINGLE(INDEX(DATABASE!$AV$14:$BC$968,SUMPRODUCT((ROW(DATABASE!$AV$14:$AV$968)) * (DATABASE!$AV$14:BH$968='Résultats Projection'!$A19 ) * (DATABASE!$AW$14:$AW$968= O$4))-ROW(DATABASE!$AV$14)+1,O$5+3)),"")</f>
        <v/>
      </c>
      <c r="P19" s="116">
        <f t="array" ref="P19">IFERROR(_xlfn.SINGLE(INDEX(DATABASE!$AV$14:$BC$968,SUMPRODUCT((ROW(DATABASE!$AV$14:$AV$968)) * (DATABASE!$AV$14:BI$968='Résultats Projection'!$A19 ) * (DATABASE!$AW$14:$AW$968= P$4))-ROW(DATABASE!$AV$14)+1,P$5+3)),"")</f>
        <v/>
      </c>
      <c r="Q19" s="116">
        <f t="array" ref="Q19">IFERROR(_xlfn.SINGLE(INDEX(DATABASE!$AV$14:$BC$968,SUMPRODUCT((ROW(DATABASE!$AV$14:$AV$968)) * (DATABASE!$AV$14:BJ$968='Résultats Projection'!$A19 ) * (DATABASE!$AW$14:$AW$968= Q$4))-ROW(DATABASE!$AV$14)+1,Q$5+3)),"")</f>
        <v/>
      </c>
      <c r="R19" s="116">
        <f t="array" ref="R19">IFERROR(_xlfn.SINGLE(INDEX(DATABASE!$AV$14:$BC$968,SUMPRODUCT((ROW(DATABASE!$AV$14:$AV$968)) * (DATABASE!$AV$14:BK$968='Résultats Projection'!$A19 ) * (DATABASE!$AW$14:$AW$968= R$4))-ROW(DATABASE!$AV$14)+1,R$5+3)),"")</f>
        <v/>
      </c>
      <c r="S19" s="116">
        <f t="array" ref="S19">IFERROR(_xlfn.SINGLE(INDEX(DATABASE!$AV$14:$BC$968,SUMPRODUCT((ROW(DATABASE!$AV$14:$AV$968)) * (DATABASE!$AV$14:BL$968='Résultats Projection'!$A19 ) * (DATABASE!$AW$14:$AW$968= S$4))-ROW(DATABASE!$AV$14)+1,S$5+3)),"")</f>
        <v/>
      </c>
      <c r="T19" s="116">
        <f t="array" ref="T19">IFERROR(_xlfn.SINGLE(INDEX(DATABASE!$AV$14:$BC$968,SUMPRODUCT((ROW(DATABASE!$AV$14:$AV$968)) * (DATABASE!$AV$14:BM$968='Résultats Projection'!$A19 ) * (DATABASE!$AW$14:$AW$968= T$4))-ROW(DATABASE!$AV$14)+1,T$5+3)),"")</f>
        <v/>
      </c>
      <c r="U19" s="116">
        <f t="array" ref="U19">IFERROR(_xlfn.SINGLE(INDEX(DATABASE!$AV$14:$BC$968,SUMPRODUCT((ROW(DATABASE!$AV$14:$AV$968)) * (DATABASE!$AV$14:BN$968='Résultats Projection'!$A19 ) * (DATABASE!$AW$14:$AW$968= U$4))-ROW(DATABASE!$AV$14)+1,U$5+3)),"")</f>
        <v/>
      </c>
      <c r="V19" s="116">
        <f t="array" ref="V19">IFERROR(_xlfn.SINGLE(INDEX(DATABASE!$AV$14:$BC$968,SUMPRODUCT((ROW(DATABASE!$AV$14:$AV$968)) * (DATABASE!$AV$14:BO$968='Résultats Projection'!$A19 ) * (DATABASE!$AW$14:$AW$968= V$4))-ROW(DATABASE!$AV$14)+1,V$5+3)),"")</f>
        <v/>
      </c>
      <c r="W19" s="116">
        <f t="array" ref="W19">IFERROR(_xlfn.SINGLE(INDEX(DATABASE!$AV$14:$BC$968,SUMPRODUCT((ROW(DATABASE!$AV$14:$AV$968)) * (DATABASE!$AV$14:BP$968='Résultats Projection'!$A19 ) * (DATABASE!$AW$14:$AW$968= W$4))-ROW(DATABASE!$AV$14)+1,W$5+3)),"")</f>
        <v/>
      </c>
      <c r="X19" s="116">
        <f t="array" ref="X19">IFERROR(_xlfn.SINGLE(INDEX(DATABASE!$AV$14:$BC$968,SUMPRODUCT((ROW(DATABASE!$AV$14:$AV$968)) * (DATABASE!$AV$14:BQ$968='Résultats Projection'!$A19 ) * (DATABASE!$AW$14:$AW$968= X$4))-ROW(DATABASE!$AV$14)+1,X$5+3)),"")</f>
        <v/>
      </c>
      <c r="Y19" s="116">
        <f t="array" ref="Y19">IFERROR(_xlfn.SINGLE(INDEX(DATABASE!$AV$14:$BC$968,SUMPRODUCT((ROW(DATABASE!$AV$14:$AV$968)) * (DATABASE!$AV$14:BR$968='Résultats Projection'!$A19 ) * (DATABASE!$AW$14:$AW$968= Y$4))-ROW(DATABASE!$AV$14)+1,Y$5+3)),"")</f>
        <v/>
      </c>
      <c r="Z19" s="116">
        <f t="array" ref="Z19">IFERROR(_xlfn.SINGLE(INDEX(DATABASE!$AV$14:$BC$968,SUMPRODUCT((ROW(DATABASE!$AV$14:$AV$968)) * (DATABASE!$AV$14:BS$968='Résultats Projection'!$A19 ) * (DATABASE!$AW$14:$AW$968= Z$4))-ROW(DATABASE!$AV$14)+1,Z$5+3)),"")</f>
        <v/>
      </c>
      <c r="AA19" s="116">
        <f t="array" ref="AA19">IFERROR(_xlfn.SINGLE(INDEX(DATABASE!$AV$14:$BC$968,SUMPRODUCT((ROW(DATABASE!$AV$14:$AV$968)) * (DATABASE!$AV$14:BT$968='Résultats Projection'!$A19 ) * (DATABASE!$AW$14:$AW$968= AA$4))-ROW(DATABASE!$AV$14)+1,AA$5+3)),"")</f>
        <v/>
      </c>
      <c r="AB19" s="116">
        <f t="array" ref="AB19">IFERROR(_xlfn.SINGLE(INDEX(DATABASE!$AV$14:$BC$968,SUMPRODUCT((ROW(DATABASE!$AV$14:$AV$968)) * (DATABASE!$AV$14:BU$968='Résultats Projection'!$A19 ) * (DATABASE!$AW$14:$AW$968= AB$4))-ROW(DATABASE!$AV$14)+1,AB$5+3)),"")</f>
        <v/>
      </c>
      <c r="AC19" s="116">
        <f t="array" ref="AC19">IFERROR(_xlfn.SINGLE(INDEX(DATABASE!$AV$14:$BC$968,SUMPRODUCT((ROW(DATABASE!$AV$14:$AV$968)) * (DATABASE!$AV$14:BV$968='Résultats Projection'!$A19 ) * (DATABASE!$AW$14:$AW$968= AC$4))-ROW(DATABASE!$AV$14)+1,AC$5+3)),"")</f>
        <v/>
      </c>
      <c r="AD19" s="116">
        <f t="array" ref="AD19">IFERROR(_xlfn.SINGLE(INDEX(DATABASE!$AV$14:$BC$968,SUMPRODUCT((ROW(DATABASE!$AV$14:$AV$968)) * (DATABASE!$AV$14:BW$968='Résultats Projection'!$A19 ) * (DATABASE!$AW$14:$AW$968= AD$4))-ROW(DATABASE!$AV$14)+1,AD$5+3)),"")</f>
        <v/>
      </c>
      <c r="AE19" s="116">
        <f t="array" ref="AE19">IFERROR(_xlfn.SINGLE(INDEX(DATABASE!$AV$14:$BC$968,SUMPRODUCT((ROW(DATABASE!$AV$14:$AV$968)) * (DATABASE!$AV$14:BX$968='Résultats Projection'!$A19 ) * (DATABASE!$AW$14:$AW$968= AE$4))-ROW(DATABASE!$AV$14)+1,AE$5+3)),"")</f>
        <v/>
      </c>
      <c r="AF19" s="116">
        <f t="array" ref="AF19">IFERROR(_xlfn.SINGLE(INDEX(DATABASE!$AV$14:$BC$968,SUMPRODUCT((ROW(DATABASE!$AV$14:$AV$968)) * (DATABASE!$AV$14:BY$968='Résultats Projection'!$A19 ) * (DATABASE!$AW$14:$AW$968= AF$4))-ROW(DATABASE!$AV$14)+1,AF$5+3)),"")</f>
        <v/>
      </c>
      <c r="AG19" s="116">
        <f t="array" ref="AG19">IFERROR(_xlfn.SINGLE(INDEX(DATABASE!$AV$14:$BC$968,SUMPRODUCT((ROW(DATABASE!$AV$14:$AV$968)) * (DATABASE!$AV$14:BZ$968='Résultats Projection'!$A19 ) * (DATABASE!$AW$14:$AW$968= AG$4))-ROW(DATABASE!$AV$14)+1,AG$5+3)),"")</f>
        <v/>
      </c>
      <c r="AH19" s="116">
        <f t="array" ref="AH19">IFERROR(_xlfn.SINGLE(INDEX(DATABASE!$AV$14:$BC$968,SUMPRODUCT((ROW(DATABASE!$AV$14:$AV$968)) * (DATABASE!$AV$14:CA$968='Résultats Projection'!$A19 ) * (DATABASE!$AW$14:$AW$968= AH$4))-ROW(DATABASE!$AV$14)+1,AH$5+3)),"")</f>
        <v/>
      </c>
      <c r="AI19" s="116">
        <f t="array" ref="AI19">IFERROR(_xlfn.SINGLE(INDEX(DATABASE!$AV$14:$BC$968,SUMPRODUCT((ROW(DATABASE!$AV$14:$AV$968)) * (DATABASE!$AV$14:CB$968='Résultats Projection'!$A19 ) * (DATABASE!$AW$14:$AW$968= AI$4))-ROW(DATABASE!$AV$14)+1,AI$5+3)),"")</f>
        <v/>
      </c>
      <c r="AJ19" s="116">
        <f t="array" ref="AJ19">IFERROR(_xlfn.SINGLE(INDEX(DATABASE!$AV$14:$BC$968,SUMPRODUCT((ROW(DATABASE!$AV$14:$AV$968)) * (DATABASE!$AV$14:CC$968='Résultats Projection'!$A19 ) * (DATABASE!$AW$14:$AW$968= AJ$4))-ROW(DATABASE!$AV$14)+1,AJ$5+3)),"")</f>
        <v/>
      </c>
      <c r="AK19" s="116">
        <f t="array" ref="AK19">IFERROR(_xlfn.SINGLE(INDEX(DATABASE!$AV$14:$BC$968,SUMPRODUCT((ROW(DATABASE!$AV$14:$AV$968)) * (DATABASE!$AV$14:CD$968='Résultats Projection'!$A19 ) * (DATABASE!$AW$14:$AW$968= AK$4))-ROW(DATABASE!$AV$14)+1,AK$5+3)),"")</f>
        <v/>
      </c>
      <c r="AL19" s="116">
        <f t="array" ref="AL19">IFERROR(_xlfn.SINGLE(INDEX(DATABASE!$AV$14:$BC$968,SUMPRODUCT((ROW(DATABASE!$AV$14:$AV$968)) * (DATABASE!$AV$14:CE$968='Résultats Projection'!$A19 ) * (DATABASE!$AW$14:$AW$968= AL$4))-ROW(DATABASE!$AV$14)+1,AL$5+3)),"")</f>
        <v/>
      </c>
      <c r="AM19" s="116">
        <f t="array" ref="AM19">IFERROR(_xlfn.SINGLE(INDEX(DATABASE!$AV$14:$BC$968,SUMPRODUCT((ROW(DATABASE!$AV$14:$AV$968)) * (DATABASE!$AV$14:CF$968='Résultats Projection'!$A19 ) * (DATABASE!$AW$14:$AW$968= AM$4))-ROW(DATABASE!$AV$14)+1,AM$5+3)),"")</f>
        <v/>
      </c>
      <c r="AN19" s="116">
        <f t="array" ref="AN19">IFERROR(_xlfn.SINGLE(INDEX(DATABASE!$AV$14:$BC$968,SUMPRODUCT((ROW(DATABASE!$AV$14:$AV$968)) * (DATABASE!$AV$14:CG$968='Résultats Projection'!$A19 ) * (DATABASE!$AW$14:$AW$968= AN$4))-ROW(DATABASE!$AV$14)+1,AN$5+3)),"")</f>
        <v/>
      </c>
      <c r="AO19" s="116">
        <f t="array" ref="AO19">IFERROR(_xlfn.SINGLE(INDEX(DATABASE!$AV$14:$BC$968,SUMPRODUCT((ROW(DATABASE!$AV$14:$AV$968)) * (DATABASE!$AV$14:CH$968='Résultats Projection'!$A19 ) * (DATABASE!$AW$14:$AW$968= AO$4))-ROW(DATABASE!$AV$14)+1,AO$5+3)),"")</f>
        <v/>
      </c>
      <c r="AP19" s="116">
        <f t="array" ref="AP19">IFERROR(_xlfn.SINGLE(INDEX(DATABASE!$AV$14:$BC$968,SUMPRODUCT((ROW(DATABASE!$AV$14:$AV$968)) * (DATABASE!$AV$14:CI$968='Résultats Projection'!$A19 ) * (DATABASE!$AW$14:$AW$968= AP$4))-ROW(DATABASE!$AV$14)+1,AP$5+3)),"")</f>
        <v/>
      </c>
      <c r="AQ19" s="116">
        <f t="array" ref="AQ19">IFERROR(_xlfn.SINGLE(INDEX(DATABASE!$AV$14:$BC$968,SUMPRODUCT((ROW(DATABASE!$AV$14:$AV$968)) * (DATABASE!$AV$14:CJ$968='Résultats Projection'!$A19 ) * (DATABASE!$AW$14:$AW$968= AQ$4))-ROW(DATABASE!$AV$14)+1,AQ$5+3)),"")</f>
        <v/>
      </c>
      <c r="AR19" s="116">
        <f t="array" ref="AR19">IFERROR(_xlfn.SINGLE(INDEX(DATABASE!$AV$14:$BC$968,SUMPRODUCT((ROW(DATABASE!$AV$14:$AV$968)) * (DATABASE!$AV$14:CK$968='Résultats Projection'!$A19 ) * (DATABASE!$AW$14:$AW$968= AR$4))-ROW(DATABASE!$AV$14)+1,AR$5+3)),"")</f>
        <v/>
      </c>
      <c r="AS19" s="116">
        <f t="array" ref="AS19">IFERROR(_xlfn.SINGLE(INDEX(DATABASE!$AV$14:$BC$968,SUMPRODUCT((ROW(DATABASE!$AV$14:$AV$968)) * (DATABASE!$AV$14:CL$968='Résultats Projection'!$A19 ) * (DATABASE!$AW$14:$AW$968= AS$4))-ROW(DATABASE!$AV$14)+1,AS$5+3)),"")</f>
        <v/>
      </c>
      <c r="AT19" s="116">
        <f t="array" ref="AT19">IFERROR(_xlfn.SINGLE(INDEX(DATABASE!$AV$14:$BC$968,SUMPRODUCT((ROW(DATABASE!$AV$14:$AV$968)) * (DATABASE!$AV$14:CM$968='Résultats Projection'!$A19 ) * (DATABASE!$AW$14:$AW$968= AT$4))-ROW(DATABASE!$AV$14)+1,AT$5+3)),"")</f>
        <v/>
      </c>
      <c r="AU19" s="116">
        <f t="array" ref="AU19">IFERROR(_xlfn.SINGLE(INDEX(DATABASE!$AV$14:$BC$968,SUMPRODUCT((ROW(DATABASE!$AV$14:$AV$968)) * (DATABASE!$AV$14:CN$968='Résultats Projection'!$A19 ) * (DATABASE!$AW$14:$AW$968= AU$4))-ROW(DATABASE!$AV$14)+1,AU$5+3)),"")</f>
        <v/>
      </c>
      <c r="AV19" s="116">
        <f t="array" ref="AV19">IFERROR(_xlfn.SINGLE(INDEX(DATABASE!$AV$14:$BC$968,SUMPRODUCT((ROW(DATABASE!$AV$14:$AV$968)) * (DATABASE!$AV$14:CO$968='Résultats Projection'!$A19 ) * (DATABASE!$AW$14:$AW$968= AV$4))-ROW(DATABASE!$AV$14)+1,AV$5+3)),"")</f>
        <v/>
      </c>
      <c r="AW19" s="116">
        <f t="array" ref="AW19">IFERROR(_xlfn.SINGLE(INDEX(DATABASE!$AV$14:$BC$968,SUMPRODUCT((ROW(DATABASE!$AV$14:$AV$968)) * (DATABASE!$AV$14:CP$968='Résultats Projection'!$A19 ) * (DATABASE!$AW$14:$AW$968= AW$4))-ROW(DATABASE!$AV$14)+1,AW$5+3)),"")</f>
        <v/>
      </c>
      <c r="AX19" s="116">
        <f t="array" ref="AX19">IFERROR(_xlfn.SINGLE(INDEX(DATABASE!$AV$14:$BC$968,SUMPRODUCT((ROW(DATABASE!$AV$14:$AV$968)) * (DATABASE!$AV$14:CQ$968='Résultats Projection'!$A19 ) * (DATABASE!$AW$14:$AW$968= AX$4))-ROW(DATABASE!$AV$14)+1,AX$5+3)),"")</f>
        <v/>
      </c>
      <c r="AY19" s="116">
        <f t="array" ref="AY19">IFERROR(_xlfn.SINGLE(INDEX(DATABASE!$AV$14:$BC$968,SUMPRODUCT((ROW(DATABASE!$AV$14:$AV$968)) * (DATABASE!$AV$14:CR$968='Résultats Projection'!$A19 ) * (DATABASE!$AW$14:$AW$968= AY$4))-ROW(DATABASE!$AV$14)+1,AY$5+3)),"")</f>
        <v/>
      </c>
      <c r="AZ19" s="116">
        <f t="array" ref="AZ19">IFERROR(_xlfn.SINGLE(INDEX(DATABASE!$AV$14:$BC$968,SUMPRODUCT((ROW(DATABASE!$AV$14:$AV$968)) * (DATABASE!$AV$14:CS$968='Résultats Projection'!$A19 ) * (DATABASE!$AW$14:$AW$968= AZ$4))-ROW(DATABASE!$AV$14)+1,AZ$5+3)),"")</f>
        <v/>
      </c>
      <c r="BA19" s="116">
        <f t="array" ref="BA19">IFERROR(_xlfn.SINGLE(INDEX(DATABASE!$AV$14:$BC$968,SUMPRODUCT((ROW(DATABASE!$AV$14:$AV$968)) * (DATABASE!$AV$14:CT$968='Résultats Projection'!$A19 ) * (DATABASE!$AW$14:$AW$968= BA$4))-ROW(DATABASE!$AV$14)+1,BA$5+3)),"")</f>
        <v/>
      </c>
      <c r="BB19" s="116">
        <f t="array" ref="BB19">IFERROR(_xlfn.SINGLE(INDEX(DATABASE!$AV$14:$BC$968,SUMPRODUCT((ROW(DATABASE!$AV$14:$AV$968)) * (DATABASE!$AV$14:CU$968='Résultats Projection'!$A19 ) * (DATABASE!$AW$14:$AW$968= BB$4))-ROW(DATABASE!$AV$14)+1,BB$5+3)),"")</f>
        <v/>
      </c>
      <c r="BC19" s="116">
        <f t="array" ref="BC19">IFERROR(_xlfn.SINGLE(INDEX(DATABASE!$AV$14:$BC$968,SUMPRODUCT((ROW(DATABASE!$AV$14:$AV$968)) * (DATABASE!$AV$14:CV$968='Résultats Projection'!$A19 ) * (DATABASE!$AW$14:$AW$968= BC$4))-ROW(DATABASE!$AV$14)+1,BC$5+3)),"")</f>
        <v/>
      </c>
      <c r="BD19" s="116">
        <f t="array" ref="BD19">IFERROR(_xlfn.SINGLE(INDEX(DATABASE!$AV$14:$BC$968,SUMPRODUCT((ROW(DATABASE!$AV$14:$AV$968)) * (DATABASE!$AV$14:CW$968='Résultats Projection'!$A19 ) * (DATABASE!$AW$14:$AW$968= BD$4))-ROW(DATABASE!$AV$14)+1,BD$5+3)),"")</f>
        <v/>
      </c>
      <c r="BE19" s="116">
        <f t="array" ref="BE19">IFERROR(_xlfn.SINGLE(INDEX(DATABASE!$AV$14:$BC$968,SUMPRODUCT((ROW(DATABASE!$AV$14:$AV$968)) * (DATABASE!$AV$14:CX$968='Résultats Projection'!$A19 ) * (DATABASE!$AW$14:$AW$968= BE$4))-ROW(DATABASE!$AV$14)+1,BE$5+3)),"")</f>
        <v/>
      </c>
      <c r="BF19" s="116">
        <f t="array" ref="BF19">IFERROR(_xlfn.SINGLE(INDEX(DATABASE!$AV$14:$BC$968,SUMPRODUCT((ROW(DATABASE!$AV$14:$AV$968)) * (DATABASE!$AV$14:CY$968='Résultats Projection'!$A19 ) * (DATABASE!$AW$14:$AW$968= BF$4))-ROW(DATABASE!$AV$14)+1,BF$5+3)),"")</f>
        <v/>
      </c>
      <c r="BG19" s="116">
        <f t="array" ref="BG19">IFERROR(_xlfn.SINGLE(INDEX(DATABASE!$AV$14:$BC$968,SUMPRODUCT((ROW(DATABASE!$AV$14:$AV$968)) * (DATABASE!$AV$14:CZ$968='Résultats Projection'!$A19 ) * (DATABASE!$AW$14:$AW$968= BG$4))-ROW(DATABASE!$AV$14)+1,BG$5+3)),"")</f>
        <v/>
      </c>
      <c r="BH19" s="116">
        <f t="array" ref="BH19">IFERROR(_xlfn.SINGLE(INDEX(DATABASE!$AV$14:$BC$968,SUMPRODUCT((ROW(DATABASE!$AV$14:$AV$968)) * (DATABASE!$AV$14:DA$968='Résultats Projection'!$A19 ) * (DATABASE!$AW$14:$AW$968= BH$4))-ROW(DATABASE!$AV$14)+1,BH$5+3)),"")</f>
        <v/>
      </c>
      <c r="BI19" s="116">
        <f t="array" ref="BI19">IFERROR(_xlfn.SINGLE(INDEX(DATABASE!$AV$14:$BC$968,SUMPRODUCT((ROW(DATABASE!$AV$14:$AV$968)) * (DATABASE!$AV$14:DB$968='Résultats Projection'!$A19 ) * (DATABASE!$AW$14:$AW$968= BI$4))-ROW(DATABASE!$AV$14)+1,BI$5+3)),"")</f>
        <v/>
      </c>
      <c r="BJ19" s="116">
        <f t="array" ref="BJ19">IFERROR(_xlfn.SINGLE(INDEX(DATABASE!$AV$14:$BC$968,SUMPRODUCT((ROW(DATABASE!$AV$14:$AV$968)) * (DATABASE!$AV$14:DC$968='Résultats Projection'!$A19 ) * (DATABASE!$AW$14:$AW$968= BJ$4))-ROW(DATABASE!$AV$14)+1,BJ$5+3)),"")</f>
        <v/>
      </c>
    </row>
    <row r="20" ht="29.25" customFormat="1" customHeight="1" s="28">
      <c r="A20" s="42" t="n">
        <v>45560</v>
      </c>
      <c r="B20" s="8">
        <f>A20-A$10</f>
        <v/>
      </c>
      <c r="C20" s="116">
        <f t="array" ref="C20">IFERROR(_xlfn.SINGLE(INDEX(DATABASE!$AV$14:$BC$968,SUMPRODUCT((ROW(DATABASE!$AV$14:$AV$968)) * (DATABASE!AV$14:$AV$968='Résultats Projection'!$A20 ) * (DATABASE!$AW$14:$AW$968= C$4))-ROW(DATABASE!$AV$14)+1,C$5+3)),"")</f>
        <v/>
      </c>
      <c r="D20" s="116">
        <f t="array" ref="D20">IFERROR(_xlfn.SINGLE(INDEX(DATABASE!$AV$14:$BC$968,SUMPRODUCT((ROW(DATABASE!$AV$14:$AV$968)) * (DATABASE!$AV$14:AW$968='Résultats Projection'!$A20 ) * (DATABASE!$AW$14:$AW$968= D$4))-ROW(DATABASE!$AV$14)+1,D$5+3)),"")</f>
        <v/>
      </c>
      <c r="E20" s="116">
        <f t="array" ref="E20">IFERROR(_xlfn.SINGLE(INDEX(DATABASE!$AV$14:$BC$968,SUMPRODUCT((ROW(DATABASE!$AV$14:$AV$968)) * (DATABASE!$AV$14:AX$968='Résultats Projection'!$A20 ) * (DATABASE!$AW$14:$AW$968= E$4))-ROW(DATABASE!$AV$14)+1,E$5+3)),"")</f>
        <v/>
      </c>
      <c r="F20" s="116">
        <f t="array" ref="F20">IFERROR(_xlfn.SINGLE(INDEX(DATABASE!$AV$14:$BC$968,SUMPRODUCT((ROW(DATABASE!$AV$14:$AV$968)) * (DATABASE!$AV$14:AY$968='Résultats Projection'!$A20 ) * (DATABASE!$AW$14:$AW$968= F$4))-ROW(DATABASE!$AV$14)+1,F$5+3)),"")</f>
        <v/>
      </c>
      <c r="G20" s="116">
        <f t="array" ref="G20">IFERROR(_xlfn.SINGLE(INDEX(DATABASE!$AV$14:$BC$968,SUMPRODUCT((ROW(DATABASE!$AV$14:$AV$968)) * (DATABASE!$AV$14:AZ$968='Résultats Projection'!$A20 ) * (DATABASE!$AW$14:$AW$968= G$4))-ROW(DATABASE!$AV$14)+1,G$5+3)),"")</f>
        <v/>
      </c>
      <c r="H20" s="116">
        <f t="array" ref="H20">IFERROR(_xlfn.SINGLE(INDEX(DATABASE!$AV$14:$BC$968,SUMPRODUCT((ROW(DATABASE!$AV$14:$AV$968)) * (DATABASE!$AV$14:BA$968='Résultats Projection'!$A20 ) * (DATABASE!$AW$14:$AW$968= H$4))-ROW(DATABASE!$AV$14)+1,H$5+3)),"")</f>
        <v/>
      </c>
      <c r="I20" s="116">
        <f t="array" ref="I20">IFERROR(_xlfn.SINGLE(INDEX(DATABASE!$AV$14:$BC$968,SUMPRODUCT((ROW(DATABASE!$AV$14:$AV$968)) * (DATABASE!$AV$14:BB$968='Résultats Projection'!$A20 ) * (DATABASE!$AW$14:$AW$968= I$4))-ROW(DATABASE!$AV$14)+1,I$5+3)),"")</f>
        <v/>
      </c>
      <c r="J20" s="116">
        <f t="array" ref="J20">IFERROR(_xlfn.SINGLE(INDEX(DATABASE!$AV$14:$BC$968,SUMPRODUCT((ROW(DATABASE!$AV$14:$AV$968)) * (DATABASE!$AV$14:BC$968='Résultats Projection'!$A20 ) * (DATABASE!$AW$14:$AW$968= J$4))-ROW(DATABASE!$AV$14)+1,J$5+3)),"")</f>
        <v/>
      </c>
      <c r="K20" s="116">
        <f t="array" ref="K20">IFERROR(_xlfn.SINGLE(INDEX(DATABASE!$AV$14:$BC$968,SUMPRODUCT((ROW(DATABASE!$AV$14:$AV$968)) * (DATABASE!$AV$14:BD$968='Résultats Projection'!$A20 ) * (DATABASE!$AW$14:$AW$968= K$4))-ROW(DATABASE!$AV$14)+1,K$5+3)),"")</f>
        <v/>
      </c>
      <c r="L20" s="116">
        <f t="array" ref="L20">IFERROR(_xlfn.SINGLE(INDEX(DATABASE!$AV$14:$BC$968,SUMPRODUCT((ROW(DATABASE!$AV$14:$AV$968)) * (DATABASE!$AV$14:BE$968='Résultats Projection'!$A20 ) * (DATABASE!$AW$14:$AW$968= L$4))-ROW(DATABASE!$AV$14)+1,L$5+3)),"")</f>
        <v/>
      </c>
      <c r="M20" s="116">
        <f t="array" ref="M20">IFERROR(_xlfn.SINGLE(INDEX(DATABASE!$AV$14:$BC$968,SUMPRODUCT((ROW(DATABASE!$AV$14:$AV$968)) * (DATABASE!$AV$14:BF$968='Résultats Projection'!$A20 ) * (DATABASE!$AW$14:$AW$968= M$4))-ROW(DATABASE!$AV$14)+1,M$5+3)),"")</f>
        <v/>
      </c>
      <c r="N20" s="116">
        <f t="array" ref="N20">IFERROR(_xlfn.SINGLE(INDEX(DATABASE!$AV$14:$BC$968,SUMPRODUCT((ROW(DATABASE!$AV$14:$AV$968)) * (DATABASE!$AV$14:BG$968='Résultats Projection'!$A20 ) * (DATABASE!$AW$14:$AW$968= N$4))-ROW(DATABASE!$AV$14)+1,N$5+3)),"")</f>
        <v/>
      </c>
      <c r="O20" s="116">
        <f t="array" ref="O20">IFERROR(_xlfn.SINGLE(INDEX(DATABASE!$AV$14:$BC$968,SUMPRODUCT((ROW(DATABASE!$AV$14:$AV$968)) * (DATABASE!$AV$14:BH$968='Résultats Projection'!$A20 ) * (DATABASE!$AW$14:$AW$968= O$4))-ROW(DATABASE!$AV$14)+1,O$5+3)),"")</f>
        <v/>
      </c>
      <c r="P20" s="116">
        <f t="array" ref="P20">IFERROR(_xlfn.SINGLE(INDEX(DATABASE!$AV$14:$BC$968,SUMPRODUCT((ROW(DATABASE!$AV$14:$AV$968)) * (DATABASE!$AV$14:BI$968='Résultats Projection'!$A20 ) * (DATABASE!$AW$14:$AW$968= P$4))-ROW(DATABASE!$AV$14)+1,P$5+3)),"")</f>
        <v/>
      </c>
      <c r="Q20" s="116">
        <f t="array" ref="Q20">IFERROR(_xlfn.SINGLE(INDEX(DATABASE!$AV$14:$BC$968,SUMPRODUCT((ROW(DATABASE!$AV$14:$AV$968)) * (DATABASE!$AV$14:BJ$968='Résultats Projection'!$A20 ) * (DATABASE!$AW$14:$AW$968= Q$4))-ROW(DATABASE!$AV$14)+1,Q$5+3)),"")</f>
        <v/>
      </c>
      <c r="R20" s="116">
        <f t="array" ref="R20">IFERROR(_xlfn.SINGLE(INDEX(DATABASE!$AV$14:$BC$968,SUMPRODUCT((ROW(DATABASE!$AV$14:$AV$968)) * (DATABASE!$AV$14:BK$968='Résultats Projection'!$A20 ) * (DATABASE!$AW$14:$AW$968= R$4))-ROW(DATABASE!$AV$14)+1,R$5+3)),"")</f>
        <v/>
      </c>
      <c r="S20" s="116">
        <f t="array" ref="S20">IFERROR(_xlfn.SINGLE(INDEX(DATABASE!$AV$14:$BC$968,SUMPRODUCT((ROW(DATABASE!$AV$14:$AV$968)) * (DATABASE!$AV$14:BL$968='Résultats Projection'!$A20 ) * (DATABASE!$AW$14:$AW$968= S$4))-ROW(DATABASE!$AV$14)+1,S$5+3)),"")</f>
        <v/>
      </c>
      <c r="T20" s="116">
        <f t="array" ref="T20">IFERROR(_xlfn.SINGLE(INDEX(DATABASE!$AV$14:$BC$968,SUMPRODUCT((ROW(DATABASE!$AV$14:$AV$968)) * (DATABASE!$AV$14:BM$968='Résultats Projection'!$A20 ) * (DATABASE!$AW$14:$AW$968= T$4))-ROW(DATABASE!$AV$14)+1,T$5+3)),"")</f>
        <v/>
      </c>
      <c r="U20" s="116">
        <f t="array" ref="U20">IFERROR(_xlfn.SINGLE(INDEX(DATABASE!$AV$14:$BC$968,SUMPRODUCT((ROW(DATABASE!$AV$14:$AV$968)) * (DATABASE!$AV$14:BN$968='Résultats Projection'!$A20 ) * (DATABASE!$AW$14:$AW$968= U$4))-ROW(DATABASE!$AV$14)+1,U$5+3)),"")</f>
        <v/>
      </c>
      <c r="V20" s="116">
        <f t="array" ref="V20">IFERROR(_xlfn.SINGLE(INDEX(DATABASE!$AV$14:$BC$968,SUMPRODUCT((ROW(DATABASE!$AV$14:$AV$968)) * (DATABASE!$AV$14:BO$968='Résultats Projection'!$A20 ) * (DATABASE!$AW$14:$AW$968= V$4))-ROW(DATABASE!$AV$14)+1,V$5+3)),"")</f>
        <v/>
      </c>
      <c r="W20" s="116">
        <f t="array" ref="W20">IFERROR(_xlfn.SINGLE(INDEX(DATABASE!$AV$14:$BC$968,SUMPRODUCT((ROW(DATABASE!$AV$14:$AV$968)) * (DATABASE!$AV$14:BP$968='Résultats Projection'!$A20 ) * (DATABASE!$AW$14:$AW$968= W$4))-ROW(DATABASE!$AV$14)+1,W$5+3)),"")</f>
        <v/>
      </c>
      <c r="X20" s="116">
        <f t="array" ref="X20">IFERROR(_xlfn.SINGLE(INDEX(DATABASE!$AV$14:$BC$968,SUMPRODUCT((ROW(DATABASE!$AV$14:$AV$968)) * (DATABASE!$AV$14:BQ$968='Résultats Projection'!$A20 ) * (DATABASE!$AW$14:$AW$968= X$4))-ROW(DATABASE!$AV$14)+1,X$5+3)),"")</f>
        <v/>
      </c>
      <c r="Y20" s="116">
        <f t="array" ref="Y20">IFERROR(_xlfn.SINGLE(INDEX(DATABASE!$AV$14:$BC$968,SUMPRODUCT((ROW(DATABASE!$AV$14:$AV$968)) * (DATABASE!$AV$14:BR$968='Résultats Projection'!$A20 ) * (DATABASE!$AW$14:$AW$968= Y$4))-ROW(DATABASE!$AV$14)+1,Y$5+3)),"")</f>
        <v/>
      </c>
      <c r="Z20" s="116">
        <f t="array" ref="Z20">IFERROR(_xlfn.SINGLE(INDEX(DATABASE!$AV$14:$BC$968,SUMPRODUCT((ROW(DATABASE!$AV$14:$AV$968)) * (DATABASE!$AV$14:BS$968='Résultats Projection'!$A20 ) * (DATABASE!$AW$14:$AW$968= Z$4))-ROW(DATABASE!$AV$14)+1,Z$5+3)),"")</f>
        <v/>
      </c>
      <c r="AA20" s="116">
        <f t="array" ref="AA20">IFERROR(_xlfn.SINGLE(INDEX(DATABASE!$AV$14:$BC$968,SUMPRODUCT((ROW(DATABASE!$AV$14:$AV$968)) * (DATABASE!$AV$14:BT$968='Résultats Projection'!$A20 ) * (DATABASE!$AW$14:$AW$968= AA$4))-ROW(DATABASE!$AV$14)+1,AA$5+3)),"")</f>
        <v/>
      </c>
      <c r="AB20" s="116">
        <f t="array" ref="AB20">IFERROR(_xlfn.SINGLE(INDEX(DATABASE!$AV$14:$BC$968,SUMPRODUCT((ROW(DATABASE!$AV$14:$AV$968)) * (DATABASE!$AV$14:BU$968='Résultats Projection'!$A20 ) * (DATABASE!$AW$14:$AW$968= AB$4))-ROW(DATABASE!$AV$14)+1,AB$5+3)),"")</f>
        <v/>
      </c>
      <c r="AC20" s="116">
        <f t="array" ref="AC20">IFERROR(_xlfn.SINGLE(INDEX(DATABASE!$AV$14:$BC$968,SUMPRODUCT((ROW(DATABASE!$AV$14:$AV$968)) * (DATABASE!$AV$14:BV$968='Résultats Projection'!$A20 ) * (DATABASE!$AW$14:$AW$968= AC$4))-ROW(DATABASE!$AV$14)+1,AC$5+3)),"")</f>
        <v/>
      </c>
      <c r="AD20" s="116">
        <f t="array" ref="AD20">IFERROR(_xlfn.SINGLE(INDEX(DATABASE!$AV$14:$BC$968,SUMPRODUCT((ROW(DATABASE!$AV$14:$AV$968)) * (DATABASE!$AV$14:BW$968='Résultats Projection'!$A20 ) * (DATABASE!$AW$14:$AW$968= AD$4))-ROW(DATABASE!$AV$14)+1,AD$5+3)),"")</f>
        <v/>
      </c>
      <c r="AE20" s="116">
        <f t="array" ref="AE20">IFERROR(_xlfn.SINGLE(INDEX(DATABASE!$AV$14:$BC$968,SUMPRODUCT((ROW(DATABASE!$AV$14:$AV$968)) * (DATABASE!$AV$14:BX$968='Résultats Projection'!$A20 ) * (DATABASE!$AW$14:$AW$968= AE$4))-ROW(DATABASE!$AV$14)+1,AE$5+3)),"")</f>
        <v/>
      </c>
      <c r="AF20" s="116">
        <f t="array" ref="AF20">IFERROR(_xlfn.SINGLE(INDEX(DATABASE!$AV$14:$BC$968,SUMPRODUCT((ROW(DATABASE!$AV$14:$AV$968)) * (DATABASE!$AV$14:BY$968='Résultats Projection'!$A20 ) * (DATABASE!$AW$14:$AW$968= AF$4))-ROW(DATABASE!$AV$14)+1,AF$5+3)),"")</f>
        <v/>
      </c>
      <c r="AG20" s="116">
        <f t="array" ref="AG20">IFERROR(_xlfn.SINGLE(INDEX(DATABASE!$AV$14:$BC$968,SUMPRODUCT((ROW(DATABASE!$AV$14:$AV$968)) * (DATABASE!$AV$14:BZ$968='Résultats Projection'!$A20 ) * (DATABASE!$AW$14:$AW$968= AG$4))-ROW(DATABASE!$AV$14)+1,AG$5+3)),"")</f>
        <v/>
      </c>
      <c r="AH20" s="116">
        <f t="array" ref="AH20">IFERROR(_xlfn.SINGLE(INDEX(DATABASE!$AV$14:$BC$968,SUMPRODUCT((ROW(DATABASE!$AV$14:$AV$968)) * (DATABASE!$AV$14:CA$968='Résultats Projection'!$A20 ) * (DATABASE!$AW$14:$AW$968= AH$4))-ROW(DATABASE!$AV$14)+1,AH$5+3)),"")</f>
        <v/>
      </c>
      <c r="AI20" s="116">
        <f t="array" ref="AI20">IFERROR(_xlfn.SINGLE(INDEX(DATABASE!$AV$14:$BC$968,SUMPRODUCT((ROW(DATABASE!$AV$14:$AV$968)) * (DATABASE!$AV$14:CB$968='Résultats Projection'!$A20 ) * (DATABASE!$AW$14:$AW$968= AI$4))-ROW(DATABASE!$AV$14)+1,AI$5+3)),"")</f>
        <v/>
      </c>
      <c r="AJ20" s="116">
        <f t="array" ref="AJ20">IFERROR(_xlfn.SINGLE(INDEX(DATABASE!$AV$14:$BC$968,SUMPRODUCT((ROW(DATABASE!$AV$14:$AV$968)) * (DATABASE!$AV$14:CC$968='Résultats Projection'!$A20 ) * (DATABASE!$AW$14:$AW$968= AJ$4))-ROW(DATABASE!$AV$14)+1,AJ$5+3)),"")</f>
        <v/>
      </c>
      <c r="AK20" s="116">
        <f t="array" ref="AK20">IFERROR(_xlfn.SINGLE(INDEX(DATABASE!$AV$14:$BC$968,SUMPRODUCT((ROW(DATABASE!$AV$14:$AV$968)) * (DATABASE!$AV$14:CD$968='Résultats Projection'!$A20 ) * (DATABASE!$AW$14:$AW$968= AK$4))-ROW(DATABASE!$AV$14)+1,AK$5+3)),"")</f>
        <v/>
      </c>
      <c r="AL20" s="116">
        <f t="array" ref="AL20">IFERROR(_xlfn.SINGLE(INDEX(DATABASE!$AV$14:$BC$968,SUMPRODUCT((ROW(DATABASE!$AV$14:$AV$968)) * (DATABASE!$AV$14:CE$968='Résultats Projection'!$A20 ) * (DATABASE!$AW$14:$AW$968= AL$4))-ROW(DATABASE!$AV$14)+1,AL$5+3)),"")</f>
        <v/>
      </c>
      <c r="AM20" s="116">
        <f t="array" ref="AM20">IFERROR(_xlfn.SINGLE(INDEX(DATABASE!$AV$14:$BC$968,SUMPRODUCT((ROW(DATABASE!$AV$14:$AV$968)) * (DATABASE!$AV$14:CF$968='Résultats Projection'!$A20 ) * (DATABASE!$AW$14:$AW$968= AM$4))-ROW(DATABASE!$AV$14)+1,AM$5+3)),"")</f>
        <v/>
      </c>
      <c r="AN20" s="116">
        <f t="array" ref="AN20">IFERROR(_xlfn.SINGLE(INDEX(DATABASE!$AV$14:$BC$968,SUMPRODUCT((ROW(DATABASE!$AV$14:$AV$968)) * (DATABASE!$AV$14:CG$968='Résultats Projection'!$A20 ) * (DATABASE!$AW$14:$AW$968= AN$4))-ROW(DATABASE!$AV$14)+1,AN$5+3)),"")</f>
        <v/>
      </c>
      <c r="AO20" s="116">
        <f t="array" ref="AO20">IFERROR(_xlfn.SINGLE(INDEX(DATABASE!$AV$14:$BC$968,SUMPRODUCT((ROW(DATABASE!$AV$14:$AV$968)) * (DATABASE!$AV$14:CH$968='Résultats Projection'!$A20 ) * (DATABASE!$AW$14:$AW$968= AO$4))-ROW(DATABASE!$AV$14)+1,AO$5+3)),"")</f>
        <v/>
      </c>
      <c r="AP20" s="116">
        <f t="array" ref="AP20">IFERROR(_xlfn.SINGLE(INDEX(DATABASE!$AV$14:$BC$968,SUMPRODUCT((ROW(DATABASE!$AV$14:$AV$968)) * (DATABASE!$AV$14:CI$968='Résultats Projection'!$A20 ) * (DATABASE!$AW$14:$AW$968= AP$4))-ROW(DATABASE!$AV$14)+1,AP$5+3)),"")</f>
        <v/>
      </c>
      <c r="AQ20" s="116">
        <f t="array" ref="AQ20">IFERROR(_xlfn.SINGLE(INDEX(DATABASE!$AV$14:$BC$968,SUMPRODUCT((ROW(DATABASE!$AV$14:$AV$968)) * (DATABASE!$AV$14:CJ$968='Résultats Projection'!$A20 ) * (DATABASE!$AW$14:$AW$968= AQ$4))-ROW(DATABASE!$AV$14)+1,AQ$5+3)),"")</f>
        <v/>
      </c>
      <c r="AR20" s="116">
        <f t="array" ref="AR20">IFERROR(_xlfn.SINGLE(INDEX(DATABASE!$AV$14:$BC$968,SUMPRODUCT((ROW(DATABASE!$AV$14:$AV$968)) * (DATABASE!$AV$14:CK$968='Résultats Projection'!$A20 ) * (DATABASE!$AW$14:$AW$968= AR$4))-ROW(DATABASE!$AV$14)+1,AR$5+3)),"")</f>
        <v/>
      </c>
      <c r="AS20" s="116">
        <f t="array" ref="AS20">IFERROR(_xlfn.SINGLE(INDEX(DATABASE!$AV$14:$BC$968,SUMPRODUCT((ROW(DATABASE!$AV$14:$AV$968)) * (DATABASE!$AV$14:CL$968='Résultats Projection'!$A20 ) * (DATABASE!$AW$14:$AW$968= AS$4))-ROW(DATABASE!$AV$14)+1,AS$5+3)),"")</f>
        <v/>
      </c>
      <c r="AT20" s="116">
        <f t="array" ref="AT20">IFERROR(_xlfn.SINGLE(INDEX(DATABASE!$AV$14:$BC$968,SUMPRODUCT((ROW(DATABASE!$AV$14:$AV$968)) * (DATABASE!$AV$14:CM$968='Résultats Projection'!$A20 ) * (DATABASE!$AW$14:$AW$968= AT$4))-ROW(DATABASE!$AV$14)+1,AT$5+3)),"")</f>
        <v/>
      </c>
      <c r="AU20" s="116">
        <f t="array" ref="AU20">IFERROR(_xlfn.SINGLE(INDEX(DATABASE!$AV$14:$BC$968,SUMPRODUCT((ROW(DATABASE!$AV$14:$AV$968)) * (DATABASE!$AV$14:CN$968='Résultats Projection'!$A20 ) * (DATABASE!$AW$14:$AW$968= AU$4))-ROW(DATABASE!$AV$14)+1,AU$5+3)),"")</f>
        <v/>
      </c>
      <c r="AV20" s="116">
        <f t="array" ref="AV20">IFERROR(_xlfn.SINGLE(INDEX(DATABASE!$AV$14:$BC$968,SUMPRODUCT((ROW(DATABASE!$AV$14:$AV$968)) * (DATABASE!$AV$14:CO$968='Résultats Projection'!$A20 ) * (DATABASE!$AW$14:$AW$968= AV$4))-ROW(DATABASE!$AV$14)+1,AV$5+3)),"")</f>
        <v/>
      </c>
      <c r="AW20" s="116">
        <f t="array" ref="AW20">IFERROR(_xlfn.SINGLE(INDEX(DATABASE!$AV$14:$BC$968,SUMPRODUCT((ROW(DATABASE!$AV$14:$AV$968)) * (DATABASE!$AV$14:CP$968='Résultats Projection'!$A20 ) * (DATABASE!$AW$14:$AW$968= AW$4))-ROW(DATABASE!$AV$14)+1,AW$5+3)),"")</f>
        <v/>
      </c>
      <c r="AX20" s="116">
        <f t="array" ref="AX20">IFERROR(_xlfn.SINGLE(INDEX(DATABASE!$AV$14:$BC$968,SUMPRODUCT((ROW(DATABASE!$AV$14:$AV$968)) * (DATABASE!$AV$14:CQ$968='Résultats Projection'!$A20 ) * (DATABASE!$AW$14:$AW$968= AX$4))-ROW(DATABASE!$AV$14)+1,AX$5+3)),"")</f>
        <v/>
      </c>
      <c r="AY20" s="116">
        <f t="array" ref="AY20">IFERROR(_xlfn.SINGLE(INDEX(DATABASE!$AV$14:$BC$968,SUMPRODUCT((ROW(DATABASE!$AV$14:$AV$968)) * (DATABASE!$AV$14:CR$968='Résultats Projection'!$A20 ) * (DATABASE!$AW$14:$AW$968= AY$4))-ROW(DATABASE!$AV$14)+1,AY$5+3)),"")</f>
        <v/>
      </c>
      <c r="AZ20" s="116">
        <f t="array" ref="AZ20">IFERROR(_xlfn.SINGLE(INDEX(DATABASE!$AV$14:$BC$968,SUMPRODUCT((ROW(DATABASE!$AV$14:$AV$968)) * (DATABASE!$AV$14:CS$968='Résultats Projection'!$A20 ) * (DATABASE!$AW$14:$AW$968= AZ$4))-ROW(DATABASE!$AV$14)+1,AZ$5+3)),"")</f>
        <v/>
      </c>
      <c r="BA20" s="116">
        <f t="array" ref="BA20">IFERROR(_xlfn.SINGLE(INDEX(DATABASE!$AV$14:$BC$968,SUMPRODUCT((ROW(DATABASE!$AV$14:$AV$968)) * (DATABASE!$AV$14:CT$968='Résultats Projection'!$A20 ) * (DATABASE!$AW$14:$AW$968= BA$4))-ROW(DATABASE!$AV$14)+1,BA$5+3)),"")</f>
        <v/>
      </c>
      <c r="BB20" s="116">
        <f t="array" ref="BB20">IFERROR(_xlfn.SINGLE(INDEX(DATABASE!$AV$14:$BC$968,SUMPRODUCT((ROW(DATABASE!$AV$14:$AV$968)) * (DATABASE!$AV$14:CU$968='Résultats Projection'!$A20 ) * (DATABASE!$AW$14:$AW$968= BB$4))-ROW(DATABASE!$AV$14)+1,BB$5+3)),"")</f>
        <v/>
      </c>
      <c r="BC20" s="116">
        <f t="array" ref="BC20">IFERROR(_xlfn.SINGLE(INDEX(DATABASE!$AV$14:$BC$968,SUMPRODUCT((ROW(DATABASE!$AV$14:$AV$968)) * (DATABASE!$AV$14:CV$968='Résultats Projection'!$A20 ) * (DATABASE!$AW$14:$AW$968= BC$4))-ROW(DATABASE!$AV$14)+1,BC$5+3)),"")</f>
        <v/>
      </c>
      <c r="BD20" s="116">
        <f t="array" ref="BD20">IFERROR(_xlfn.SINGLE(INDEX(DATABASE!$AV$14:$BC$968,SUMPRODUCT((ROW(DATABASE!$AV$14:$AV$968)) * (DATABASE!$AV$14:CW$968='Résultats Projection'!$A20 ) * (DATABASE!$AW$14:$AW$968= BD$4))-ROW(DATABASE!$AV$14)+1,BD$5+3)),"")</f>
        <v/>
      </c>
      <c r="BE20" s="116">
        <f t="array" ref="BE20">IFERROR(_xlfn.SINGLE(INDEX(DATABASE!$AV$14:$BC$968,SUMPRODUCT((ROW(DATABASE!$AV$14:$AV$968)) * (DATABASE!$AV$14:CX$968='Résultats Projection'!$A20 ) * (DATABASE!$AW$14:$AW$968= BE$4))-ROW(DATABASE!$AV$14)+1,BE$5+3)),"")</f>
        <v/>
      </c>
      <c r="BF20" s="116">
        <f t="array" ref="BF20">IFERROR(_xlfn.SINGLE(INDEX(DATABASE!$AV$14:$BC$968,SUMPRODUCT((ROW(DATABASE!$AV$14:$AV$968)) * (DATABASE!$AV$14:CY$968='Résultats Projection'!$A20 ) * (DATABASE!$AW$14:$AW$968= BF$4))-ROW(DATABASE!$AV$14)+1,BF$5+3)),"")</f>
        <v/>
      </c>
      <c r="BG20" s="116">
        <f t="array" ref="BG20">IFERROR(_xlfn.SINGLE(INDEX(DATABASE!$AV$14:$BC$968,SUMPRODUCT((ROW(DATABASE!$AV$14:$AV$968)) * (DATABASE!$AV$14:CZ$968='Résultats Projection'!$A20 ) * (DATABASE!$AW$14:$AW$968= BG$4))-ROW(DATABASE!$AV$14)+1,BG$5+3)),"")</f>
        <v/>
      </c>
      <c r="BH20" s="116">
        <f t="array" ref="BH20">IFERROR(_xlfn.SINGLE(INDEX(DATABASE!$AV$14:$BC$968,SUMPRODUCT((ROW(DATABASE!$AV$14:$AV$968)) * (DATABASE!$AV$14:DA$968='Résultats Projection'!$A20 ) * (DATABASE!$AW$14:$AW$968= BH$4))-ROW(DATABASE!$AV$14)+1,BH$5+3)),"")</f>
        <v/>
      </c>
      <c r="BI20" s="116">
        <f t="array" ref="BI20">IFERROR(_xlfn.SINGLE(INDEX(DATABASE!$AV$14:$BC$968,SUMPRODUCT((ROW(DATABASE!$AV$14:$AV$968)) * (DATABASE!$AV$14:DB$968='Résultats Projection'!$A20 ) * (DATABASE!$AW$14:$AW$968= BI$4))-ROW(DATABASE!$AV$14)+1,BI$5+3)),"")</f>
        <v/>
      </c>
      <c r="BJ20" s="116">
        <f t="array" ref="BJ20">IFERROR(_xlfn.SINGLE(INDEX(DATABASE!$AV$14:$BC$968,SUMPRODUCT((ROW(DATABASE!$AV$14:$AV$968)) * (DATABASE!$AV$14:DC$968='Résultats Projection'!$A20 ) * (DATABASE!$AW$14:$AW$968= BJ$4))-ROW(DATABASE!$AV$14)+1,BJ$5+3)),"")</f>
        <v/>
      </c>
    </row>
    <row r="21" ht="29.25" customFormat="1" customHeight="1" s="28">
      <c r="A21" s="42" t="n">
        <v>45562</v>
      </c>
      <c r="B21" s="8">
        <f>A21-A$10</f>
        <v/>
      </c>
      <c r="C21" s="116">
        <f t="array" ref="C21">IFERROR(_xlfn.SINGLE(INDEX(DATABASE!$AV$14:$BC$968,SUMPRODUCT((ROW(DATABASE!$AV$14:$AV$968)) * (DATABASE!AV$14:$AV$968='Résultats Projection'!$A21 ) * (DATABASE!$AW$14:$AW$968= C$4))-ROW(DATABASE!$AV$14)+1,C$5+3)),"")</f>
        <v/>
      </c>
      <c r="D21" s="116">
        <f t="array" ref="D21">IFERROR(_xlfn.SINGLE(INDEX(DATABASE!$AV$14:$BC$968,SUMPRODUCT((ROW(DATABASE!$AV$14:$AV$968)) * (DATABASE!$AV$14:AW$968='Résultats Projection'!$A21 ) * (DATABASE!$AW$14:$AW$968= D$4))-ROW(DATABASE!$AV$14)+1,D$5+3)),"")</f>
        <v/>
      </c>
      <c r="E21" s="116">
        <f t="array" ref="E21">IFERROR(_xlfn.SINGLE(INDEX(DATABASE!$AV$14:$BC$968,SUMPRODUCT((ROW(DATABASE!$AV$14:$AV$968)) * (DATABASE!$AV$14:AX$968='Résultats Projection'!$A21 ) * (DATABASE!$AW$14:$AW$968= E$4))-ROW(DATABASE!$AV$14)+1,E$5+3)),"")</f>
        <v/>
      </c>
      <c r="F21" s="116">
        <f t="array" ref="F21">IFERROR(_xlfn.SINGLE(INDEX(DATABASE!$AV$14:$BC$968,SUMPRODUCT((ROW(DATABASE!$AV$14:$AV$968)) * (DATABASE!$AV$14:AY$968='Résultats Projection'!$A21 ) * (DATABASE!$AW$14:$AW$968= F$4))-ROW(DATABASE!$AV$14)+1,F$5+3)),"")</f>
        <v/>
      </c>
      <c r="G21" s="116">
        <f t="array" ref="G21">IFERROR(_xlfn.SINGLE(INDEX(DATABASE!$AV$14:$BC$968,SUMPRODUCT((ROW(DATABASE!$AV$14:$AV$968)) * (DATABASE!$AV$14:AZ$968='Résultats Projection'!$A21 ) * (DATABASE!$AW$14:$AW$968= G$4))-ROW(DATABASE!$AV$14)+1,G$5+3)),"")</f>
        <v/>
      </c>
      <c r="H21" s="116">
        <f t="array" ref="H21">IFERROR(_xlfn.SINGLE(INDEX(DATABASE!$AV$14:$BC$968,SUMPRODUCT((ROW(DATABASE!$AV$14:$AV$968)) * (DATABASE!$AV$14:BA$968='Résultats Projection'!$A21 ) * (DATABASE!$AW$14:$AW$968= H$4))-ROW(DATABASE!$AV$14)+1,H$5+3)),"")</f>
        <v/>
      </c>
      <c r="I21" s="116">
        <f t="array" ref="I21">IFERROR(_xlfn.SINGLE(INDEX(DATABASE!$AV$14:$BC$968,SUMPRODUCT((ROW(DATABASE!$AV$14:$AV$968)) * (DATABASE!$AV$14:BB$968='Résultats Projection'!$A21 ) * (DATABASE!$AW$14:$AW$968= I$4))-ROW(DATABASE!$AV$14)+1,I$5+3)),"")</f>
        <v/>
      </c>
      <c r="J21" s="116">
        <f t="array" ref="J21">IFERROR(_xlfn.SINGLE(INDEX(DATABASE!$AV$14:$BC$968,SUMPRODUCT((ROW(DATABASE!$AV$14:$AV$968)) * (DATABASE!$AV$14:BC$968='Résultats Projection'!$A21 ) * (DATABASE!$AW$14:$AW$968= J$4))-ROW(DATABASE!$AV$14)+1,J$5+3)),"")</f>
        <v/>
      </c>
      <c r="K21" s="116">
        <f t="array" ref="K21">IFERROR(_xlfn.SINGLE(INDEX(DATABASE!$AV$14:$BC$968,SUMPRODUCT((ROW(DATABASE!$AV$14:$AV$968)) * (DATABASE!$AV$14:BD$968='Résultats Projection'!$A21 ) * (DATABASE!$AW$14:$AW$968= K$4))-ROW(DATABASE!$AV$14)+1,K$5+3)),"")</f>
        <v/>
      </c>
      <c r="L21" s="116">
        <f t="array" ref="L21">IFERROR(_xlfn.SINGLE(INDEX(DATABASE!$AV$14:$BC$968,SUMPRODUCT((ROW(DATABASE!$AV$14:$AV$968)) * (DATABASE!$AV$14:BE$968='Résultats Projection'!$A21 ) * (DATABASE!$AW$14:$AW$968= L$4))-ROW(DATABASE!$AV$14)+1,L$5+3)),"")</f>
        <v/>
      </c>
      <c r="M21" s="116">
        <f t="array" ref="M21">IFERROR(_xlfn.SINGLE(INDEX(DATABASE!$AV$14:$BC$968,SUMPRODUCT((ROW(DATABASE!$AV$14:$AV$968)) * (DATABASE!$AV$14:BF$968='Résultats Projection'!$A21 ) * (DATABASE!$AW$14:$AW$968= M$4))-ROW(DATABASE!$AV$14)+1,M$5+3)),"")</f>
        <v/>
      </c>
      <c r="N21" s="116">
        <f t="array" ref="N21">IFERROR(_xlfn.SINGLE(INDEX(DATABASE!$AV$14:$BC$968,SUMPRODUCT((ROW(DATABASE!$AV$14:$AV$968)) * (DATABASE!$AV$14:BG$968='Résultats Projection'!$A21 ) * (DATABASE!$AW$14:$AW$968= N$4))-ROW(DATABASE!$AV$14)+1,N$5+3)),"")</f>
        <v/>
      </c>
      <c r="O21" s="116">
        <f t="array" ref="O21">IFERROR(_xlfn.SINGLE(INDEX(DATABASE!$AV$14:$BC$968,SUMPRODUCT((ROW(DATABASE!$AV$14:$AV$968)) * (DATABASE!$AV$14:BH$968='Résultats Projection'!$A21 ) * (DATABASE!$AW$14:$AW$968= O$4))-ROW(DATABASE!$AV$14)+1,O$5+3)),"")</f>
        <v/>
      </c>
      <c r="P21" s="116">
        <f t="array" ref="P21">IFERROR(_xlfn.SINGLE(INDEX(DATABASE!$AV$14:$BC$968,SUMPRODUCT((ROW(DATABASE!$AV$14:$AV$968)) * (DATABASE!$AV$14:BI$968='Résultats Projection'!$A21 ) * (DATABASE!$AW$14:$AW$968= P$4))-ROW(DATABASE!$AV$14)+1,P$5+3)),"")</f>
        <v/>
      </c>
      <c r="Q21" s="116">
        <f t="array" ref="Q21">IFERROR(_xlfn.SINGLE(INDEX(DATABASE!$AV$14:$BC$968,SUMPRODUCT((ROW(DATABASE!$AV$14:$AV$968)) * (DATABASE!$AV$14:BJ$968='Résultats Projection'!$A21 ) * (DATABASE!$AW$14:$AW$968= Q$4))-ROW(DATABASE!$AV$14)+1,Q$5+3)),"")</f>
        <v/>
      </c>
      <c r="R21" s="116">
        <f t="array" ref="R21">IFERROR(_xlfn.SINGLE(INDEX(DATABASE!$AV$14:$BC$968,SUMPRODUCT((ROW(DATABASE!$AV$14:$AV$968)) * (DATABASE!$AV$14:BK$968='Résultats Projection'!$A21 ) * (DATABASE!$AW$14:$AW$968= R$4))-ROW(DATABASE!$AV$14)+1,R$5+3)),"")</f>
        <v/>
      </c>
      <c r="S21" s="116">
        <f t="array" ref="S21">IFERROR(_xlfn.SINGLE(INDEX(DATABASE!$AV$14:$BC$968,SUMPRODUCT((ROW(DATABASE!$AV$14:$AV$968)) * (DATABASE!$AV$14:BL$968='Résultats Projection'!$A21 ) * (DATABASE!$AW$14:$AW$968= S$4))-ROW(DATABASE!$AV$14)+1,S$5+3)),"")</f>
        <v/>
      </c>
      <c r="T21" s="116">
        <f t="array" ref="T21">IFERROR(_xlfn.SINGLE(INDEX(DATABASE!$AV$14:$BC$968,SUMPRODUCT((ROW(DATABASE!$AV$14:$AV$968)) * (DATABASE!$AV$14:BM$968='Résultats Projection'!$A21 ) * (DATABASE!$AW$14:$AW$968= T$4))-ROW(DATABASE!$AV$14)+1,T$5+3)),"")</f>
        <v/>
      </c>
      <c r="U21" s="116">
        <f t="array" ref="U21">IFERROR(_xlfn.SINGLE(INDEX(DATABASE!$AV$14:$BC$968,SUMPRODUCT((ROW(DATABASE!$AV$14:$AV$968)) * (DATABASE!$AV$14:BN$968='Résultats Projection'!$A21 ) * (DATABASE!$AW$14:$AW$968= U$4))-ROW(DATABASE!$AV$14)+1,U$5+3)),"")</f>
        <v/>
      </c>
      <c r="V21" s="116">
        <f t="array" ref="V21">IFERROR(_xlfn.SINGLE(INDEX(DATABASE!$AV$14:$BC$968,SUMPRODUCT((ROW(DATABASE!$AV$14:$AV$968)) * (DATABASE!$AV$14:BO$968='Résultats Projection'!$A21 ) * (DATABASE!$AW$14:$AW$968= V$4))-ROW(DATABASE!$AV$14)+1,V$5+3)),"")</f>
        <v/>
      </c>
      <c r="W21" s="116">
        <f t="array" ref="W21">IFERROR(_xlfn.SINGLE(INDEX(DATABASE!$AV$14:$BC$968,SUMPRODUCT((ROW(DATABASE!$AV$14:$AV$968)) * (DATABASE!$AV$14:BP$968='Résultats Projection'!$A21 ) * (DATABASE!$AW$14:$AW$968= W$4))-ROW(DATABASE!$AV$14)+1,W$5+3)),"")</f>
        <v/>
      </c>
      <c r="X21" s="116">
        <f t="array" ref="X21">IFERROR(_xlfn.SINGLE(INDEX(DATABASE!$AV$14:$BC$968,SUMPRODUCT((ROW(DATABASE!$AV$14:$AV$968)) * (DATABASE!$AV$14:BQ$968='Résultats Projection'!$A21 ) * (DATABASE!$AW$14:$AW$968= X$4))-ROW(DATABASE!$AV$14)+1,X$5+3)),"")</f>
        <v/>
      </c>
      <c r="Y21" s="116">
        <f t="array" ref="Y21">IFERROR(_xlfn.SINGLE(INDEX(DATABASE!$AV$14:$BC$968,SUMPRODUCT((ROW(DATABASE!$AV$14:$AV$968)) * (DATABASE!$AV$14:BR$968='Résultats Projection'!$A21 ) * (DATABASE!$AW$14:$AW$968= Y$4))-ROW(DATABASE!$AV$14)+1,Y$5+3)),"")</f>
        <v/>
      </c>
      <c r="Z21" s="116">
        <f t="array" ref="Z21">IFERROR(_xlfn.SINGLE(INDEX(DATABASE!$AV$14:$BC$968,SUMPRODUCT((ROW(DATABASE!$AV$14:$AV$968)) * (DATABASE!$AV$14:BS$968='Résultats Projection'!$A21 ) * (DATABASE!$AW$14:$AW$968= Z$4))-ROW(DATABASE!$AV$14)+1,Z$5+3)),"")</f>
        <v/>
      </c>
      <c r="AA21" s="116">
        <f t="array" ref="AA21">IFERROR(_xlfn.SINGLE(INDEX(DATABASE!$AV$14:$BC$968,SUMPRODUCT((ROW(DATABASE!$AV$14:$AV$968)) * (DATABASE!$AV$14:BT$968='Résultats Projection'!$A21 ) * (DATABASE!$AW$14:$AW$968= AA$4))-ROW(DATABASE!$AV$14)+1,AA$5+3)),"")</f>
        <v/>
      </c>
      <c r="AB21" s="116">
        <f t="array" ref="AB21">IFERROR(_xlfn.SINGLE(INDEX(DATABASE!$AV$14:$BC$968,SUMPRODUCT((ROW(DATABASE!$AV$14:$AV$968)) * (DATABASE!$AV$14:BU$968='Résultats Projection'!$A21 ) * (DATABASE!$AW$14:$AW$968= AB$4))-ROW(DATABASE!$AV$14)+1,AB$5+3)),"")</f>
        <v/>
      </c>
      <c r="AC21" s="116">
        <f t="array" ref="AC21">IFERROR(_xlfn.SINGLE(INDEX(DATABASE!$AV$14:$BC$968,SUMPRODUCT((ROW(DATABASE!$AV$14:$AV$968)) * (DATABASE!$AV$14:BV$968='Résultats Projection'!$A21 ) * (DATABASE!$AW$14:$AW$968= AC$4))-ROW(DATABASE!$AV$14)+1,AC$5+3)),"")</f>
        <v/>
      </c>
      <c r="AD21" s="116">
        <f t="array" ref="AD21">IFERROR(_xlfn.SINGLE(INDEX(DATABASE!$AV$14:$BC$968,SUMPRODUCT((ROW(DATABASE!$AV$14:$AV$968)) * (DATABASE!$AV$14:BW$968='Résultats Projection'!$A21 ) * (DATABASE!$AW$14:$AW$968= AD$4))-ROW(DATABASE!$AV$14)+1,AD$5+3)),"")</f>
        <v/>
      </c>
      <c r="AE21" s="116">
        <f t="array" ref="AE21">IFERROR(_xlfn.SINGLE(INDEX(DATABASE!$AV$14:$BC$968,SUMPRODUCT((ROW(DATABASE!$AV$14:$AV$968)) * (DATABASE!$AV$14:BX$968='Résultats Projection'!$A21 ) * (DATABASE!$AW$14:$AW$968= AE$4))-ROW(DATABASE!$AV$14)+1,AE$5+3)),"")</f>
        <v/>
      </c>
      <c r="AF21" s="116">
        <f t="array" ref="AF21">IFERROR(_xlfn.SINGLE(INDEX(DATABASE!$AV$14:$BC$968,SUMPRODUCT((ROW(DATABASE!$AV$14:$AV$968)) * (DATABASE!$AV$14:BY$968='Résultats Projection'!$A21 ) * (DATABASE!$AW$14:$AW$968= AF$4))-ROW(DATABASE!$AV$14)+1,AF$5+3)),"")</f>
        <v/>
      </c>
      <c r="AG21" s="116">
        <f t="array" ref="AG21">IFERROR(_xlfn.SINGLE(INDEX(DATABASE!$AV$14:$BC$968,SUMPRODUCT((ROW(DATABASE!$AV$14:$AV$968)) * (DATABASE!$AV$14:BZ$968='Résultats Projection'!$A21 ) * (DATABASE!$AW$14:$AW$968= AG$4))-ROW(DATABASE!$AV$14)+1,AG$5+3)),"")</f>
        <v/>
      </c>
      <c r="AH21" s="116">
        <f t="array" ref="AH21">IFERROR(_xlfn.SINGLE(INDEX(DATABASE!$AV$14:$BC$968,SUMPRODUCT((ROW(DATABASE!$AV$14:$AV$968)) * (DATABASE!$AV$14:CA$968='Résultats Projection'!$A21 ) * (DATABASE!$AW$14:$AW$968= AH$4))-ROW(DATABASE!$AV$14)+1,AH$5+3)),"")</f>
        <v/>
      </c>
      <c r="AI21" s="116">
        <f t="array" ref="AI21">IFERROR(_xlfn.SINGLE(INDEX(DATABASE!$AV$14:$BC$968,SUMPRODUCT((ROW(DATABASE!$AV$14:$AV$968)) * (DATABASE!$AV$14:CB$968='Résultats Projection'!$A21 ) * (DATABASE!$AW$14:$AW$968= AI$4))-ROW(DATABASE!$AV$14)+1,AI$5+3)),"")</f>
        <v/>
      </c>
      <c r="AJ21" s="116">
        <f t="array" ref="AJ21">IFERROR(_xlfn.SINGLE(INDEX(DATABASE!$AV$14:$BC$968,SUMPRODUCT((ROW(DATABASE!$AV$14:$AV$968)) * (DATABASE!$AV$14:CC$968='Résultats Projection'!$A21 ) * (DATABASE!$AW$14:$AW$968= AJ$4))-ROW(DATABASE!$AV$14)+1,AJ$5+3)),"")</f>
        <v/>
      </c>
      <c r="AK21" s="116">
        <f t="array" ref="AK21">IFERROR(_xlfn.SINGLE(INDEX(DATABASE!$AV$14:$BC$968,SUMPRODUCT((ROW(DATABASE!$AV$14:$AV$968)) * (DATABASE!$AV$14:CD$968='Résultats Projection'!$A21 ) * (DATABASE!$AW$14:$AW$968= AK$4))-ROW(DATABASE!$AV$14)+1,AK$5+3)),"")</f>
        <v/>
      </c>
      <c r="AL21" s="116">
        <f t="array" ref="AL21">IFERROR(_xlfn.SINGLE(INDEX(DATABASE!$AV$14:$BC$968,SUMPRODUCT((ROW(DATABASE!$AV$14:$AV$968)) * (DATABASE!$AV$14:CE$968='Résultats Projection'!$A21 ) * (DATABASE!$AW$14:$AW$968= AL$4))-ROW(DATABASE!$AV$14)+1,AL$5+3)),"")</f>
        <v/>
      </c>
      <c r="AM21" s="116">
        <f t="array" ref="AM21">IFERROR(_xlfn.SINGLE(INDEX(DATABASE!$AV$14:$BC$968,SUMPRODUCT((ROW(DATABASE!$AV$14:$AV$968)) * (DATABASE!$AV$14:CF$968='Résultats Projection'!$A21 ) * (DATABASE!$AW$14:$AW$968= AM$4))-ROW(DATABASE!$AV$14)+1,AM$5+3)),"")</f>
        <v/>
      </c>
      <c r="AN21" s="116">
        <f t="array" ref="AN21">IFERROR(_xlfn.SINGLE(INDEX(DATABASE!$AV$14:$BC$968,SUMPRODUCT((ROW(DATABASE!$AV$14:$AV$968)) * (DATABASE!$AV$14:CG$968='Résultats Projection'!$A21 ) * (DATABASE!$AW$14:$AW$968= AN$4))-ROW(DATABASE!$AV$14)+1,AN$5+3)),"")</f>
        <v/>
      </c>
      <c r="AO21" s="116">
        <f t="array" ref="AO21">IFERROR(_xlfn.SINGLE(INDEX(DATABASE!$AV$14:$BC$968,SUMPRODUCT((ROW(DATABASE!$AV$14:$AV$968)) * (DATABASE!$AV$14:CH$968='Résultats Projection'!$A21 ) * (DATABASE!$AW$14:$AW$968= AO$4))-ROW(DATABASE!$AV$14)+1,AO$5+3)),"")</f>
        <v/>
      </c>
      <c r="AP21" s="116">
        <f t="array" ref="AP21">IFERROR(_xlfn.SINGLE(INDEX(DATABASE!$AV$14:$BC$968,SUMPRODUCT((ROW(DATABASE!$AV$14:$AV$968)) * (DATABASE!$AV$14:CI$968='Résultats Projection'!$A21 ) * (DATABASE!$AW$14:$AW$968= AP$4))-ROW(DATABASE!$AV$14)+1,AP$5+3)),"")</f>
        <v/>
      </c>
      <c r="AQ21" s="116">
        <f t="array" ref="AQ21">IFERROR(_xlfn.SINGLE(INDEX(DATABASE!$AV$14:$BC$968,SUMPRODUCT((ROW(DATABASE!$AV$14:$AV$968)) * (DATABASE!$AV$14:CJ$968='Résultats Projection'!$A21 ) * (DATABASE!$AW$14:$AW$968= AQ$4))-ROW(DATABASE!$AV$14)+1,AQ$5+3)),"")</f>
        <v/>
      </c>
      <c r="AR21" s="116">
        <f t="array" ref="AR21">IFERROR(_xlfn.SINGLE(INDEX(DATABASE!$AV$14:$BC$968,SUMPRODUCT((ROW(DATABASE!$AV$14:$AV$968)) * (DATABASE!$AV$14:CK$968='Résultats Projection'!$A21 ) * (DATABASE!$AW$14:$AW$968= AR$4))-ROW(DATABASE!$AV$14)+1,AR$5+3)),"")</f>
        <v/>
      </c>
      <c r="AS21" s="116">
        <f t="array" ref="AS21">IFERROR(_xlfn.SINGLE(INDEX(DATABASE!$AV$14:$BC$968,SUMPRODUCT((ROW(DATABASE!$AV$14:$AV$968)) * (DATABASE!$AV$14:CL$968='Résultats Projection'!$A21 ) * (DATABASE!$AW$14:$AW$968= AS$4))-ROW(DATABASE!$AV$14)+1,AS$5+3)),"")</f>
        <v/>
      </c>
      <c r="AT21" s="116">
        <f t="array" ref="AT21">IFERROR(_xlfn.SINGLE(INDEX(DATABASE!$AV$14:$BC$968,SUMPRODUCT((ROW(DATABASE!$AV$14:$AV$968)) * (DATABASE!$AV$14:CM$968='Résultats Projection'!$A21 ) * (DATABASE!$AW$14:$AW$968= AT$4))-ROW(DATABASE!$AV$14)+1,AT$5+3)),"")</f>
        <v/>
      </c>
      <c r="AU21" s="116">
        <f t="array" ref="AU21">IFERROR(_xlfn.SINGLE(INDEX(DATABASE!$AV$14:$BC$968,SUMPRODUCT((ROW(DATABASE!$AV$14:$AV$968)) * (DATABASE!$AV$14:CN$968='Résultats Projection'!$A21 ) * (DATABASE!$AW$14:$AW$968= AU$4))-ROW(DATABASE!$AV$14)+1,AU$5+3)),"")</f>
        <v/>
      </c>
      <c r="AV21" s="116">
        <f t="array" ref="AV21">IFERROR(_xlfn.SINGLE(INDEX(DATABASE!$AV$14:$BC$968,SUMPRODUCT((ROW(DATABASE!$AV$14:$AV$968)) * (DATABASE!$AV$14:CO$968='Résultats Projection'!$A21 ) * (DATABASE!$AW$14:$AW$968= AV$4))-ROW(DATABASE!$AV$14)+1,AV$5+3)),"")</f>
        <v/>
      </c>
      <c r="AW21" s="116">
        <f t="array" ref="AW21">IFERROR(_xlfn.SINGLE(INDEX(DATABASE!$AV$14:$BC$968,SUMPRODUCT((ROW(DATABASE!$AV$14:$AV$968)) * (DATABASE!$AV$14:CP$968='Résultats Projection'!$A21 ) * (DATABASE!$AW$14:$AW$968= AW$4))-ROW(DATABASE!$AV$14)+1,AW$5+3)),"")</f>
        <v/>
      </c>
      <c r="AX21" s="116">
        <f t="array" ref="AX21">IFERROR(_xlfn.SINGLE(INDEX(DATABASE!$AV$14:$BC$968,SUMPRODUCT((ROW(DATABASE!$AV$14:$AV$968)) * (DATABASE!$AV$14:CQ$968='Résultats Projection'!$A21 ) * (DATABASE!$AW$14:$AW$968= AX$4))-ROW(DATABASE!$AV$14)+1,AX$5+3)),"")</f>
        <v/>
      </c>
      <c r="AY21" s="116">
        <f t="array" ref="AY21">IFERROR(_xlfn.SINGLE(INDEX(DATABASE!$AV$14:$BC$968,SUMPRODUCT((ROW(DATABASE!$AV$14:$AV$968)) * (DATABASE!$AV$14:CR$968='Résultats Projection'!$A21 ) * (DATABASE!$AW$14:$AW$968= AY$4))-ROW(DATABASE!$AV$14)+1,AY$5+3)),"")</f>
        <v/>
      </c>
      <c r="AZ21" s="116">
        <f t="array" ref="AZ21">IFERROR(_xlfn.SINGLE(INDEX(DATABASE!$AV$14:$BC$968,SUMPRODUCT((ROW(DATABASE!$AV$14:$AV$968)) * (DATABASE!$AV$14:CS$968='Résultats Projection'!$A21 ) * (DATABASE!$AW$14:$AW$968= AZ$4))-ROW(DATABASE!$AV$14)+1,AZ$5+3)),"")</f>
        <v/>
      </c>
      <c r="BA21" s="116">
        <f t="array" ref="BA21">IFERROR(_xlfn.SINGLE(INDEX(DATABASE!$AV$14:$BC$968,SUMPRODUCT((ROW(DATABASE!$AV$14:$AV$968)) * (DATABASE!$AV$14:CT$968='Résultats Projection'!$A21 ) * (DATABASE!$AW$14:$AW$968= BA$4))-ROW(DATABASE!$AV$14)+1,BA$5+3)),"")</f>
        <v/>
      </c>
      <c r="BB21" s="116">
        <f t="array" ref="BB21">IFERROR(_xlfn.SINGLE(INDEX(DATABASE!$AV$14:$BC$968,SUMPRODUCT((ROW(DATABASE!$AV$14:$AV$968)) * (DATABASE!$AV$14:CU$968='Résultats Projection'!$A21 ) * (DATABASE!$AW$14:$AW$968= BB$4))-ROW(DATABASE!$AV$14)+1,BB$5+3)),"")</f>
        <v/>
      </c>
      <c r="BC21" s="116">
        <f t="array" ref="BC21">IFERROR(_xlfn.SINGLE(INDEX(DATABASE!$AV$14:$BC$968,SUMPRODUCT((ROW(DATABASE!$AV$14:$AV$968)) * (DATABASE!$AV$14:CV$968='Résultats Projection'!$A21 ) * (DATABASE!$AW$14:$AW$968= BC$4))-ROW(DATABASE!$AV$14)+1,BC$5+3)),"")</f>
        <v/>
      </c>
      <c r="BD21" s="116">
        <f t="array" ref="BD21">IFERROR(_xlfn.SINGLE(INDEX(DATABASE!$AV$14:$BC$968,SUMPRODUCT((ROW(DATABASE!$AV$14:$AV$968)) * (DATABASE!$AV$14:CW$968='Résultats Projection'!$A21 ) * (DATABASE!$AW$14:$AW$968= BD$4))-ROW(DATABASE!$AV$14)+1,BD$5+3)),"")</f>
        <v/>
      </c>
      <c r="BE21" s="116">
        <f t="array" ref="BE21">IFERROR(_xlfn.SINGLE(INDEX(DATABASE!$AV$14:$BC$968,SUMPRODUCT((ROW(DATABASE!$AV$14:$AV$968)) * (DATABASE!$AV$14:CX$968='Résultats Projection'!$A21 ) * (DATABASE!$AW$14:$AW$968= BE$4))-ROW(DATABASE!$AV$14)+1,BE$5+3)),"")</f>
        <v/>
      </c>
      <c r="BF21" s="116">
        <f t="array" ref="BF21">IFERROR(_xlfn.SINGLE(INDEX(DATABASE!$AV$14:$BC$968,SUMPRODUCT((ROW(DATABASE!$AV$14:$AV$968)) * (DATABASE!$AV$14:CY$968='Résultats Projection'!$A21 ) * (DATABASE!$AW$14:$AW$968= BF$4))-ROW(DATABASE!$AV$14)+1,BF$5+3)),"")</f>
        <v/>
      </c>
      <c r="BG21" s="116">
        <f t="array" ref="BG21">IFERROR(_xlfn.SINGLE(INDEX(DATABASE!$AV$14:$BC$968,SUMPRODUCT((ROW(DATABASE!$AV$14:$AV$968)) * (DATABASE!$AV$14:CZ$968='Résultats Projection'!$A21 ) * (DATABASE!$AW$14:$AW$968= BG$4))-ROW(DATABASE!$AV$14)+1,BG$5+3)),"")</f>
        <v/>
      </c>
      <c r="BH21" s="116">
        <f t="array" ref="BH21">IFERROR(_xlfn.SINGLE(INDEX(DATABASE!$AV$14:$BC$968,SUMPRODUCT((ROW(DATABASE!$AV$14:$AV$968)) * (DATABASE!$AV$14:DA$968='Résultats Projection'!$A21 ) * (DATABASE!$AW$14:$AW$968= BH$4))-ROW(DATABASE!$AV$14)+1,BH$5+3)),"")</f>
        <v/>
      </c>
      <c r="BI21" s="116">
        <f t="array" ref="BI21">IFERROR(_xlfn.SINGLE(INDEX(DATABASE!$AV$14:$BC$968,SUMPRODUCT((ROW(DATABASE!$AV$14:$AV$968)) * (DATABASE!$AV$14:DB$968='Résultats Projection'!$A21 ) * (DATABASE!$AW$14:$AW$968= BI$4))-ROW(DATABASE!$AV$14)+1,BI$5+3)),"")</f>
        <v/>
      </c>
      <c r="BJ21" s="116">
        <f t="array" ref="BJ21">IFERROR(_xlfn.SINGLE(INDEX(DATABASE!$AV$14:$BC$968,SUMPRODUCT((ROW(DATABASE!$AV$14:$AV$968)) * (DATABASE!$AV$14:DC$968='Résultats Projection'!$A21 ) * (DATABASE!$AW$14:$AW$968= BJ$4))-ROW(DATABASE!$AV$14)+1,BJ$5+3)),"")</f>
        <v/>
      </c>
    </row>
    <row r="22" ht="29.25" customFormat="1" customHeight="1" s="28">
      <c r="A22" s="42" t="n">
        <v>45565</v>
      </c>
      <c r="B22" s="8">
        <f>A22-A$10</f>
        <v/>
      </c>
      <c r="C22" s="116">
        <f t="array" ref="C22">IFERROR(_xlfn.SINGLE(INDEX(DATABASE!$AV$14:$BC$968,SUMPRODUCT((ROW(DATABASE!$AV$14:$AV$968)) * (DATABASE!AV$14:$AV$968='Résultats Projection'!$A22 ) * (DATABASE!$AW$14:$AW$968= C$4))-ROW(DATABASE!$AV$14)+1,C$5+3)),"")</f>
        <v/>
      </c>
      <c r="D22" s="116">
        <f t="array" ref="D22">IFERROR(_xlfn.SINGLE(INDEX(DATABASE!$AV$14:$BC$968,SUMPRODUCT((ROW(DATABASE!$AV$14:$AV$968)) * (DATABASE!$AV$14:AW$968='Résultats Projection'!$A22 ) * (DATABASE!$AW$14:$AW$968= D$4))-ROW(DATABASE!$AV$14)+1,D$5+3)),"")</f>
        <v/>
      </c>
      <c r="E22" s="116">
        <f t="array" ref="E22">IFERROR(_xlfn.SINGLE(INDEX(DATABASE!$AV$14:$BC$968,SUMPRODUCT((ROW(DATABASE!$AV$14:$AV$968)) * (DATABASE!$AV$14:AX$968='Résultats Projection'!$A22 ) * (DATABASE!$AW$14:$AW$968= E$4))-ROW(DATABASE!$AV$14)+1,E$5+3)),"")</f>
        <v/>
      </c>
      <c r="F22" s="116">
        <f t="array" ref="F22">IFERROR(_xlfn.SINGLE(INDEX(DATABASE!$AV$14:$BC$968,SUMPRODUCT((ROW(DATABASE!$AV$14:$AV$968)) * (DATABASE!$AV$14:AY$968='Résultats Projection'!$A22 ) * (DATABASE!$AW$14:$AW$968= F$4))-ROW(DATABASE!$AV$14)+1,F$5+3)),"")</f>
        <v/>
      </c>
      <c r="G22" s="116">
        <f t="array" ref="G22">IFERROR(_xlfn.SINGLE(INDEX(DATABASE!$AV$14:$BC$968,SUMPRODUCT((ROW(DATABASE!$AV$14:$AV$968)) * (DATABASE!$AV$14:AZ$968='Résultats Projection'!$A22 ) * (DATABASE!$AW$14:$AW$968= G$4))-ROW(DATABASE!$AV$14)+1,G$5+3)),"")</f>
        <v/>
      </c>
      <c r="H22" s="116">
        <f t="array" ref="H22">IFERROR(_xlfn.SINGLE(INDEX(DATABASE!$AV$14:$BC$968,SUMPRODUCT((ROW(DATABASE!$AV$14:$AV$968)) * (DATABASE!$AV$14:BA$968='Résultats Projection'!$A22 ) * (DATABASE!$AW$14:$AW$968= H$4))-ROW(DATABASE!$AV$14)+1,H$5+3)),"")</f>
        <v/>
      </c>
      <c r="I22" s="116">
        <f t="array" ref="I22">IFERROR(_xlfn.SINGLE(INDEX(DATABASE!$AV$14:$BC$968,SUMPRODUCT((ROW(DATABASE!$AV$14:$AV$968)) * (DATABASE!$AV$14:BB$968='Résultats Projection'!$A22 ) * (DATABASE!$AW$14:$AW$968= I$4))-ROW(DATABASE!$AV$14)+1,I$5+3)),"")</f>
        <v/>
      </c>
      <c r="J22" s="116">
        <f t="array" ref="J22">IFERROR(_xlfn.SINGLE(INDEX(DATABASE!$AV$14:$BC$968,SUMPRODUCT((ROW(DATABASE!$AV$14:$AV$968)) * (DATABASE!$AV$14:BC$968='Résultats Projection'!$A22 ) * (DATABASE!$AW$14:$AW$968= J$4))-ROW(DATABASE!$AV$14)+1,J$5+3)),"")</f>
        <v/>
      </c>
      <c r="K22" s="116">
        <f t="array" ref="K22">IFERROR(_xlfn.SINGLE(INDEX(DATABASE!$AV$14:$BC$968,SUMPRODUCT((ROW(DATABASE!$AV$14:$AV$968)) * (DATABASE!$AV$14:BD$968='Résultats Projection'!$A22 ) * (DATABASE!$AW$14:$AW$968= K$4))-ROW(DATABASE!$AV$14)+1,K$5+3)),"")</f>
        <v/>
      </c>
      <c r="L22" s="116">
        <f t="array" ref="L22">IFERROR(_xlfn.SINGLE(INDEX(DATABASE!$AV$14:$BC$968,SUMPRODUCT((ROW(DATABASE!$AV$14:$AV$968)) * (DATABASE!$AV$14:BE$968='Résultats Projection'!$A22 ) * (DATABASE!$AW$14:$AW$968= L$4))-ROW(DATABASE!$AV$14)+1,L$5+3)),"")</f>
        <v/>
      </c>
      <c r="M22" s="116">
        <f t="array" ref="M22">IFERROR(_xlfn.SINGLE(INDEX(DATABASE!$AV$14:$BC$968,SUMPRODUCT((ROW(DATABASE!$AV$14:$AV$968)) * (DATABASE!$AV$14:BF$968='Résultats Projection'!$A22 ) * (DATABASE!$AW$14:$AW$968= M$4))-ROW(DATABASE!$AV$14)+1,M$5+3)),"")</f>
        <v/>
      </c>
      <c r="N22" s="116">
        <f t="array" ref="N22">IFERROR(_xlfn.SINGLE(INDEX(DATABASE!$AV$14:$BC$968,SUMPRODUCT((ROW(DATABASE!$AV$14:$AV$968)) * (DATABASE!$AV$14:BG$968='Résultats Projection'!$A22 ) * (DATABASE!$AW$14:$AW$968= N$4))-ROW(DATABASE!$AV$14)+1,N$5+3)),"")</f>
        <v/>
      </c>
      <c r="O22" s="116">
        <f t="array" ref="O22">IFERROR(_xlfn.SINGLE(INDEX(DATABASE!$AV$14:$BC$968,SUMPRODUCT((ROW(DATABASE!$AV$14:$AV$968)) * (DATABASE!$AV$14:BH$968='Résultats Projection'!$A22 ) * (DATABASE!$AW$14:$AW$968= O$4))-ROW(DATABASE!$AV$14)+1,O$5+3)),"")</f>
        <v/>
      </c>
      <c r="P22" s="116">
        <f t="array" ref="P22">IFERROR(_xlfn.SINGLE(INDEX(DATABASE!$AV$14:$BC$968,SUMPRODUCT((ROW(DATABASE!$AV$14:$AV$968)) * (DATABASE!$AV$14:BI$968='Résultats Projection'!$A22 ) * (DATABASE!$AW$14:$AW$968= P$4))-ROW(DATABASE!$AV$14)+1,P$5+3)),"")</f>
        <v/>
      </c>
      <c r="Q22" s="116">
        <f t="array" ref="Q22">IFERROR(_xlfn.SINGLE(INDEX(DATABASE!$AV$14:$BC$968,SUMPRODUCT((ROW(DATABASE!$AV$14:$AV$968)) * (DATABASE!$AV$14:BJ$968='Résultats Projection'!$A22 ) * (DATABASE!$AW$14:$AW$968= Q$4))-ROW(DATABASE!$AV$14)+1,Q$5+3)),"")</f>
        <v/>
      </c>
      <c r="R22" s="116">
        <f t="array" ref="R22">IFERROR(_xlfn.SINGLE(INDEX(DATABASE!$AV$14:$BC$968,SUMPRODUCT((ROW(DATABASE!$AV$14:$AV$968)) * (DATABASE!$AV$14:BK$968='Résultats Projection'!$A22 ) * (DATABASE!$AW$14:$AW$968= R$4))-ROW(DATABASE!$AV$14)+1,R$5+3)),"")</f>
        <v/>
      </c>
      <c r="S22" s="116">
        <f t="array" ref="S22">IFERROR(_xlfn.SINGLE(INDEX(DATABASE!$AV$14:$BC$968,SUMPRODUCT((ROW(DATABASE!$AV$14:$AV$968)) * (DATABASE!$AV$14:BL$968='Résultats Projection'!$A22 ) * (DATABASE!$AW$14:$AW$968= S$4))-ROW(DATABASE!$AV$14)+1,S$5+3)),"")</f>
        <v/>
      </c>
      <c r="T22" s="116">
        <f t="array" ref="T22">IFERROR(_xlfn.SINGLE(INDEX(DATABASE!$AV$14:$BC$968,SUMPRODUCT((ROW(DATABASE!$AV$14:$AV$968)) * (DATABASE!$AV$14:BM$968='Résultats Projection'!$A22 ) * (DATABASE!$AW$14:$AW$968= T$4))-ROW(DATABASE!$AV$14)+1,T$5+3)),"")</f>
        <v/>
      </c>
      <c r="U22" s="116">
        <f t="array" ref="U22">IFERROR(_xlfn.SINGLE(INDEX(DATABASE!$AV$14:$BC$968,SUMPRODUCT((ROW(DATABASE!$AV$14:$AV$968)) * (DATABASE!$AV$14:BN$968='Résultats Projection'!$A22 ) * (DATABASE!$AW$14:$AW$968= U$4))-ROW(DATABASE!$AV$14)+1,U$5+3)),"")</f>
        <v/>
      </c>
      <c r="V22" s="116">
        <f t="array" ref="V22">IFERROR(_xlfn.SINGLE(INDEX(DATABASE!$AV$14:$BC$968,SUMPRODUCT((ROW(DATABASE!$AV$14:$AV$968)) * (DATABASE!$AV$14:BO$968='Résultats Projection'!$A22 ) * (DATABASE!$AW$14:$AW$968= V$4))-ROW(DATABASE!$AV$14)+1,V$5+3)),"")</f>
        <v/>
      </c>
      <c r="W22" s="116">
        <f t="array" ref="W22">IFERROR(_xlfn.SINGLE(INDEX(DATABASE!$AV$14:$BC$968,SUMPRODUCT((ROW(DATABASE!$AV$14:$AV$968)) * (DATABASE!$AV$14:BP$968='Résultats Projection'!$A22 ) * (DATABASE!$AW$14:$AW$968= W$4))-ROW(DATABASE!$AV$14)+1,W$5+3)),"")</f>
        <v/>
      </c>
      <c r="X22" s="116">
        <f t="array" ref="X22">IFERROR(_xlfn.SINGLE(INDEX(DATABASE!$AV$14:$BC$968,SUMPRODUCT((ROW(DATABASE!$AV$14:$AV$968)) * (DATABASE!$AV$14:BQ$968='Résultats Projection'!$A22 ) * (DATABASE!$AW$14:$AW$968= X$4))-ROW(DATABASE!$AV$14)+1,X$5+3)),"")</f>
        <v/>
      </c>
      <c r="Y22" s="116">
        <f t="array" ref="Y22">IFERROR(_xlfn.SINGLE(INDEX(DATABASE!$AV$14:$BC$968,SUMPRODUCT((ROW(DATABASE!$AV$14:$AV$968)) * (DATABASE!$AV$14:BR$968='Résultats Projection'!$A22 ) * (DATABASE!$AW$14:$AW$968= Y$4))-ROW(DATABASE!$AV$14)+1,Y$5+3)),"")</f>
        <v/>
      </c>
      <c r="Z22" s="116">
        <f t="array" ref="Z22">IFERROR(_xlfn.SINGLE(INDEX(DATABASE!$AV$14:$BC$968,SUMPRODUCT((ROW(DATABASE!$AV$14:$AV$968)) * (DATABASE!$AV$14:BS$968='Résultats Projection'!$A22 ) * (DATABASE!$AW$14:$AW$968= Z$4))-ROW(DATABASE!$AV$14)+1,Z$5+3)),"")</f>
        <v/>
      </c>
      <c r="AA22" s="116">
        <f t="array" ref="AA22">IFERROR(_xlfn.SINGLE(INDEX(DATABASE!$AV$14:$BC$968,SUMPRODUCT((ROW(DATABASE!$AV$14:$AV$968)) * (DATABASE!$AV$14:BT$968='Résultats Projection'!$A22 ) * (DATABASE!$AW$14:$AW$968= AA$4))-ROW(DATABASE!$AV$14)+1,AA$5+3)),"")</f>
        <v/>
      </c>
      <c r="AB22" s="116">
        <f t="array" ref="AB22">IFERROR(_xlfn.SINGLE(INDEX(DATABASE!$AV$14:$BC$968,SUMPRODUCT((ROW(DATABASE!$AV$14:$AV$968)) * (DATABASE!$AV$14:BU$968='Résultats Projection'!$A22 ) * (DATABASE!$AW$14:$AW$968= AB$4))-ROW(DATABASE!$AV$14)+1,AB$5+3)),"")</f>
        <v/>
      </c>
      <c r="AC22" s="116">
        <f t="array" ref="AC22">IFERROR(_xlfn.SINGLE(INDEX(DATABASE!$AV$14:$BC$968,SUMPRODUCT((ROW(DATABASE!$AV$14:$AV$968)) * (DATABASE!$AV$14:BV$968='Résultats Projection'!$A22 ) * (DATABASE!$AW$14:$AW$968= AC$4))-ROW(DATABASE!$AV$14)+1,AC$5+3)),"")</f>
        <v/>
      </c>
      <c r="AD22" s="116">
        <f t="array" ref="AD22">IFERROR(_xlfn.SINGLE(INDEX(DATABASE!$AV$14:$BC$968,SUMPRODUCT((ROW(DATABASE!$AV$14:$AV$968)) * (DATABASE!$AV$14:BW$968='Résultats Projection'!$A22 ) * (DATABASE!$AW$14:$AW$968= AD$4))-ROW(DATABASE!$AV$14)+1,AD$5+3)),"")</f>
        <v/>
      </c>
      <c r="AE22" s="116">
        <f t="array" ref="AE22">IFERROR(_xlfn.SINGLE(INDEX(DATABASE!$AV$14:$BC$968,SUMPRODUCT((ROW(DATABASE!$AV$14:$AV$968)) * (DATABASE!$AV$14:BX$968='Résultats Projection'!$A22 ) * (DATABASE!$AW$14:$AW$968= AE$4))-ROW(DATABASE!$AV$14)+1,AE$5+3)),"")</f>
        <v/>
      </c>
      <c r="AF22" s="116">
        <f t="array" ref="AF22">IFERROR(_xlfn.SINGLE(INDEX(DATABASE!$AV$14:$BC$968,SUMPRODUCT((ROW(DATABASE!$AV$14:$AV$968)) * (DATABASE!$AV$14:BY$968='Résultats Projection'!$A22 ) * (DATABASE!$AW$14:$AW$968= AF$4))-ROW(DATABASE!$AV$14)+1,AF$5+3)),"")</f>
        <v/>
      </c>
      <c r="AG22" s="116">
        <f t="array" ref="AG22">IFERROR(_xlfn.SINGLE(INDEX(DATABASE!$AV$14:$BC$968,SUMPRODUCT((ROW(DATABASE!$AV$14:$AV$968)) * (DATABASE!$AV$14:BZ$968='Résultats Projection'!$A22 ) * (DATABASE!$AW$14:$AW$968= AG$4))-ROW(DATABASE!$AV$14)+1,AG$5+3)),"")</f>
        <v/>
      </c>
      <c r="AH22" s="116">
        <f t="array" ref="AH22">IFERROR(_xlfn.SINGLE(INDEX(DATABASE!$AV$14:$BC$968,SUMPRODUCT((ROW(DATABASE!$AV$14:$AV$968)) * (DATABASE!$AV$14:CA$968='Résultats Projection'!$A22 ) * (DATABASE!$AW$14:$AW$968= AH$4))-ROW(DATABASE!$AV$14)+1,AH$5+3)),"")</f>
        <v/>
      </c>
      <c r="AI22" s="116">
        <f t="array" ref="AI22">IFERROR(_xlfn.SINGLE(INDEX(DATABASE!$AV$14:$BC$968,SUMPRODUCT((ROW(DATABASE!$AV$14:$AV$968)) * (DATABASE!$AV$14:CB$968='Résultats Projection'!$A22 ) * (DATABASE!$AW$14:$AW$968= AI$4))-ROW(DATABASE!$AV$14)+1,AI$5+3)),"")</f>
        <v/>
      </c>
      <c r="AJ22" s="116">
        <f t="array" ref="AJ22">IFERROR(_xlfn.SINGLE(INDEX(DATABASE!$AV$14:$BC$968,SUMPRODUCT((ROW(DATABASE!$AV$14:$AV$968)) * (DATABASE!$AV$14:CC$968='Résultats Projection'!$A22 ) * (DATABASE!$AW$14:$AW$968= AJ$4))-ROW(DATABASE!$AV$14)+1,AJ$5+3)),"")</f>
        <v/>
      </c>
      <c r="AK22" s="116">
        <f t="array" ref="AK22">IFERROR(_xlfn.SINGLE(INDEX(DATABASE!$AV$14:$BC$968,SUMPRODUCT((ROW(DATABASE!$AV$14:$AV$968)) * (DATABASE!$AV$14:CD$968='Résultats Projection'!$A22 ) * (DATABASE!$AW$14:$AW$968= AK$4))-ROW(DATABASE!$AV$14)+1,AK$5+3)),"")</f>
        <v/>
      </c>
      <c r="AL22" s="116">
        <f t="array" ref="AL22">IFERROR(_xlfn.SINGLE(INDEX(DATABASE!$AV$14:$BC$968,SUMPRODUCT((ROW(DATABASE!$AV$14:$AV$968)) * (DATABASE!$AV$14:CE$968='Résultats Projection'!$A22 ) * (DATABASE!$AW$14:$AW$968= AL$4))-ROW(DATABASE!$AV$14)+1,AL$5+3)),"")</f>
        <v/>
      </c>
      <c r="AM22" s="116">
        <f t="array" ref="AM22">IFERROR(_xlfn.SINGLE(INDEX(DATABASE!$AV$14:$BC$968,SUMPRODUCT((ROW(DATABASE!$AV$14:$AV$968)) * (DATABASE!$AV$14:CF$968='Résultats Projection'!$A22 ) * (DATABASE!$AW$14:$AW$968= AM$4))-ROW(DATABASE!$AV$14)+1,AM$5+3)),"")</f>
        <v/>
      </c>
      <c r="AN22" s="116">
        <f t="array" ref="AN22">IFERROR(_xlfn.SINGLE(INDEX(DATABASE!$AV$14:$BC$968,SUMPRODUCT((ROW(DATABASE!$AV$14:$AV$968)) * (DATABASE!$AV$14:CG$968='Résultats Projection'!$A22 ) * (DATABASE!$AW$14:$AW$968= AN$4))-ROW(DATABASE!$AV$14)+1,AN$5+3)),"")</f>
        <v/>
      </c>
      <c r="AO22" s="116">
        <f t="array" ref="AO22">IFERROR(_xlfn.SINGLE(INDEX(DATABASE!$AV$14:$BC$968,SUMPRODUCT((ROW(DATABASE!$AV$14:$AV$968)) * (DATABASE!$AV$14:CH$968='Résultats Projection'!$A22 ) * (DATABASE!$AW$14:$AW$968= AO$4))-ROW(DATABASE!$AV$14)+1,AO$5+3)),"")</f>
        <v/>
      </c>
      <c r="AP22" s="116">
        <f t="array" ref="AP22">IFERROR(_xlfn.SINGLE(INDEX(DATABASE!$AV$14:$BC$968,SUMPRODUCT((ROW(DATABASE!$AV$14:$AV$968)) * (DATABASE!$AV$14:CI$968='Résultats Projection'!$A22 ) * (DATABASE!$AW$14:$AW$968= AP$4))-ROW(DATABASE!$AV$14)+1,AP$5+3)),"")</f>
        <v/>
      </c>
      <c r="AQ22" s="116">
        <f t="array" ref="AQ22">IFERROR(_xlfn.SINGLE(INDEX(DATABASE!$AV$14:$BC$968,SUMPRODUCT((ROW(DATABASE!$AV$14:$AV$968)) * (DATABASE!$AV$14:CJ$968='Résultats Projection'!$A22 ) * (DATABASE!$AW$14:$AW$968= AQ$4))-ROW(DATABASE!$AV$14)+1,AQ$5+3)),"")</f>
        <v/>
      </c>
      <c r="AR22" s="116">
        <f t="array" ref="AR22">IFERROR(_xlfn.SINGLE(INDEX(DATABASE!$AV$14:$BC$968,SUMPRODUCT((ROW(DATABASE!$AV$14:$AV$968)) * (DATABASE!$AV$14:CK$968='Résultats Projection'!$A22 ) * (DATABASE!$AW$14:$AW$968= AR$4))-ROW(DATABASE!$AV$14)+1,AR$5+3)),"")</f>
        <v/>
      </c>
      <c r="AS22" s="116">
        <f t="array" ref="AS22">IFERROR(_xlfn.SINGLE(INDEX(DATABASE!$AV$14:$BC$968,SUMPRODUCT((ROW(DATABASE!$AV$14:$AV$968)) * (DATABASE!$AV$14:CL$968='Résultats Projection'!$A22 ) * (DATABASE!$AW$14:$AW$968= AS$4))-ROW(DATABASE!$AV$14)+1,AS$5+3)),"")</f>
        <v/>
      </c>
      <c r="AT22" s="116">
        <f t="array" ref="AT22">IFERROR(_xlfn.SINGLE(INDEX(DATABASE!$AV$14:$BC$968,SUMPRODUCT((ROW(DATABASE!$AV$14:$AV$968)) * (DATABASE!$AV$14:CM$968='Résultats Projection'!$A22 ) * (DATABASE!$AW$14:$AW$968= AT$4))-ROW(DATABASE!$AV$14)+1,AT$5+3)),"")</f>
        <v/>
      </c>
      <c r="AU22" s="116">
        <f t="array" ref="AU22">IFERROR(_xlfn.SINGLE(INDEX(DATABASE!$AV$14:$BC$968,SUMPRODUCT((ROW(DATABASE!$AV$14:$AV$968)) * (DATABASE!$AV$14:CN$968='Résultats Projection'!$A22 ) * (DATABASE!$AW$14:$AW$968= AU$4))-ROW(DATABASE!$AV$14)+1,AU$5+3)),"")</f>
        <v/>
      </c>
      <c r="AV22" s="116">
        <f t="array" ref="AV22">IFERROR(_xlfn.SINGLE(INDEX(DATABASE!$AV$14:$BC$968,SUMPRODUCT((ROW(DATABASE!$AV$14:$AV$968)) * (DATABASE!$AV$14:CO$968='Résultats Projection'!$A22 ) * (DATABASE!$AW$14:$AW$968= AV$4))-ROW(DATABASE!$AV$14)+1,AV$5+3)),"")</f>
        <v/>
      </c>
      <c r="AW22" s="116">
        <f t="array" ref="AW22">IFERROR(_xlfn.SINGLE(INDEX(DATABASE!$AV$14:$BC$968,SUMPRODUCT((ROW(DATABASE!$AV$14:$AV$968)) * (DATABASE!$AV$14:CP$968='Résultats Projection'!$A22 ) * (DATABASE!$AW$14:$AW$968= AW$4))-ROW(DATABASE!$AV$14)+1,AW$5+3)),"")</f>
        <v/>
      </c>
      <c r="AX22" s="116">
        <f t="array" ref="AX22">IFERROR(_xlfn.SINGLE(INDEX(DATABASE!$AV$14:$BC$968,SUMPRODUCT((ROW(DATABASE!$AV$14:$AV$968)) * (DATABASE!$AV$14:CQ$968='Résultats Projection'!$A22 ) * (DATABASE!$AW$14:$AW$968= AX$4))-ROW(DATABASE!$AV$14)+1,AX$5+3)),"")</f>
        <v/>
      </c>
      <c r="AY22" s="116">
        <f t="array" ref="AY22">IFERROR(_xlfn.SINGLE(INDEX(DATABASE!$AV$14:$BC$968,SUMPRODUCT((ROW(DATABASE!$AV$14:$AV$968)) * (DATABASE!$AV$14:CR$968='Résultats Projection'!$A22 ) * (DATABASE!$AW$14:$AW$968= AY$4))-ROW(DATABASE!$AV$14)+1,AY$5+3)),"")</f>
        <v/>
      </c>
      <c r="AZ22" s="116">
        <f t="array" ref="AZ22">IFERROR(_xlfn.SINGLE(INDEX(DATABASE!$AV$14:$BC$968,SUMPRODUCT((ROW(DATABASE!$AV$14:$AV$968)) * (DATABASE!$AV$14:CS$968='Résultats Projection'!$A22 ) * (DATABASE!$AW$14:$AW$968= AZ$4))-ROW(DATABASE!$AV$14)+1,AZ$5+3)),"")</f>
        <v/>
      </c>
      <c r="BA22" s="116">
        <f t="array" ref="BA22">IFERROR(_xlfn.SINGLE(INDEX(DATABASE!$AV$14:$BC$968,SUMPRODUCT((ROW(DATABASE!$AV$14:$AV$968)) * (DATABASE!$AV$14:CT$968='Résultats Projection'!$A22 ) * (DATABASE!$AW$14:$AW$968= BA$4))-ROW(DATABASE!$AV$14)+1,BA$5+3)),"")</f>
        <v/>
      </c>
      <c r="BB22" s="116">
        <f t="array" ref="BB22">IFERROR(_xlfn.SINGLE(INDEX(DATABASE!$AV$14:$BC$968,SUMPRODUCT((ROW(DATABASE!$AV$14:$AV$968)) * (DATABASE!$AV$14:CU$968='Résultats Projection'!$A22 ) * (DATABASE!$AW$14:$AW$968= BB$4))-ROW(DATABASE!$AV$14)+1,BB$5+3)),"")</f>
        <v/>
      </c>
      <c r="BC22" s="116">
        <f t="array" ref="BC22">IFERROR(_xlfn.SINGLE(INDEX(DATABASE!$AV$14:$BC$968,SUMPRODUCT((ROW(DATABASE!$AV$14:$AV$968)) * (DATABASE!$AV$14:CV$968='Résultats Projection'!$A22 ) * (DATABASE!$AW$14:$AW$968= BC$4))-ROW(DATABASE!$AV$14)+1,BC$5+3)),"")</f>
        <v/>
      </c>
      <c r="BD22" s="116">
        <f t="array" ref="BD22">IFERROR(_xlfn.SINGLE(INDEX(DATABASE!$AV$14:$BC$968,SUMPRODUCT((ROW(DATABASE!$AV$14:$AV$968)) * (DATABASE!$AV$14:CW$968='Résultats Projection'!$A22 ) * (DATABASE!$AW$14:$AW$968= BD$4))-ROW(DATABASE!$AV$14)+1,BD$5+3)),"")</f>
        <v/>
      </c>
      <c r="BE22" s="116">
        <f t="array" ref="BE22">IFERROR(_xlfn.SINGLE(INDEX(DATABASE!$AV$14:$BC$968,SUMPRODUCT((ROW(DATABASE!$AV$14:$AV$968)) * (DATABASE!$AV$14:CX$968='Résultats Projection'!$A22 ) * (DATABASE!$AW$14:$AW$968= BE$4))-ROW(DATABASE!$AV$14)+1,BE$5+3)),"")</f>
        <v/>
      </c>
      <c r="BF22" s="116">
        <f t="array" ref="BF22">IFERROR(_xlfn.SINGLE(INDEX(DATABASE!$AV$14:$BC$968,SUMPRODUCT((ROW(DATABASE!$AV$14:$AV$968)) * (DATABASE!$AV$14:CY$968='Résultats Projection'!$A22 ) * (DATABASE!$AW$14:$AW$968= BF$4))-ROW(DATABASE!$AV$14)+1,BF$5+3)),"")</f>
        <v/>
      </c>
      <c r="BG22" s="116">
        <f t="array" ref="BG22">IFERROR(_xlfn.SINGLE(INDEX(DATABASE!$AV$14:$BC$968,SUMPRODUCT((ROW(DATABASE!$AV$14:$AV$968)) * (DATABASE!$AV$14:CZ$968='Résultats Projection'!$A22 ) * (DATABASE!$AW$14:$AW$968= BG$4))-ROW(DATABASE!$AV$14)+1,BG$5+3)),"")</f>
        <v/>
      </c>
      <c r="BH22" s="116">
        <f t="array" ref="BH22">IFERROR(_xlfn.SINGLE(INDEX(DATABASE!$AV$14:$BC$968,SUMPRODUCT((ROW(DATABASE!$AV$14:$AV$968)) * (DATABASE!$AV$14:DA$968='Résultats Projection'!$A22 ) * (DATABASE!$AW$14:$AW$968= BH$4))-ROW(DATABASE!$AV$14)+1,BH$5+3)),"")</f>
        <v/>
      </c>
      <c r="BI22" s="116">
        <f t="array" ref="BI22">IFERROR(_xlfn.SINGLE(INDEX(DATABASE!$AV$14:$BC$968,SUMPRODUCT((ROW(DATABASE!$AV$14:$AV$968)) * (DATABASE!$AV$14:DB$968='Résultats Projection'!$A22 ) * (DATABASE!$AW$14:$AW$968= BI$4))-ROW(DATABASE!$AV$14)+1,BI$5+3)),"")</f>
        <v/>
      </c>
      <c r="BJ22" s="116">
        <f t="array" ref="BJ22">IFERROR(_xlfn.SINGLE(INDEX(DATABASE!$AV$14:$BC$968,SUMPRODUCT((ROW(DATABASE!$AV$14:$AV$968)) * (DATABASE!$AV$14:DC$968='Résultats Projection'!$A22 ) * (DATABASE!$AW$14:$AW$968= BJ$4))-ROW(DATABASE!$AV$14)+1,BJ$5+3)),"")</f>
        <v/>
      </c>
    </row>
    <row r="23" ht="29.25" customFormat="1" customHeight="1" s="28">
      <c r="A23" s="42" t="n">
        <v>45567</v>
      </c>
      <c r="B23" s="8">
        <f>A23-A$10</f>
        <v/>
      </c>
      <c r="C23" s="116">
        <f t="array" ref="C23">IFERROR(_xlfn.SINGLE(INDEX(DATABASE!$AV$14:$BC$968,SUMPRODUCT((ROW(DATABASE!$AV$14:$AV$968)) * (DATABASE!AV$14:$AV$968='Résultats Projection'!$A23 ) * (DATABASE!$AW$14:$AW$968= C$4))-ROW(DATABASE!$AV$14)+1,C$5+3)),"")</f>
        <v/>
      </c>
      <c r="D23" s="116">
        <f t="array" ref="D23">IFERROR(_xlfn.SINGLE(INDEX(DATABASE!$AV$14:$BC$968,SUMPRODUCT((ROW(DATABASE!$AV$14:$AV$968)) * (DATABASE!$AV$14:AW$968='Résultats Projection'!$A23 ) * (DATABASE!$AW$14:$AW$968= D$4))-ROW(DATABASE!$AV$14)+1,D$5+3)),"")</f>
        <v/>
      </c>
      <c r="E23" s="116">
        <f t="array" ref="E23">IFERROR(_xlfn.SINGLE(INDEX(DATABASE!$AV$14:$BC$968,SUMPRODUCT((ROW(DATABASE!$AV$14:$AV$968)) * (DATABASE!$AV$14:AX$968='Résultats Projection'!$A23 ) * (DATABASE!$AW$14:$AW$968= E$4))-ROW(DATABASE!$AV$14)+1,E$5+3)),"")</f>
        <v/>
      </c>
      <c r="F23" s="116">
        <f t="array" ref="F23">IFERROR(_xlfn.SINGLE(INDEX(DATABASE!$AV$14:$BC$968,SUMPRODUCT((ROW(DATABASE!$AV$14:$AV$968)) * (DATABASE!$AV$14:AY$968='Résultats Projection'!$A23 ) * (DATABASE!$AW$14:$AW$968= F$4))-ROW(DATABASE!$AV$14)+1,F$5+3)),"")</f>
        <v/>
      </c>
      <c r="G23" s="116">
        <f t="array" ref="G23">IFERROR(_xlfn.SINGLE(INDEX(DATABASE!$AV$14:$BC$968,SUMPRODUCT((ROW(DATABASE!$AV$14:$AV$968)) * (DATABASE!$AV$14:AZ$968='Résultats Projection'!$A23 ) * (DATABASE!$AW$14:$AW$968= G$4))-ROW(DATABASE!$AV$14)+1,G$5+3)),"")</f>
        <v/>
      </c>
      <c r="H23" s="116">
        <f t="array" ref="H23">IFERROR(_xlfn.SINGLE(INDEX(DATABASE!$AV$14:$BC$968,SUMPRODUCT((ROW(DATABASE!$AV$14:$AV$968)) * (DATABASE!$AV$14:BA$968='Résultats Projection'!$A23 ) * (DATABASE!$AW$14:$AW$968= H$4))-ROW(DATABASE!$AV$14)+1,H$5+3)),"")</f>
        <v/>
      </c>
      <c r="I23" s="116">
        <f t="array" ref="I23">IFERROR(_xlfn.SINGLE(INDEX(DATABASE!$AV$14:$BC$968,SUMPRODUCT((ROW(DATABASE!$AV$14:$AV$968)) * (DATABASE!$AV$14:BB$968='Résultats Projection'!$A23 ) * (DATABASE!$AW$14:$AW$968= I$4))-ROW(DATABASE!$AV$14)+1,I$5+3)),"")</f>
        <v/>
      </c>
      <c r="J23" s="116">
        <f t="array" ref="J23">IFERROR(_xlfn.SINGLE(INDEX(DATABASE!$AV$14:$BC$968,SUMPRODUCT((ROW(DATABASE!$AV$14:$AV$968)) * (DATABASE!$AV$14:BC$968='Résultats Projection'!$A23 ) * (DATABASE!$AW$14:$AW$968= J$4))-ROW(DATABASE!$AV$14)+1,J$5+3)),"")</f>
        <v/>
      </c>
      <c r="K23" s="116">
        <f t="array" ref="K23">IFERROR(_xlfn.SINGLE(INDEX(DATABASE!$AV$14:$BC$968,SUMPRODUCT((ROW(DATABASE!$AV$14:$AV$968)) * (DATABASE!$AV$14:BD$968='Résultats Projection'!$A23 ) * (DATABASE!$AW$14:$AW$968= K$4))-ROW(DATABASE!$AV$14)+1,K$5+3)),"")</f>
        <v/>
      </c>
      <c r="L23" s="116">
        <f t="array" ref="L23">IFERROR(_xlfn.SINGLE(INDEX(DATABASE!$AV$14:$BC$968,SUMPRODUCT((ROW(DATABASE!$AV$14:$AV$968)) * (DATABASE!$AV$14:BE$968='Résultats Projection'!$A23 ) * (DATABASE!$AW$14:$AW$968= L$4))-ROW(DATABASE!$AV$14)+1,L$5+3)),"")</f>
        <v/>
      </c>
      <c r="M23" s="116">
        <f t="array" ref="M23">IFERROR(_xlfn.SINGLE(INDEX(DATABASE!$AV$14:$BC$968,SUMPRODUCT((ROW(DATABASE!$AV$14:$AV$968)) * (DATABASE!$AV$14:BF$968='Résultats Projection'!$A23 ) * (DATABASE!$AW$14:$AW$968= M$4))-ROW(DATABASE!$AV$14)+1,M$5+3)),"")</f>
        <v/>
      </c>
      <c r="N23" s="116">
        <f t="array" ref="N23">IFERROR(_xlfn.SINGLE(INDEX(DATABASE!$AV$14:$BC$968,SUMPRODUCT((ROW(DATABASE!$AV$14:$AV$968)) * (DATABASE!$AV$14:BG$968='Résultats Projection'!$A23 ) * (DATABASE!$AW$14:$AW$968= N$4))-ROW(DATABASE!$AV$14)+1,N$5+3)),"")</f>
        <v/>
      </c>
      <c r="O23" s="116">
        <f t="array" ref="O23">IFERROR(_xlfn.SINGLE(INDEX(DATABASE!$AV$14:$BC$968,SUMPRODUCT((ROW(DATABASE!$AV$14:$AV$968)) * (DATABASE!$AV$14:BH$968='Résultats Projection'!$A23 ) * (DATABASE!$AW$14:$AW$968= O$4))-ROW(DATABASE!$AV$14)+1,O$5+3)),"")</f>
        <v/>
      </c>
      <c r="P23" s="116">
        <f t="array" ref="P23">IFERROR(_xlfn.SINGLE(INDEX(DATABASE!$AV$14:$BC$968,SUMPRODUCT((ROW(DATABASE!$AV$14:$AV$968)) * (DATABASE!$AV$14:BI$968='Résultats Projection'!$A23 ) * (DATABASE!$AW$14:$AW$968= P$4))-ROW(DATABASE!$AV$14)+1,P$5+3)),"")</f>
        <v/>
      </c>
      <c r="Q23" s="116">
        <f t="array" ref="Q23">IFERROR(_xlfn.SINGLE(INDEX(DATABASE!$AV$14:$BC$968,SUMPRODUCT((ROW(DATABASE!$AV$14:$AV$968)) * (DATABASE!$AV$14:BJ$968='Résultats Projection'!$A23 ) * (DATABASE!$AW$14:$AW$968= Q$4))-ROW(DATABASE!$AV$14)+1,Q$5+3)),"")</f>
        <v/>
      </c>
      <c r="R23" s="116">
        <f t="array" ref="R23">IFERROR(_xlfn.SINGLE(INDEX(DATABASE!$AV$14:$BC$968,SUMPRODUCT((ROW(DATABASE!$AV$14:$AV$968)) * (DATABASE!$AV$14:BK$968='Résultats Projection'!$A23 ) * (DATABASE!$AW$14:$AW$968= R$4))-ROW(DATABASE!$AV$14)+1,R$5+3)),"")</f>
        <v/>
      </c>
      <c r="S23" s="116">
        <f t="array" ref="S23">IFERROR(_xlfn.SINGLE(INDEX(DATABASE!$AV$14:$BC$968,SUMPRODUCT((ROW(DATABASE!$AV$14:$AV$968)) * (DATABASE!$AV$14:BL$968='Résultats Projection'!$A23 ) * (DATABASE!$AW$14:$AW$968= S$4))-ROW(DATABASE!$AV$14)+1,S$5+3)),"")</f>
        <v/>
      </c>
      <c r="T23" s="116">
        <f t="array" ref="T23">IFERROR(_xlfn.SINGLE(INDEX(DATABASE!$AV$14:$BC$968,SUMPRODUCT((ROW(DATABASE!$AV$14:$AV$968)) * (DATABASE!$AV$14:BM$968='Résultats Projection'!$A23 ) * (DATABASE!$AW$14:$AW$968= T$4))-ROW(DATABASE!$AV$14)+1,T$5+3)),"")</f>
        <v/>
      </c>
      <c r="U23" s="116">
        <f t="array" ref="U23">IFERROR(_xlfn.SINGLE(INDEX(DATABASE!$AV$14:$BC$968,SUMPRODUCT((ROW(DATABASE!$AV$14:$AV$968)) * (DATABASE!$AV$14:BN$968='Résultats Projection'!$A23 ) * (DATABASE!$AW$14:$AW$968= U$4))-ROW(DATABASE!$AV$14)+1,U$5+3)),"")</f>
        <v/>
      </c>
      <c r="V23" s="116">
        <f t="array" ref="V23">IFERROR(_xlfn.SINGLE(INDEX(DATABASE!$AV$14:$BC$968,SUMPRODUCT((ROW(DATABASE!$AV$14:$AV$968)) * (DATABASE!$AV$14:BO$968='Résultats Projection'!$A23 ) * (DATABASE!$AW$14:$AW$968= V$4))-ROW(DATABASE!$AV$14)+1,V$5+3)),"")</f>
        <v/>
      </c>
      <c r="W23" s="116">
        <f t="array" ref="W23">IFERROR(_xlfn.SINGLE(INDEX(DATABASE!$AV$14:$BC$968,SUMPRODUCT((ROW(DATABASE!$AV$14:$AV$968)) * (DATABASE!$AV$14:BP$968='Résultats Projection'!$A23 ) * (DATABASE!$AW$14:$AW$968= W$4))-ROW(DATABASE!$AV$14)+1,W$5+3)),"")</f>
        <v/>
      </c>
      <c r="X23" s="116">
        <f t="array" ref="X23">IFERROR(_xlfn.SINGLE(INDEX(DATABASE!$AV$14:$BC$968,SUMPRODUCT((ROW(DATABASE!$AV$14:$AV$968)) * (DATABASE!$AV$14:BQ$968='Résultats Projection'!$A23 ) * (DATABASE!$AW$14:$AW$968= X$4))-ROW(DATABASE!$AV$14)+1,X$5+3)),"")</f>
        <v/>
      </c>
      <c r="Y23" s="116">
        <f t="array" ref="Y23">IFERROR(_xlfn.SINGLE(INDEX(DATABASE!$AV$14:$BC$968,SUMPRODUCT((ROW(DATABASE!$AV$14:$AV$968)) * (DATABASE!$AV$14:BR$968='Résultats Projection'!$A23 ) * (DATABASE!$AW$14:$AW$968= Y$4))-ROW(DATABASE!$AV$14)+1,Y$5+3)),"")</f>
        <v/>
      </c>
      <c r="Z23" s="116">
        <f t="array" ref="Z23">IFERROR(_xlfn.SINGLE(INDEX(DATABASE!$AV$14:$BC$968,SUMPRODUCT((ROW(DATABASE!$AV$14:$AV$968)) * (DATABASE!$AV$14:BS$968='Résultats Projection'!$A23 ) * (DATABASE!$AW$14:$AW$968= Z$4))-ROW(DATABASE!$AV$14)+1,Z$5+3)),"")</f>
        <v/>
      </c>
      <c r="AA23" s="116">
        <f t="array" ref="AA23">IFERROR(_xlfn.SINGLE(INDEX(DATABASE!$AV$14:$BC$968,SUMPRODUCT((ROW(DATABASE!$AV$14:$AV$968)) * (DATABASE!$AV$14:BT$968='Résultats Projection'!$A23 ) * (DATABASE!$AW$14:$AW$968= AA$4))-ROW(DATABASE!$AV$14)+1,AA$5+3)),"")</f>
        <v/>
      </c>
      <c r="AB23" s="116">
        <f t="array" ref="AB23">IFERROR(_xlfn.SINGLE(INDEX(DATABASE!$AV$14:$BC$968,SUMPRODUCT((ROW(DATABASE!$AV$14:$AV$968)) * (DATABASE!$AV$14:BU$968='Résultats Projection'!$A23 ) * (DATABASE!$AW$14:$AW$968= AB$4))-ROW(DATABASE!$AV$14)+1,AB$5+3)),"")</f>
        <v/>
      </c>
      <c r="AC23" s="116">
        <f t="array" ref="AC23">IFERROR(_xlfn.SINGLE(INDEX(DATABASE!$AV$14:$BC$968,SUMPRODUCT((ROW(DATABASE!$AV$14:$AV$968)) * (DATABASE!$AV$14:BV$968='Résultats Projection'!$A23 ) * (DATABASE!$AW$14:$AW$968= AC$4))-ROW(DATABASE!$AV$14)+1,AC$5+3)),"")</f>
        <v/>
      </c>
      <c r="AD23" s="116">
        <f t="array" ref="AD23">IFERROR(_xlfn.SINGLE(INDEX(DATABASE!$AV$14:$BC$968,SUMPRODUCT((ROW(DATABASE!$AV$14:$AV$968)) * (DATABASE!$AV$14:BW$968='Résultats Projection'!$A23 ) * (DATABASE!$AW$14:$AW$968= AD$4))-ROW(DATABASE!$AV$14)+1,AD$5+3)),"")</f>
        <v/>
      </c>
      <c r="AE23" s="116">
        <f t="array" ref="AE23">IFERROR(_xlfn.SINGLE(INDEX(DATABASE!$AV$14:$BC$968,SUMPRODUCT((ROW(DATABASE!$AV$14:$AV$968)) * (DATABASE!$AV$14:BX$968='Résultats Projection'!$A23 ) * (DATABASE!$AW$14:$AW$968= AE$4))-ROW(DATABASE!$AV$14)+1,AE$5+3)),"")</f>
        <v/>
      </c>
      <c r="AF23" s="116">
        <f t="array" ref="AF23">IFERROR(_xlfn.SINGLE(INDEX(DATABASE!$AV$14:$BC$968,SUMPRODUCT((ROW(DATABASE!$AV$14:$AV$968)) * (DATABASE!$AV$14:BY$968='Résultats Projection'!$A23 ) * (DATABASE!$AW$14:$AW$968= AF$4))-ROW(DATABASE!$AV$14)+1,AF$5+3)),"")</f>
        <v/>
      </c>
      <c r="AG23" s="116">
        <f t="array" ref="AG23">IFERROR(_xlfn.SINGLE(INDEX(DATABASE!$AV$14:$BC$968,SUMPRODUCT((ROW(DATABASE!$AV$14:$AV$968)) * (DATABASE!$AV$14:BZ$968='Résultats Projection'!$A23 ) * (DATABASE!$AW$14:$AW$968= AG$4))-ROW(DATABASE!$AV$14)+1,AG$5+3)),"")</f>
        <v/>
      </c>
      <c r="AH23" s="116">
        <f t="array" ref="AH23">IFERROR(_xlfn.SINGLE(INDEX(DATABASE!$AV$14:$BC$968,SUMPRODUCT((ROW(DATABASE!$AV$14:$AV$968)) * (DATABASE!$AV$14:CA$968='Résultats Projection'!$A23 ) * (DATABASE!$AW$14:$AW$968= AH$4))-ROW(DATABASE!$AV$14)+1,AH$5+3)),"")</f>
        <v/>
      </c>
      <c r="AI23" s="116">
        <f t="array" ref="AI23">IFERROR(_xlfn.SINGLE(INDEX(DATABASE!$AV$14:$BC$968,SUMPRODUCT((ROW(DATABASE!$AV$14:$AV$968)) * (DATABASE!$AV$14:CB$968='Résultats Projection'!$A23 ) * (DATABASE!$AW$14:$AW$968= AI$4))-ROW(DATABASE!$AV$14)+1,AI$5+3)),"")</f>
        <v/>
      </c>
      <c r="AJ23" s="116">
        <f t="array" ref="AJ23">IFERROR(_xlfn.SINGLE(INDEX(DATABASE!$AV$14:$BC$968,SUMPRODUCT((ROW(DATABASE!$AV$14:$AV$968)) * (DATABASE!$AV$14:CC$968='Résultats Projection'!$A23 ) * (DATABASE!$AW$14:$AW$968= AJ$4))-ROW(DATABASE!$AV$14)+1,AJ$5+3)),"")</f>
        <v/>
      </c>
      <c r="AK23" s="116">
        <f t="array" ref="AK23">IFERROR(_xlfn.SINGLE(INDEX(DATABASE!$AV$14:$BC$968,SUMPRODUCT((ROW(DATABASE!$AV$14:$AV$968)) * (DATABASE!$AV$14:CD$968='Résultats Projection'!$A23 ) * (DATABASE!$AW$14:$AW$968= AK$4))-ROW(DATABASE!$AV$14)+1,AK$5+3)),"")</f>
        <v/>
      </c>
      <c r="AL23" s="116">
        <f t="array" ref="AL23">IFERROR(_xlfn.SINGLE(INDEX(DATABASE!$AV$14:$BC$968,SUMPRODUCT((ROW(DATABASE!$AV$14:$AV$968)) * (DATABASE!$AV$14:CE$968='Résultats Projection'!$A23 ) * (DATABASE!$AW$14:$AW$968= AL$4))-ROW(DATABASE!$AV$14)+1,AL$5+3)),"")</f>
        <v/>
      </c>
      <c r="AM23" s="116">
        <f t="array" ref="AM23">IFERROR(_xlfn.SINGLE(INDEX(DATABASE!$AV$14:$BC$968,SUMPRODUCT((ROW(DATABASE!$AV$14:$AV$968)) * (DATABASE!$AV$14:CF$968='Résultats Projection'!$A23 ) * (DATABASE!$AW$14:$AW$968= AM$4))-ROW(DATABASE!$AV$14)+1,AM$5+3)),"")</f>
        <v/>
      </c>
      <c r="AN23" s="116">
        <f t="array" ref="AN23">IFERROR(_xlfn.SINGLE(INDEX(DATABASE!$AV$14:$BC$968,SUMPRODUCT((ROW(DATABASE!$AV$14:$AV$968)) * (DATABASE!$AV$14:CG$968='Résultats Projection'!$A23 ) * (DATABASE!$AW$14:$AW$968= AN$4))-ROW(DATABASE!$AV$14)+1,AN$5+3)),"")</f>
        <v/>
      </c>
      <c r="AO23" s="116">
        <f t="array" ref="AO23">IFERROR(_xlfn.SINGLE(INDEX(DATABASE!$AV$14:$BC$968,SUMPRODUCT((ROW(DATABASE!$AV$14:$AV$968)) * (DATABASE!$AV$14:CH$968='Résultats Projection'!$A23 ) * (DATABASE!$AW$14:$AW$968= AO$4))-ROW(DATABASE!$AV$14)+1,AO$5+3)),"")</f>
        <v/>
      </c>
      <c r="AP23" s="116">
        <f t="array" ref="AP23">IFERROR(_xlfn.SINGLE(INDEX(DATABASE!$AV$14:$BC$968,SUMPRODUCT((ROW(DATABASE!$AV$14:$AV$968)) * (DATABASE!$AV$14:CI$968='Résultats Projection'!$A23 ) * (DATABASE!$AW$14:$AW$968= AP$4))-ROW(DATABASE!$AV$14)+1,AP$5+3)),"")</f>
        <v/>
      </c>
      <c r="AQ23" s="116">
        <f t="array" ref="AQ23">IFERROR(_xlfn.SINGLE(INDEX(DATABASE!$AV$14:$BC$968,SUMPRODUCT((ROW(DATABASE!$AV$14:$AV$968)) * (DATABASE!$AV$14:CJ$968='Résultats Projection'!$A23 ) * (DATABASE!$AW$14:$AW$968= AQ$4))-ROW(DATABASE!$AV$14)+1,AQ$5+3)),"")</f>
        <v/>
      </c>
      <c r="AR23" s="116">
        <f t="array" ref="AR23">IFERROR(_xlfn.SINGLE(INDEX(DATABASE!$AV$14:$BC$968,SUMPRODUCT((ROW(DATABASE!$AV$14:$AV$968)) * (DATABASE!$AV$14:CK$968='Résultats Projection'!$A23 ) * (DATABASE!$AW$14:$AW$968= AR$4))-ROW(DATABASE!$AV$14)+1,AR$5+3)),"")</f>
        <v/>
      </c>
      <c r="AS23" s="116">
        <f t="array" ref="AS23">IFERROR(_xlfn.SINGLE(INDEX(DATABASE!$AV$14:$BC$968,SUMPRODUCT((ROW(DATABASE!$AV$14:$AV$968)) * (DATABASE!$AV$14:CL$968='Résultats Projection'!$A23 ) * (DATABASE!$AW$14:$AW$968= AS$4))-ROW(DATABASE!$AV$14)+1,AS$5+3)),"")</f>
        <v/>
      </c>
      <c r="AT23" s="116">
        <f t="array" ref="AT23">IFERROR(_xlfn.SINGLE(INDEX(DATABASE!$AV$14:$BC$968,SUMPRODUCT((ROW(DATABASE!$AV$14:$AV$968)) * (DATABASE!$AV$14:CM$968='Résultats Projection'!$A23 ) * (DATABASE!$AW$14:$AW$968= AT$4))-ROW(DATABASE!$AV$14)+1,AT$5+3)),"")</f>
        <v/>
      </c>
      <c r="AU23" s="116">
        <f t="array" ref="AU23">IFERROR(_xlfn.SINGLE(INDEX(DATABASE!$AV$14:$BC$968,SUMPRODUCT((ROW(DATABASE!$AV$14:$AV$968)) * (DATABASE!$AV$14:CN$968='Résultats Projection'!$A23 ) * (DATABASE!$AW$14:$AW$968= AU$4))-ROW(DATABASE!$AV$14)+1,AU$5+3)),"")</f>
        <v/>
      </c>
      <c r="AV23" s="116">
        <f t="array" ref="AV23">IFERROR(_xlfn.SINGLE(INDEX(DATABASE!$AV$14:$BC$968,SUMPRODUCT((ROW(DATABASE!$AV$14:$AV$968)) * (DATABASE!$AV$14:CO$968='Résultats Projection'!$A23 ) * (DATABASE!$AW$14:$AW$968= AV$4))-ROW(DATABASE!$AV$14)+1,AV$5+3)),"")</f>
        <v/>
      </c>
      <c r="AW23" s="116">
        <f t="array" ref="AW23">IFERROR(_xlfn.SINGLE(INDEX(DATABASE!$AV$14:$BC$968,SUMPRODUCT((ROW(DATABASE!$AV$14:$AV$968)) * (DATABASE!$AV$14:CP$968='Résultats Projection'!$A23 ) * (DATABASE!$AW$14:$AW$968= AW$4))-ROW(DATABASE!$AV$14)+1,AW$5+3)),"")</f>
        <v/>
      </c>
      <c r="AX23" s="116">
        <f t="array" ref="AX23">IFERROR(_xlfn.SINGLE(INDEX(DATABASE!$AV$14:$BC$968,SUMPRODUCT((ROW(DATABASE!$AV$14:$AV$968)) * (DATABASE!$AV$14:CQ$968='Résultats Projection'!$A23 ) * (DATABASE!$AW$14:$AW$968= AX$4))-ROW(DATABASE!$AV$14)+1,AX$5+3)),"")</f>
        <v/>
      </c>
      <c r="AY23" s="116">
        <f t="array" ref="AY23">IFERROR(_xlfn.SINGLE(INDEX(DATABASE!$AV$14:$BC$968,SUMPRODUCT((ROW(DATABASE!$AV$14:$AV$968)) * (DATABASE!$AV$14:CR$968='Résultats Projection'!$A23 ) * (DATABASE!$AW$14:$AW$968= AY$4))-ROW(DATABASE!$AV$14)+1,AY$5+3)),"")</f>
        <v/>
      </c>
      <c r="AZ23" s="116">
        <f t="array" ref="AZ23">IFERROR(_xlfn.SINGLE(INDEX(DATABASE!$AV$14:$BC$968,SUMPRODUCT((ROW(DATABASE!$AV$14:$AV$968)) * (DATABASE!$AV$14:CS$968='Résultats Projection'!$A23 ) * (DATABASE!$AW$14:$AW$968= AZ$4))-ROW(DATABASE!$AV$14)+1,AZ$5+3)),"")</f>
        <v/>
      </c>
      <c r="BA23" s="116">
        <f t="array" ref="BA23">IFERROR(_xlfn.SINGLE(INDEX(DATABASE!$AV$14:$BC$968,SUMPRODUCT((ROW(DATABASE!$AV$14:$AV$968)) * (DATABASE!$AV$14:CT$968='Résultats Projection'!$A23 ) * (DATABASE!$AW$14:$AW$968= BA$4))-ROW(DATABASE!$AV$14)+1,BA$5+3)),"")</f>
        <v/>
      </c>
      <c r="BB23" s="116">
        <f t="array" ref="BB23">IFERROR(_xlfn.SINGLE(INDEX(DATABASE!$AV$14:$BC$968,SUMPRODUCT((ROW(DATABASE!$AV$14:$AV$968)) * (DATABASE!$AV$14:CU$968='Résultats Projection'!$A23 ) * (DATABASE!$AW$14:$AW$968= BB$4))-ROW(DATABASE!$AV$14)+1,BB$5+3)),"")</f>
        <v/>
      </c>
      <c r="BC23" s="116">
        <f t="array" ref="BC23">IFERROR(_xlfn.SINGLE(INDEX(DATABASE!$AV$14:$BC$968,SUMPRODUCT((ROW(DATABASE!$AV$14:$AV$968)) * (DATABASE!$AV$14:CV$968='Résultats Projection'!$A23 ) * (DATABASE!$AW$14:$AW$968= BC$4))-ROW(DATABASE!$AV$14)+1,BC$5+3)),"")</f>
        <v/>
      </c>
      <c r="BD23" s="116">
        <f t="array" ref="BD23">IFERROR(_xlfn.SINGLE(INDEX(DATABASE!$AV$14:$BC$968,SUMPRODUCT((ROW(DATABASE!$AV$14:$AV$968)) * (DATABASE!$AV$14:CW$968='Résultats Projection'!$A23 ) * (DATABASE!$AW$14:$AW$968= BD$4))-ROW(DATABASE!$AV$14)+1,BD$5+3)),"")</f>
        <v/>
      </c>
      <c r="BE23" s="116">
        <f t="array" ref="BE23">IFERROR(_xlfn.SINGLE(INDEX(DATABASE!$AV$14:$BC$968,SUMPRODUCT((ROW(DATABASE!$AV$14:$AV$968)) * (DATABASE!$AV$14:CX$968='Résultats Projection'!$A23 ) * (DATABASE!$AW$14:$AW$968= BE$4))-ROW(DATABASE!$AV$14)+1,BE$5+3)),"")</f>
        <v/>
      </c>
      <c r="BF23" s="116">
        <f t="array" ref="BF23">IFERROR(_xlfn.SINGLE(INDEX(DATABASE!$AV$14:$BC$968,SUMPRODUCT((ROW(DATABASE!$AV$14:$AV$968)) * (DATABASE!$AV$14:CY$968='Résultats Projection'!$A23 ) * (DATABASE!$AW$14:$AW$968= BF$4))-ROW(DATABASE!$AV$14)+1,BF$5+3)),"")</f>
        <v/>
      </c>
      <c r="BG23" s="116">
        <f t="array" ref="BG23">IFERROR(_xlfn.SINGLE(INDEX(DATABASE!$AV$14:$BC$968,SUMPRODUCT((ROW(DATABASE!$AV$14:$AV$968)) * (DATABASE!$AV$14:CZ$968='Résultats Projection'!$A23 ) * (DATABASE!$AW$14:$AW$968= BG$4))-ROW(DATABASE!$AV$14)+1,BG$5+3)),"")</f>
        <v/>
      </c>
      <c r="BH23" s="116">
        <f t="array" ref="BH23">IFERROR(_xlfn.SINGLE(INDEX(DATABASE!$AV$14:$BC$968,SUMPRODUCT((ROW(DATABASE!$AV$14:$AV$968)) * (DATABASE!$AV$14:DA$968='Résultats Projection'!$A23 ) * (DATABASE!$AW$14:$AW$968= BH$4))-ROW(DATABASE!$AV$14)+1,BH$5+3)),"")</f>
        <v/>
      </c>
      <c r="BI23" s="116">
        <f t="array" ref="BI23">IFERROR(_xlfn.SINGLE(INDEX(DATABASE!$AV$14:$BC$968,SUMPRODUCT((ROW(DATABASE!$AV$14:$AV$968)) * (DATABASE!$AV$14:DB$968='Résultats Projection'!$A23 ) * (DATABASE!$AW$14:$AW$968= BI$4))-ROW(DATABASE!$AV$14)+1,BI$5+3)),"")</f>
        <v/>
      </c>
      <c r="BJ23" s="116">
        <f t="array" ref="BJ23">IFERROR(_xlfn.SINGLE(INDEX(DATABASE!$AV$14:$BC$968,SUMPRODUCT((ROW(DATABASE!$AV$14:$AV$968)) * (DATABASE!$AV$14:DC$968='Résultats Projection'!$A23 ) * (DATABASE!$AW$14:$AW$968= BJ$4))-ROW(DATABASE!$AV$14)+1,BJ$5+3)),"")</f>
        <v/>
      </c>
    </row>
    <row r="24" ht="29.25" customFormat="1" customHeight="1" s="28">
      <c r="A24" s="42" t="n">
        <v>45569</v>
      </c>
      <c r="B24" s="8">
        <f>A24-A$10</f>
        <v/>
      </c>
      <c r="C24" s="116">
        <f t="array" ref="C24">IFERROR(_xlfn.SINGLE(INDEX(DATABASE!$AV$14:$BC$968,SUMPRODUCT((ROW(DATABASE!$AV$14:$AV$968)) * (DATABASE!AV$14:$AV$968='Résultats Projection'!$A24 ) * (DATABASE!$AW$14:$AW$968= C$4))-ROW(DATABASE!$AV$14)+1,C$5+3)),"")</f>
        <v/>
      </c>
      <c r="D24" s="116">
        <f t="array" ref="D24">IFERROR(_xlfn.SINGLE(INDEX(DATABASE!$AV$14:$BC$968,SUMPRODUCT((ROW(DATABASE!$AV$14:$AV$968)) * (DATABASE!$AV$14:AW$968='Résultats Projection'!$A24 ) * (DATABASE!$AW$14:$AW$968= D$4))-ROW(DATABASE!$AV$14)+1,D$5+3)),"")</f>
        <v/>
      </c>
      <c r="E24" s="116">
        <f t="array" ref="E24">IFERROR(_xlfn.SINGLE(INDEX(DATABASE!$AV$14:$BC$968,SUMPRODUCT((ROW(DATABASE!$AV$14:$AV$968)) * (DATABASE!$AV$14:AX$968='Résultats Projection'!$A24 ) * (DATABASE!$AW$14:$AW$968= E$4))-ROW(DATABASE!$AV$14)+1,E$5+3)),"")</f>
        <v/>
      </c>
      <c r="F24" s="116">
        <f t="array" ref="F24">IFERROR(_xlfn.SINGLE(INDEX(DATABASE!$AV$14:$BC$968,SUMPRODUCT((ROW(DATABASE!$AV$14:$AV$968)) * (DATABASE!$AV$14:AY$968='Résultats Projection'!$A24 ) * (DATABASE!$AW$14:$AW$968= F$4))-ROW(DATABASE!$AV$14)+1,F$5+3)),"")</f>
        <v/>
      </c>
      <c r="G24" s="116">
        <f t="array" ref="G24">IFERROR(_xlfn.SINGLE(INDEX(DATABASE!$AV$14:$BC$968,SUMPRODUCT((ROW(DATABASE!$AV$14:$AV$968)) * (DATABASE!$AV$14:AZ$968='Résultats Projection'!$A24 ) * (DATABASE!$AW$14:$AW$968= G$4))-ROW(DATABASE!$AV$14)+1,G$5+3)),"")</f>
        <v/>
      </c>
      <c r="H24" s="116">
        <f t="array" ref="H24">IFERROR(_xlfn.SINGLE(INDEX(DATABASE!$AV$14:$BC$968,SUMPRODUCT((ROW(DATABASE!$AV$14:$AV$968)) * (DATABASE!$AV$14:BA$968='Résultats Projection'!$A24 ) * (DATABASE!$AW$14:$AW$968= H$4))-ROW(DATABASE!$AV$14)+1,H$5+3)),"")</f>
        <v/>
      </c>
      <c r="I24" s="116">
        <f t="array" ref="I24">IFERROR(_xlfn.SINGLE(INDEX(DATABASE!$AV$14:$BC$968,SUMPRODUCT((ROW(DATABASE!$AV$14:$AV$968)) * (DATABASE!$AV$14:BB$968='Résultats Projection'!$A24 ) * (DATABASE!$AW$14:$AW$968= I$4))-ROW(DATABASE!$AV$14)+1,I$5+3)),"")</f>
        <v/>
      </c>
      <c r="J24" s="116">
        <f t="array" ref="J24">IFERROR(_xlfn.SINGLE(INDEX(DATABASE!$AV$14:$BC$968,SUMPRODUCT((ROW(DATABASE!$AV$14:$AV$968)) * (DATABASE!$AV$14:BC$968='Résultats Projection'!$A24 ) * (DATABASE!$AW$14:$AW$968= J$4))-ROW(DATABASE!$AV$14)+1,J$5+3)),"")</f>
        <v/>
      </c>
      <c r="K24" s="116">
        <f t="array" ref="K24">IFERROR(_xlfn.SINGLE(INDEX(DATABASE!$AV$14:$BC$968,SUMPRODUCT((ROW(DATABASE!$AV$14:$AV$968)) * (DATABASE!$AV$14:BD$968='Résultats Projection'!$A24 ) * (DATABASE!$AW$14:$AW$968= K$4))-ROW(DATABASE!$AV$14)+1,K$5+3)),"")</f>
        <v/>
      </c>
      <c r="L24" s="116">
        <f t="array" ref="L24">IFERROR(_xlfn.SINGLE(INDEX(DATABASE!$AV$14:$BC$968,SUMPRODUCT((ROW(DATABASE!$AV$14:$AV$968)) * (DATABASE!$AV$14:BE$968='Résultats Projection'!$A24 ) * (DATABASE!$AW$14:$AW$968= L$4))-ROW(DATABASE!$AV$14)+1,L$5+3)),"")</f>
        <v/>
      </c>
      <c r="M24" s="116">
        <f t="array" ref="M24">IFERROR(_xlfn.SINGLE(INDEX(DATABASE!$AV$14:$BC$968,SUMPRODUCT((ROW(DATABASE!$AV$14:$AV$968)) * (DATABASE!$AV$14:BF$968='Résultats Projection'!$A24 ) * (DATABASE!$AW$14:$AW$968= M$4))-ROW(DATABASE!$AV$14)+1,M$5+3)),"")</f>
        <v/>
      </c>
      <c r="N24" s="116">
        <f t="array" ref="N24">IFERROR(_xlfn.SINGLE(INDEX(DATABASE!$AV$14:$BC$968,SUMPRODUCT((ROW(DATABASE!$AV$14:$AV$968)) * (DATABASE!$AV$14:BG$968='Résultats Projection'!$A24 ) * (DATABASE!$AW$14:$AW$968= N$4))-ROW(DATABASE!$AV$14)+1,N$5+3)),"")</f>
        <v/>
      </c>
      <c r="O24" s="116">
        <f t="array" ref="O24">IFERROR(_xlfn.SINGLE(INDEX(DATABASE!$AV$14:$BC$968,SUMPRODUCT((ROW(DATABASE!$AV$14:$AV$968)) * (DATABASE!$AV$14:BH$968='Résultats Projection'!$A24 ) * (DATABASE!$AW$14:$AW$968= O$4))-ROW(DATABASE!$AV$14)+1,O$5+3)),"")</f>
        <v/>
      </c>
      <c r="P24" s="116">
        <f t="array" ref="P24">IFERROR(_xlfn.SINGLE(INDEX(DATABASE!$AV$14:$BC$968,SUMPRODUCT((ROW(DATABASE!$AV$14:$AV$968)) * (DATABASE!$AV$14:BI$968='Résultats Projection'!$A24 ) * (DATABASE!$AW$14:$AW$968= P$4))-ROW(DATABASE!$AV$14)+1,P$5+3)),"")</f>
        <v/>
      </c>
      <c r="Q24" s="116">
        <f t="array" ref="Q24">IFERROR(_xlfn.SINGLE(INDEX(DATABASE!$AV$14:$BC$968,SUMPRODUCT((ROW(DATABASE!$AV$14:$AV$968)) * (DATABASE!$AV$14:BJ$968='Résultats Projection'!$A24 ) * (DATABASE!$AW$14:$AW$968= Q$4))-ROW(DATABASE!$AV$14)+1,Q$5+3)),"")</f>
        <v/>
      </c>
      <c r="R24" s="116">
        <f t="array" ref="R24">IFERROR(_xlfn.SINGLE(INDEX(DATABASE!$AV$14:$BC$968,SUMPRODUCT((ROW(DATABASE!$AV$14:$AV$968)) * (DATABASE!$AV$14:BK$968='Résultats Projection'!$A24 ) * (DATABASE!$AW$14:$AW$968= R$4))-ROW(DATABASE!$AV$14)+1,R$5+3)),"")</f>
        <v/>
      </c>
      <c r="S24" s="116">
        <f t="array" ref="S24">IFERROR(_xlfn.SINGLE(INDEX(DATABASE!$AV$14:$BC$968,SUMPRODUCT((ROW(DATABASE!$AV$14:$AV$968)) * (DATABASE!$AV$14:BL$968='Résultats Projection'!$A24 ) * (DATABASE!$AW$14:$AW$968= S$4))-ROW(DATABASE!$AV$14)+1,S$5+3)),"")</f>
        <v/>
      </c>
      <c r="T24" s="116">
        <f t="array" ref="T24">IFERROR(_xlfn.SINGLE(INDEX(DATABASE!$AV$14:$BC$968,SUMPRODUCT((ROW(DATABASE!$AV$14:$AV$968)) * (DATABASE!$AV$14:BM$968='Résultats Projection'!$A24 ) * (DATABASE!$AW$14:$AW$968= T$4))-ROW(DATABASE!$AV$14)+1,T$5+3)),"")</f>
        <v/>
      </c>
      <c r="U24" s="116">
        <f t="array" ref="U24">IFERROR(_xlfn.SINGLE(INDEX(DATABASE!$AV$14:$BC$968,SUMPRODUCT((ROW(DATABASE!$AV$14:$AV$968)) * (DATABASE!$AV$14:BN$968='Résultats Projection'!$A24 ) * (DATABASE!$AW$14:$AW$968= U$4))-ROW(DATABASE!$AV$14)+1,U$5+3)),"")</f>
        <v/>
      </c>
      <c r="V24" s="116">
        <f t="array" ref="V24">IFERROR(_xlfn.SINGLE(INDEX(DATABASE!$AV$14:$BC$968,SUMPRODUCT((ROW(DATABASE!$AV$14:$AV$968)) * (DATABASE!$AV$14:BO$968='Résultats Projection'!$A24 ) * (DATABASE!$AW$14:$AW$968= V$4))-ROW(DATABASE!$AV$14)+1,V$5+3)),"")</f>
        <v/>
      </c>
      <c r="W24" s="116">
        <f t="array" ref="W24">IFERROR(_xlfn.SINGLE(INDEX(DATABASE!$AV$14:$BC$968,SUMPRODUCT((ROW(DATABASE!$AV$14:$AV$968)) * (DATABASE!$AV$14:BP$968='Résultats Projection'!$A24 ) * (DATABASE!$AW$14:$AW$968= W$4))-ROW(DATABASE!$AV$14)+1,W$5+3)),"")</f>
        <v/>
      </c>
      <c r="X24" s="116">
        <f t="array" ref="X24">IFERROR(_xlfn.SINGLE(INDEX(DATABASE!$AV$14:$BC$968,SUMPRODUCT((ROW(DATABASE!$AV$14:$AV$968)) * (DATABASE!$AV$14:BQ$968='Résultats Projection'!$A24 ) * (DATABASE!$AW$14:$AW$968= X$4))-ROW(DATABASE!$AV$14)+1,X$5+3)),"")</f>
        <v/>
      </c>
      <c r="Y24" s="116">
        <f t="array" ref="Y24">IFERROR(_xlfn.SINGLE(INDEX(DATABASE!$AV$14:$BC$968,SUMPRODUCT((ROW(DATABASE!$AV$14:$AV$968)) * (DATABASE!$AV$14:BR$968='Résultats Projection'!$A24 ) * (DATABASE!$AW$14:$AW$968= Y$4))-ROW(DATABASE!$AV$14)+1,Y$5+3)),"")</f>
        <v/>
      </c>
      <c r="Z24" s="116">
        <f t="array" ref="Z24">IFERROR(_xlfn.SINGLE(INDEX(DATABASE!$AV$14:$BC$968,SUMPRODUCT((ROW(DATABASE!$AV$14:$AV$968)) * (DATABASE!$AV$14:BS$968='Résultats Projection'!$A24 ) * (DATABASE!$AW$14:$AW$968= Z$4))-ROW(DATABASE!$AV$14)+1,Z$5+3)),"")</f>
        <v/>
      </c>
      <c r="AA24" s="116">
        <f t="array" ref="AA24">IFERROR(_xlfn.SINGLE(INDEX(DATABASE!$AV$14:$BC$968,SUMPRODUCT((ROW(DATABASE!$AV$14:$AV$968)) * (DATABASE!$AV$14:BT$968='Résultats Projection'!$A24 ) * (DATABASE!$AW$14:$AW$968= AA$4))-ROW(DATABASE!$AV$14)+1,AA$5+3)),"")</f>
        <v/>
      </c>
      <c r="AB24" s="116">
        <f t="array" ref="AB24">IFERROR(_xlfn.SINGLE(INDEX(DATABASE!$AV$14:$BC$968,SUMPRODUCT((ROW(DATABASE!$AV$14:$AV$968)) * (DATABASE!$AV$14:BU$968='Résultats Projection'!$A24 ) * (DATABASE!$AW$14:$AW$968= AB$4))-ROW(DATABASE!$AV$14)+1,AB$5+3)),"")</f>
        <v/>
      </c>
      <c r="AC24" s="116">
        <f t="array" ref="AC24">IFERROR(_xlfn.SINGLE(INDEX(DATABASE!$AV$14:$BC$968,SUMPRODUCT((ROW(DATABASE!$AV$14:$AV$968)) * (DATABASE!$AV$14:BV$968='Résultats Projection'!$A24 ) * (DATABASE!$AW$14:$AW$968= AC$4))-ROW(DATABASE!$AV$14)+1,AC$5+3)),"")</f>
        <v/>
      </c>
      <c r="AD24" s="116">
        <f t="array" ref="AD24">IFERROR(_xlfn.SINGLE(INDEX(DATABASE!$AV$14:$BC$968,SUMPRODUCT((ROW(DATABASE!$AV$14:$AV$968)) * (DATABASE!$AV$14:BW$968='Résultats Projection'!$A24 ) * (DATABASE!$AW$14:$AW$968= AD$4))-ROW(DATABASE!$AV$14)+1,AD$5+3)),"")</f>
        <v/>
      </c>
      <c r="AE24" s="116">
        <f t="array" ref="AE24">IFERROR(_xlfn.SINGLE(INDEX(DATABASE!$AV$14:$BC$968,SUMPRODUCT((ROW(DATABASE!$AV$14:$AV$968)) * (DATABASE!$AV$14:BX$968='Résultats Projection'!$A24 ) * (DATABASE!$AW$14:$AW$968= AE$4))-ROW(DATABASE!$AV$14)+1,AE$5+3)),"")</f>
        <v/>
      </c>
      <c r="AF24" s="116">
        <f t="array" ref="AF24">IFERROR(_xlfn.SINGLE(INDEX(DATABASE!$AV$14:$BC$968,SUMPRODUCT((ROW(DATABASE!$AV$14:$AV$968)) * (DATABASE!$AV$14:BY$968='Résultats Projection'!$A24 ) * (DATABASE!$AW$14:$AW$968= AF$4))-ROW(DATABASE!$AV$14)+1,AF$5+3)),"")</f>
        <v/>
      </c>
      <c r="AG24" s="116">
        <f t="array" ref="AG24">IFERROR(_xlfn.SINGLE(INDEX(DATABASE!$AV$14:$BC$968,SUMPRODUCT((ROW(DATABASE!$AV$14:$AV$968)) * (DATABASE!$AV$14:BZ$968='Résultats Projection'!$A24 ) * (DATABASE!$AW$14:$AW$968= AG$4))-ROW(DATABASE!$AV$14)+1,AG$5+3)),"")</f>
        <v/>
      </c>
      <c r="AH24" s="116">
        <f t="array" ref="AH24">IFERROR(_xlfn.SINGLE(INDEX(DATABASE!$AV$14:$BC$968,SUMPRODUCT((ROW(DATABASE!$AV$14:$AV$968)) * (DATABASE!$AV$14:CA$968='Résultats Projection'!$A24 ) * (DATABASE!$AW$14:$AW$968= AH$4))-ROW(DATABASE!$AV$14)+1,AH$5+3)),"")</f>
        <v/>
      </c>
      <c r="AI24" s="116">
        <f t="array" ref="AI24">IFERROR(_xlfn.SINGLE(INDEX(DATABASE!$AV$14:$BC$968,SUMPRODUCT((ROW(DATABASE!$AV$14:$AV$968)) * (DATABASE!$AV$14:CB$968='Résultats Projection'!$A24 ) * (DATABASE!$AW$14:$AW$968= AI$4))-ROW(DATABASE!$AV$14)+1,AI$5+3)),"")</f>
        <v/>
      </c>
      <c r="AJ24" s="116">
        <f t="array" ref="AJ24">IFERROR(_xlfn.SINGLE(INDEX(DATABASE!$AV$14:$BC$968,SUMPRODUCT((ROW(DATABASE!$AV$14:$AV$968)) * (DATABASE!$AV$14:CC$968='Résultats Projection'!$A24 ) * (DATABASE!$AW$14:$AW$968= AJ$4))-ROW(DATABASE!$AV$14)+1,AJ$5+3)),"")</f>
        <v/>
      </c>
      <c r="AK24" s="116">
        <f t="array" ref="AK24">IFERROR(_xlfn.SINGLE(INDEX(DATABASE!$AV$14:$BC$968,SUMPRODUCT((ROW(DATABASE!$AV$14:$AV$968)) * (DATABASE!$AV$14:CD$968='Résultats Projection'!$A24 ) * (DATABASE!$AW$14:$AW$968= AK$4))-ROW(DATABASE!$AV$14)+1,AK$5+3)),"")</f>
        <v/>
      </c>
      <c r="AL24" s="116">
        <f t="array" ref="AL24">IFERROR(_xlfn.SINGLE(INDEX(DATABASE!$AV$14:$BC$968,SUMPRODUCT((ROW(DATABASE!$AV$14:$AV$968)) * (DATABASE!$AV$14:CE$968='Résultats Projection'!$A24 ) * (DATABASE!$AW$14:$AW$968= AL$4))-ROW(DATABASE!$AV$14)+1,AL$5+3)),"")</f>
        <v/>
      </c>
      <c r="AM24" s="116">
        <f t="array" ref="AM24">IFERROR(_xlfn.SINGLE(INDEX(DATABASE!$AV$14:$BC$968,SUMPRODUCT((ROW(DATABASE!$AV$14:$AV$968)) * (DATABASE!$AV$14:CF$968='Résultats Projection'!$A24 ) * (DATABASE!$AW$14:$AW$968= AM$4))-ROW(DATABASE!$AV$14)+1,AM$5+3)),"")</f>
        <v/>
      </c>
      <c r="AN24" s="116">
        <f t="array" ref="AN24">IFERROR(_xlfn.SINGLE(INDEX(DATABASE!$AV$14:$BC$968,SUMPRODUCT((ROW(DATABASE!$AV$14:$AV$968)) * (DATABASE!$AV$14:CG$968='Résultats Projection'!$A24 ) * (DATABASE!$AW$14:$AW$968= AN$4))-ROW(DATABASE!$AV$14)+1,AN$5+3)),"")</f>
        <v/>
      </c>
      <c r="AO24" s="116">
        <f t="array" ref="AO24">IFERROR(_xlfn.SINGLE(INDEX(DATABASE!$AV$14:$BC$968,SUMPRODUCT((ROW(DATABASE!$AV$14:$AV$968)) * (DATABASE!$AV$14:CH$968='Résultats Projection'!$A24 ) * (DATABASE!$AW$14:$AW$968= AO$4))-ROW(DATABASE!$AV$14)+1,AO$5+3)),"")</f>
        <v/>
      </c>
      <c r="AP24" s="116">
        <f t="array" ref="AP24">IFERROR(_xlfn.SINGLE(INDEX(DATABASE!$AV$14:$BC$968,SUMPRODUCT((ROW(DATABASE!$AV$14:$AV$968)) * (DATABASE!$AV$14:CI$968='Résultats Projection'!$A24 ) * (DATABASE!$AW$14:$AW$968= AP$4))-ROW(DATABASE!$AV$14)+1,AP$5+3)),"")</f>
        <v/>
      </c>
      <c r="AQ24" s="116">
        <f t="array" ref="AQ24">IFERROR(_xlfn.SINGLE(INDEX(DATABASE!$AV$14:$BC$968,SUMPRODUCT((ROW(DATABASE!$AV$14:$AV$968)) * (DATABASE!$AV$14:CJ$968='Résultats Projection'!$A24 ) * (DATABASE!$AW$14:$AW$968= AQ$4))-ROW(DATABASE!$AV$14)+1,AQ$5+3)),"")</f>
        <v/>
      </c>
      <c r="AR24" s="116">
        <f t="array" ref="AR24">IFERROR(_xlfn.SINGLE(INDEX(DATABASE!$AV$14:$BC$968,SUMPRODUCT((ROW(DATABASE!$AV$14:$AV$968)) * (DATABASE!$AV$14:CK$968='Résultats Projection'!$A24 ) * (DATABASE!$AW$14:$AW$968= AR$4))-ROW(DATABASE!$AV$14)+1,AR$5+3)),"")</f>
        <v/>
      </c>
      <c r="AS24" s="116">
        <f t="array" ref="AS24">IFERROR(_xlfn.SINGLE(INDEX(DATABASE!$AV$14:$BC$968,SUMPRODUCT((ROW(DATABASE!$AV$14:$AV$968)) * (DATABASE!$AV$14:CL$968='Résultats Projection'!$A24 ) * (DATABASE!$AW$14:$AW$968= AS$4))-ROW(DATABASE!$AV$14)+1,AS$5+3)),"")</f>
        <v/>
      </c>
      <c r="AT24" s="116">
        <f t="array" ref="AT24">IFERROR(_xlfn.SINGLE(INDEX(DATABASE!$AV$14:$BC$968,SUMPRODUCT((ROW(DATABASE!$AV$14:$AV$968)) * (DATABASE!$AV$14:CM$968='Résultats Projection'!$A24 ) * (DATABASE!$AW$14:$AW$968= AT$4))-ROW(DATABASE!$AV$14)+1,AT$5+3)),"")</f>
        <v/>
      </c>
      <c r="AU24" s="116">
        <f t="array" ref="AU24">IFERROR(_xlfn.SINGLE(INDEX(DATABASE!$AV$14:$BC$968,SUMPRODUCT((ROW(DATABASE!$AV$14:$AV$968)) * (DATABASE!$AV$14:CN$968='Résultats Projection'!$A24 ) * (DATABASE!$AW$14:$AW$968= AU$4))-ROW(DATABASE!$AV$14)+1,AU$5+3)),"")</f>
        <v/>
      </c>
      <c r="AV24" s="116">
        <f t="array" ref="AV24">IFERROR(_xlfn.SINGLE(INDEX(DATABASE!$AV$14:$BC$968,SUMPRODUCT((ROW(DATABASE!$AV$14:$AV$968)) * (DATABASE!$AV$14:CO$968='Résultats Projection'!$A24 ) * (DATABASE!$AW$14:$AW$968= AV$4))-ROW(DATABASE!$AV$14)+1,AV$5+3)),"")</f>
        <v/>
      </c>
      <c r="AW24" s="116">
        <f t="array" ref="AW24">IFERROR(_xlfn.SINGLE(INDEX(DATABASE!$AV$14:$BC$968,SUMPRODUCT((ROW(DATABASE!$AV$14:$AV$968)) * (DATABASE!$AV$14:CP$968='Résultats Projection'!$A24 ) * (DATABASE!$AW$14:$AW$968= AW$4))-ROW(DATABASE!$AV$14)+1,AW$5+3)),"")</f>
        <v/>
      </c>
      <c r="AX24" s="116">
        <f t="array" ref="AX24">IFERROR(_xlfn.SINGLE(INDEX(DATABASE!$AV$14:$BC$968,SUMPRODUCT((ROW(DATABASE!$AV$14:$AV$968)) * (DATABASE!$AV$14:CQ$968='Résultats Projection'!$A24 ) * (DATABASE!$AW$14:$AW$968= AX$4))-ROW(DATABASE!$AV$14)+1,AX$5+3)),"")</f>
        <v/>
      </c>
      <c r="AY24" s="116">
        <f t="array" ref="AY24">IFERROR(_xlfn.SINGLE(INDEX(DATABASE!$AV$14:$BC$968,SUMPRODUCT((ROW(DATABASE!$AV$14:$AV$968)) * (DATABASE!$AV$14:CR$968='Résultats Projection'!$A24 ) * (DATABASE!$AW$14:$AW$968= AY$4))-ROW(DATABASE!$AV$14)+1,AY$5+3)),"")</f>
        <v/>
      </c>
      <c r="AZ24" s="116">
        <f t="array" ref="AZ24">IFERROR(_xlfn.SINGLE(INDEX(DATABASE!$AV$14:$BC$968,SUMPRODUCT((ROW(DATABASE!$AV$14:$AV$968)) * (DATABASE!$AV$14:CS$968='Résultats Projection'!$A24 ) * (DATABASE!$AW$14:$AW$968= AZ$4))-ROW(DATABASE!$AV$14)+1,AZ$5+3)),"")</f>
        <v/>
      </c>
      <c r="BA24" s="116">
        <f t="array" ref="BA24">IFERROR(_xlfn.SINGLE(INDEX(DATABASE!$AV$14:$BC$968,SUMPRODUCT((ROW(DATABASE!$AV$14:$AV$968)) * (DATABASE!$AV$14:CT$968='Résultats Projection'!$A24 ) * (DATABASE!$AW$14:$AW$968= BA$4))-ROW(DATABASE!$AV$14)+1,BA$5+3)),"")</f>
        <v/>
      </c>
      <c r="BB24" s="116">
        <f t="array" ref="BB24">IFERROR(_xlfn.SINGLE(INDEX(DATABASE!$AV$14:$BC$968,SUMPRODUCT((ROW(DATABASE!$AV$14:$AV$968)) * (DATABASE!$AV$14:CU$968='Résultats Projection'!$A24 ) * (DATABASE!$AW$14:$AW$968= BB$4))-ROW(DATABASE!$AV$14)+1,BB$5+3)),"")</f>
        <v/>
      </c>
      <c r="BC24" s="116">
        <f t="array" ref="BC24">IFERROR(_xlfn.SINGLE(INDEX(DATABASE!$AV$14:$BC$968,SUMPRODUCT((ROW(DATABASE!$AV$14:$AV$968)) * (DATABASE!$AV$14:CV$968='Résultats Projection'!$A24 ) * (DATABASE!$AW$14:$AW$968= BC$4))-ROW(DATABASE!$AV$14)+1,BC$5+3)),"")</f>
        <v/>
      </c>
      <c r="BD24" s="116">
        <f t="array" ref="BD24">IFERROR(_xlfn.SINGLE(INDEX(DATABASE!$AV$14:$BC$968,SUMPRODUCT((ROW(DATABASE!$AV$14:$AV$968)) * (DATABASE!$AV$14:CW$968='Résultats Projection'!$A24 ) * (DATABASE!$AW$14:$AW$968= BD$4))-ROW(DATABASE!$AV$14)+1,BD$5+3)),"")</f>
        <v/>
      </c>
      <c r="BE24" s="116">
        <f t="array" ref="BE24">IFERROR(_xlfn.SINGLE(INDEX(DATABASE!$AV$14:$BC$968,SUMPRODUCT((ROW(DATABASE!$AV$14:$AV$968)) * (DATABASE!$AV$14:CX$968='Résultats Projection'!$A24 ) * (DATABASE!$AW$14:$AW$968= BE$4))-ROW(DATABASE!$AV$14)+1,BE$5+3)),"")</f>
        <v/>
      </c>
      <c r="BF24" s="116">
        <f t="array" ref="BF24">IFERROR(_xlfn.SINGLE(INDEX(DATABASE!$AV$14:$BC$968,SUMPRODUCT((ROW(DATABASE!$AV$14:$AV$968)) * (DATABASE!$AV$14:CY$968='Résultats Projection'!$A24 ) * (DATABASE!$AW$14:$AW$968= BF$4))-ROW(DATABASE!$AV$14)+1,BF$5+3)),"")</f>
        <v/>
      </c>
      <c r="BG24" s="116">
        <f t="array" ref="BG24">IFERROR(_xlfn.SINGLE(INDEX(DATABASE!$AV$14:$BC$968,SUMPRODUCT((ROW(DATABASE!$AV$14:$AV$968)) * (DATABASE!$AV$14:CZ$968='Résultats Projection'!$A24 ) * (DATABASE!$AW$14:$AW$968= BG$4))-ROW(DATABASE!$AV$14)+1,BG$5+3)),"")</f>
        <v/>
      </c>
      <c r="BH24" s="116">
        <f t="array" ref="BH24">IFERROR(_xlfn.SINGLE(INDEX(DATABASE!$AV$14:$BC$968,SUMPRODUCT((ROW(DATABASE!$AV$14:$AV$968)) * (DATABASE!$AV$14:DA$968='Résultats Projection'!$A24 ) * (DATABASE!$AW$14:$AW$968= BH$4))-ROW(DATABASE!$AV$14)+1,BH$5+3)),"")</f>
        <v/>
      </c>
      <c r="BI24" s="116">
        <f t="array" ref="BI24">IFERROR(_xlfn.SINGLE(INDEX(DATABASE!$AV$14:$BC$968,SUMPRODUCT((ROW(DATABASE!$AV$14:$AV$968)) * (DATABASE!$AV$14:DB$968='Résultats Projection'!$A24 ) * (DATABASE!$AW$14:$AW$968= BI$4))-ROW(DATABASE!$AV$14)+1,BI$5+3)),"")</f>
        <v/>
      </c>
      <c r="BJ24" s="116">
        <f t="array" ref="BJ24">IFERROR(_xlfn.SINGLE(INDEX(DATABASE!$AV$14:$BC$968,SUMPRODUCT((ROW(DATABASE!$AV$14:$AV$968)) * (DATABASE!$AV$14:DC$968='Résultats Projection'!$A24 ) * (DATABASE!$AW$14:$AW$968= BJ$4))-ROW(DATABASE!$AV$14)+1,BJ$5+3)),"")</f>
        <v/>
      </c>
    </row>
    <row r="25" ht="29.25" customFormat="1" customHeight="1" s="28">
      <c r="A25" s="42" t="n">
        <v>45572</v>
      </c>
      <c r="B25" s="8">
        <f>A25-A$10</f>
        <v/>
      </c>
      <c r="C25" s="116">
        <f t="array" ref="C25">IFERROR(_xlfn.SINGLE(INDEX(DATABASE!$AV$14:$BC$968,SUMPRODUCT((ROW(DATABASE!$AV$14:$AV$968)) * (DATABASE!AV$14:$AV$968='Résultats Projection'!$A25 ) * (DATABASE!$AW$14:$AW$968= C$4))-ROW(DATABASE!$AV$14)+1,C$5+3)),"")</f>
        <v/>
      </c>
      <c r="D25" s="116">
        <f t="array" ref="D25">IFERROR(_xlfn.SINGLE(INDEX(DATABASE!$AV$14:$BC$968,SUMPRODUCT((ROW(DATABASE!$AV$14:$AV$968)) * (DATABASE!$AV$14:AW$968='Résultats Projection'!$A25 ) * (DATABASE!$AW$14:$AW$968= D$4))-ROW(DATABASE!$AV$14)+1,D$5+3)),"")</f>
        <v/>
      </c>
      <c r="E25" s="116">
        <f t="array" ref="E25">IFERROR(_xlfn.SINGLE(INDEX(DATABASE!$AV$14:$BC$968,SUMPRODUCT((ROW(DATABASE!$AV$14:$AV$968)) * (DATABASE!$AV$14:AX$968='Résultats Projection'!$A25 ) * (DATABASE!$AW$14:$AW$968= E$4))-ROW(DATABASE!$AV$14)+1,E$5+3)),"")</f>
        <v/>
      </c>
      <c r="F25" s="116">
        <f t="array" ref="F25">IFERROR(_xlfn.SINGLE(INDEX(DATABASE!$AV$14:$BC$968,SUMPRODUCT((ROW(DATABASE!$AV$14:$AV$968)) * (DATABASE!$AV$14:AY$968='Résultats Projection'!$A25 ) * (DATABASE!$AW$14:$AW$968= F$4))-ROW(DATABASE!$AV$14)+1,F$5+3)),"")</f>
        <v/>
      </c>
      <c r="G25" s="116">
        <f t="array" ref="G25">IFERROR(_xlfn.SINGLE(INDEX(DATABASE!$AV$14:$BC$968,SUMPRODUCT((ROW(DATABASE!$AV$14:$AV$968)) * (DATABASE!$AV$14:AZ$968='Résultats Projection'!$A25 ) * (DATABASE!$AW$14:$AW$968= G$4))-ROW(DATABASE!$AV$14)+1,G$5+3)),"")</f>
        <v/>
      </c>
      <c r="H25" s="116">
        <f t="array" ref="H25">IFERROR(_xlfn.SINGLE(INDEX(DATABASE!$AV$14:$BC$968,SUMPRODUCT((ROW(DATABASE!$AV$14:$AV$968)) * (DATABASE!$AV$14:BA$968='Résultats Projection'!$A25 ) * (DATABASE!$AW$14:$AW$968= H$4))-ROW(DATABASE!$AV$14)+1,H$5+3)),"")</f>
        <v/>
      </c>
      <c r="I25" s="116">
        <f t="array" ref="I25">IFERROR(_xlfn.SINGLE(INDEX(DATABASE!$AV$14:$BC$968,SUMPRODUCT((ROW(DATABASE!$AV$14:$AV$968)) * (DATABASE!$AV$14:BB$968='Résultats Projection'!$A25 ) * (DATABASE!$AW$14:$AW$968= I$4))-ROW(DATABASE!$AV$14)+1,I$5+3)),"")</f>
        <v/>
      </c>
      <c r="J25" s="116">
        <f t="array" ref="J25">IFERROR(_xlfn.SINGLE(INDEX(DATABASE!$AV$14:$BC$968,SUMPRODUCT((ROW(DATABASE!$AV$14:$AV$968)) * (DATABASE!$AV$14:BC$968='Résultats Projection'!$A25 ) * (DATABASE!$AW$14:$AW$968= J$4))-ROW(DATABASE!$AV$14)+1,J$5+3)),"")</f>
        <v/>
      </c>
      <c r="K25" s="116">
        <f t="array" ref="K25">IFERROR(_xlfn.SINGLE(INDEX(DATABASE!$AV$14:$BC$968,SUMPRODUCT((ROW(DATABASE!$AV$14:$AV$968)) * (DATABASE!$AV$14:BD$968='Résultats Projection'!$A25 ) * (DATABASE!$AW$14:$AW$968= K$4))-ROW(DATABASE!$AV$14)+1,K$5+3)),"")</f>
        <v/>
      </c>
      <c r="L25" s="116">
        <f t="array" ref="L25">IFERROR(_xlfn.SINGLE(INDEX(DATABASE!$AV$14:$BC$968,SUMPRODUCT((ROW(DATABASE!$AV$14:$AV$968)) * (DATABASE!$AV$14:BE$968='Résultats Projection'!$A25 ) * (DATABASE!$AW$14:$AW$968= L$4))-ROW(DATABASE!$AV$14)+1,L$5+3)),"")</f>
        <v/>
      </c>
      <c r="M25" s="116">
        <f t="array" ref="M25">IFERROR(_xlfn.SINGLE(INDEX(DATABASE!$AV$14:$BC$968,SUMPRODUCT((ROW(DATABASE!$AV$14:$AV$968)) * (DATABASE!$AV$14:BF$968='Résultats Projection'!$A25 ) * (DATABASE!$AW$14:$AW$968= M$4))-ROW(DATABASE!$AV$14)+1,M$5+3)),"")</f>
        <v/>
      </c>
      <c r="N25" s="116">
        <f t="array" ref="N25">IFERROR(_xlfn.SINGLE(INDEX(DATABASE!$AV$14:$BC$968,SUMPRODUCT((ROW(DATABASE!$AV$14:$AV$968)) * (DATABASE!$AV$14:BG$968='Résultats Projection'!$A25 ) * (DATABASE!$AW$14:$AW$968= N$4))-ROW(DATABASE!$AV$14)+1,N$5+3)),"")</f>
        <v/>
      </c>
      <c r="O25" s="116">
        <f t="array" ref="O25">IFERROR(_xlfn.SINGLE(INDEX(DATABASE!$AV$14:$BC$968,SUMPRODUCT((ROW(DATABASE!$AV$14:$AV$968)) * (DATABASE!$AV$14:BH$968='Résultats Projection'!$A25 ) * (DATABASE!$AW$14:$AW$968= O$4))-ROW(DATABASE!$AV$14)+1,O$5+3)),"")</f>
        <v/>
      </c>
      <c r="P25" s="116">
        <f t="array" ref="P25">IFERROR(_xlfn.SINGLE(INDEX(DATABASE!$AV$14:$BC$968,SUMPRODUCT((ROW(DATABASE!$AV$14:$AV$968)) * (DATABASE!$AV$14:BI$968='Résultats Projection'!$A25 ) * (DATABASE!$AW$14:$AW$968= P$4))-ROW(DATABASE!$AV$14)+1,P$5+3)),"")</f>
        <v/>
      </c>
      <c r="Q25" s="116">
        <f t="array" ref="Q25">IFERROR(_xlfn.SINGLE(INDEX(DATABASE!$AV$14:$BC$968,SUMPRODUCT((ROW(DATABASE!$AV$14:$AV$968)) * (DATABASE!$AV$14:BJ$968='Résultats Projection'!$A25 ) * (DATABASE!$AW$14:$AW$968= Q$4))-ROW(DATABASE!$AV$14)+1,Q$5+3)),"")</f>
        <v/>
      </c>
      <c r="R25" s="116">
        <f t="array" ref="R25">IFERROR(_xlfn.SINGLE(INDEX(DATABASE!$AV$14:$BC$968,SUMPRODUCT((ROW(DATABASE!$AV$14:$AV$968)) * (DATABASE!$AV$14:BK$968='Résultats Projection'!$A25 ) * (DATABASE!$AW$14:$AW$968= R$4))-ROW(DATABASE!$AV$14)+1,R$5+3)),"")</f>
        <v/>
      </c>
      <c r="S25" s="116">
        <f t="array" ref="S25">IFERROR(_xlfn.SINGLE(INDEX(DATABASE!$AV$14:$BC$968,SUMPRODUCT((ROW(DATABASE!$AV$14:$AV$968)) * (DATABASE!$AV$14:BL$968='Résultats Projection'!$A25 ) * (DATABASE!$AW$14:$AW$968= S$4))-ROW(DATABASE!$AV$14)+1,S$5+3)),"")</f>
        <v/>
      </c>
      <c r="T25" s="116">
        <f t="array" ref="T25">IFERROR(_xlfn.SINGLE(INDEX(DATABASE!$AV$14:$BC$968,SUMPRODUCT((ROW(DATABASE!$AV$14:$AV$968)) * (DATABASE!$AV$14:BM$968='Résultats Projection'!$A25 ) * (DATABASE!$AW$14:$AW$968= T$4))-ROW(DATABASE!$AV$14)+1,T$5+3)),"")</f>
        <v/>
      </c>
      <c r="U25" s="116">
        <f t="array" ref="U25">IFERROR(_xlfn.SINGLE(INDEX(DATABASE!$AV$14:$BC$968,SUMPRODUCT((ROW(DATABASE!$AV$14:$AV$968)) * (DATABASE!$AV$14:BN$968='Résultats Projection'!$A25 ) * (DATABASE!$AW$14:$AW$968= U$4))-ROW(DATABASE!$AV$14)+1,U$5+3)),"")</f>
        <v/>
      </c>
      <c r="V25" s="116">
        <f t="array" ref="V25">IFERROR(_xlfn.SINGLE(INDEX(DATABASE!$AV$14:$BC$968,SUMPRODUCT((ROW(DATABASE!$AV$14:$AV$968)) * (DATABASE!$AV$14:BO$968='Résultats Projection'!$A25 ) * (DATABASE!$AW$14:$AW$968= V$4))-ROW(DATABASE!$AV$14)+1,V$5+3)),"")</f>
        <v/>
      </c>
      <c r="W25" s="116">
        <f t="array" ref="W25">IFERROR(_xlfn.SINGLE(INDEX(DATABASE!$AV$14:$BC$968,SUMPRODUCT((ROW(DATABASE!$AV$14:$AV$968)) * (DATABASE!$AV$14:BP$968='Résultats Projection'!$A25 ) * (DATABASE!$AW$14:$AW$968= W$4))-ROW(DATABASE!$AV$14)+1,W$5+3)),"")</f>
        <v/>
      </c>
      <c r="X25" s="116">
        <f t="array" ref="X25">IFERROR(_xlfn.SINGLE(INDEX(DATABASE!$AV$14:$BC$968,SUMPRODUCT((ROW(DATABASE!$AV$14:$AV$968)) * (DATABASE!$AV$14:BQ$968='Résultats Projection'!$A25 ) * (DATABASE!$AW$14:$AW$968= X$4))-ROW(DATABASE!$AV$14)+1,X$5+3)),"")</f>
        <v/>
      </c>
      <c r="Y25" s="116">
        <f t="array" ref="Y25">IFERROR(_xlfn.SINGLE(INDEX(DATABASE!$AV$14:$BC$968,SUMPRODUCT((ROW(DATABASE!$AV$14:$AV$968)) * (DATABASE!$AV$14:BR$968='Résultats Projection'!$A25 ) * (DATABASE!$AW$14:$AW$968= Y$4))-ROW(DATABASE!$AV$14)+1,Y$5+3)),"")</f>
        <v/>
      </c>
      <c r="Z25" s="116">
        <f t="array" ref="Z25">IFERROR(_xlfn.SINGLE(INDEX(DATABASE!$AV$14:$BC$968,SUMPRODUCT((ROW(DATABASE!$AV$14:$AV$968)) * (DATABASE!$AV$14:BS$968='Résultats Projection'!$A25 ) * (DATABASE!$AW$14:$AW$968= Z$4))-ROW(DATABASE!$AV$14)+1,Z$5+3)),"")</f>
        <v/>
      </c>
      <c r="AA25" s="116">
        <f t="array" ref="AA25">IFERROR(_xlfn.SINGLE(INDEX(DATABASE!$AV$14:$BC$968,SUMPRODUCT((ROW(DATABASE!$AV$14:$AV$968)) * (DATABASE!$AV$14:BT$968='Résultats Projection'!$A25 ) * (DATABASE!$AW$14:$AW$968= AA$4))-ROW(DATABASE!$AV$14)+1,AA$5+3)),"")</f>
        <v/>
      </c>
      <c r="AB25" s="116">
        <f t="array" ref="AB25">IFERROR(_xlfn.SINGLE(INDEX(DATABASE!$AV$14:$BC$968,SUMPRODUCT((ROW(DATABASE!$AV$14:$AV$968)) * (DATABASE!$AV$14:BU$968='Résultats Projection'!$A25 ) * (DATABASE!$AW$14:$AW$968= AB$4))-ROW(DATABASE!$AV$14)+1,AB$5+3)),"")</f>
        <v/>
      </c>
      <c r="AC25" s="116">
        <f t="array" ref="AC25">IFERROR(_xlfn.SINGLE(INDEX(DATABASE!$AV$14:$BC$968,SUMPRODUCT((ROW(DATABASE!$AV$14:$AV$968)) * (DATABASE!$AV$14:BV$968='Résultats Projection'!$A25 ) * (DATABASE!$AW$14:$AW$968= AC$4))-ROW(DATABASE!$AV$14)+1,AC$5+3)),"")</f>
        <v/>
      </c>
      <c r="AD25" s="116">
        <f t="array" ref="AD25">IFERROR(_xlfn.SINGLE(INDEX(DATABASE!$AV$14:$BC$968,SUMPRODUCT((ROW(DATABASE!$AV$14:$AV$968)) * (DATABASE!$AV$14:BW$968='Résultats Projection'!$A25 ) * (DATABASE!$AW$14:$AW$968= AD$4))-ROW(DATABASE!$AV$14)+1,AD$5+3)),"")</f>
        <v/>
      </c>
      <c r="AE25" s="116">
        <f t="array" ref="AE25">IFERROR(_xlfn.SINGLE(INDEX(DATABASE!$AV$14:$BC$968,SUMPRODUCT((ROW(DATABASE!$AV$14:$AV$968)) * (DATABASE!$AV$14:BX$968='Résultats Projection'!$A25 ) * (DATABASE!$AW$14:$AW$968= AE$4))-ROW(DATABASE!$AV$14)+1,AE$5+3)),"")</f>
        <v/>
      </c>
      <c r="AF25" s="116">
        <f t="array" ref="AF25">IFERROR(_xlfn.SINGLE(INDEX(DATABASE!$AV$14:$BC$968,SUMPRODUCT((ROW(DATABASE!$AV$14:$AV$968)) * (DATABASE!$AV$14:BY$968='Résultats Projection'!$A25 ) * (DATABASE!$AW$14:$AW$968= AF$4))-ROW(DATABASE!$AV$14)+1,AF$5+3)),"")</f>
        <v/>
      </c>
      <c r="AG25" s="116">
        <f t="array" ref="AG25">IFERROR(_xlfn.SINGLE(INDEX(DATABASE!$AV$14:$BC$968,SUMPRODUCT((ROW(DATABASE!$AV$14:$AV$968)) * (DATABASE!$AV$14:BZ$968='Résultats Projection'!$A25 ) * (DATABASE!$AW$14:$AW$968= AG$4))-ROW(DATABASE!$AV$14)+1,AG$5+3)),"")</f>
        <v/>
      </c>
      <c r="AH25" s="116">
        <f t="array" ref="AH25">IFERROR(_xlfn.SINGLE(INDEX(DATABASE!$AV$14:$BC$968,SUMPRODUCT((ROW(DATABASE!$AV$14:$AV$968)) * (DATABASE!$AV$14:CA$968='Résultats Projection'!$A25 ) * (DATABASE!$AW$14:$AW$968= AH$4))-ROW(DATABASE!$AV$14)+1,AH$5+3)),"")</f>
        <v/>
      </c>
      <c r="AI25" s="116">
        <f t="array" ref="AI25">IFERROR(_xlfn.SINGLE(INDEX(DATABASE!$AV$14:$BC$968,SUMPRODUCT((ROW(DATABASE!$AV$14:$AV$968)) * (DATABASE!$AV$14:CB$968='Résultats Projection'!$A25 ) * (DATABASE!$AW$14:$AW$968= AI$4))-ROW(DATABASE!$AV$14)+1,AI$5+3)),"")</f>
        <v/>
      </c>
      <c r="AJ25" s="116">
        <f t="array" ref="AJ25">IFERROR(_xlfn.SINGLE(INDEX(DATABASE!$AV$14:$BC$968,SUMPRODUCT((ROW(DATABASE!$AV$14:$AV$968)) * (DATABASE!$AV$14:CC$968='Résultats Projection'!$A25 ) * (DATABASE!$AW$14:$AW$968= AJ$4))-ROW(DATABASE!$AV$14)+1,AJ$5+3)),"")</f>
        <v/>
      </c>
      <c r="AK25" s="116">
        <f t="array" ref="AK25">IFERROR(_xlfn.SINGLE(INDEX(DATABASE!$AV$14:$BC$968,SUMPRODUCT((ROW(DATABASE!$AV$14:$AV$968)) * (DATABASE!$AV$14:CD$968='Résultats Projection'!$A25 ) * (DATABASE!$AW$14:$AW$968= AK$4))-ROW(DATABASE!$AV$14)+1,AK$5+3)),"")</f>
        <v/>
      </c>
      <c r="AL25" s="116">
        <f t="array" ref="AL25">IFERROR(_xlfn.SINGLE(INDEX(DATABASE!$AV$14:$BC$968,SUMPRODUCT((ROW(DATABASE!$AV$14:$AV$968)) * (DATABASE!$AV$14:CE$968='Résultats Projection'!$A25 ) * (DATABASE!$AW$14:$AW$968= AL$4))-ROW(DATABASE!$AV$14)+1,AL$5+3)),"")</f>
        <v/>
      </c>
      <c r="AM25" s="116">
        <f t="array" ref="AM25">IFERROR(_xlfn.SINGLE(INDEX(DATABASE!$AV$14:$BC$968,SUMPRODUCT((ROW(DATABASE!$AV$14:$AV$968)) * (DATABASE!$AV$14:CF$968='Résultats Projection'!$A25 ) * (DATABASE!$AW$14:$AW$968= AM$4))-ROW(DATABASE!$AV$14)+1,AM$5+3)),"")</f>
        <v/>
      </c>
      <c r="AN25" s="116">
        <f t="array" ref="AN25">IFERROR(_xlfn.SINGLE(INDEX(DATABASE!$AV$14:$BC$968,SUMPRODUCT((ROW(DATABASE!$AV$14:$AV$968)) * (DATABASE!$AV$14:CG$968='Résultats Projection'!$A25 ) * (DATABASE!$AW$14:$AW$968= AN$4))-ROW(DATABASE!$AV$14)+1,AN$5+3)),"")</f>
        <v/>
      </c>
      <c r="AO25" s="116">
        <f t="array" ref="AO25">IFERROR(_xlfn.SINGLE(INDEX(DATABASE!$AV$14:$BC$968,SUMPRODUCT((ROW(DATABASE!$AV$14:$AV$968)) * (DATABASE!$AV$14:CH$968='Résultats Projection'!$A25 ) * (DATABASE!$AW$14:$AW$968= AO$4))-ROW(DATABASE!$AV$14)+1,AO$5+3)),"")</f>
        <v/>
      </c>
      <c r="AP25" s="116">
        <f t="array" ref="AP25">IFERROR(_xlfn.SINGLE(INDEX(DATABASE!$AV$14:$BC$968,SUMPRODUCT((ROW(DATABASE!$AV$14:$AV$968)) * (DATABASE!$AV$14:CI$968='Résultats Projection'!$A25 ) * (DATABASE!$AW$14:$AW$968= AP$4))-ROW(DATABASE!$AV$14)+1,AP$5+3)),"")</f>
        <v/>
      </c>
      <c r="AQ25" s="116">
        <f t="array" ref="AQ25">IFERROR(_xlfn.SINGLE(INDEX(DATABASE!$AV$14:$BC$968,SUMPRODUCT((ROW(DATABASE!$AV$14:$AV$968)) * (DATABASE!$AV$14:CJ$968='Résultats Projection'!$A25 ) * (DATABASE!$AW$14:$AW$968= AQ$4))-ROW(DATABASE!$AV$14)+1,AQ$5+3)),"")</f>
        <v/>
      </c>
      <c r="AR25" s="116">
        <f t="array" ref="AR25">IFERROR(_xlfn.SINGLE(INDEX(DATABASE!$AV$14:$BC$968,SUMPRODUCT((ROW(DATABASE!$AV$14:$AV$968)) * (DATABASE!$AV$14:CK$968='Résultats Projection'!$A25 ) * (DATABASE!$AW$14:$AW$968= AR$4))-ROW(DATABASE!$AV$14)+1,AR$5+3)),"")</f>
        <v/>
      </c>
      <c r="AS25" s="116">
        <f t="array" ref="AS25">IFERROR(_xlfn.SINGLE(INDEX(DATABASE!$AV$14:$BC$968,SUMPRODUCT((ROW(DATABASE!$AV$14:$AV$968)) * (DATABASE!$AV$14:CL$968='Résultats Projection'!$A25 ) * (DATABASE!$AW$14:$AW$968= AS$4))-ROW(DATABASE!$AV$14)+1,AS$5+3)),"")</f>
        <v/>
      </c>
      <c r="AT25" s="116">
        <f t="array" ref="AT25">IFERROR(_xlfn.SINGLE(INDEX(DATABASE!$AV$14:$BC$968,SUMPRODUCT((ROW(DATABASE!$AV$14:$AV$968)) * (DATABASE!$AV$14:CM$968='Résultats Projection'!$A25 ) * (DATABASE!$AW$14:$AW$968= AT$4))-ROW(DATABASE!$AV$14)+1,AT$5+3)),"")</f>
        <v/>
      </c>
      <c r="AU25" s="116">
        <f t="array" ref="AU25">IFERROR(_xlfn.SINGLE(INDEX(DATABASE!$AV$14:$BC$968,SUMPRODUCT((ROW(DATABASE!$AV$14:$AV$968)) * (DATABASE!$AV$14:CN$968='Résultats Projection'!$A25 ) * (DATABASE!$AW$14:$AW$968= AU$4))-ROW(DATABASE!$AV$14)+1,AU$5+3)),"")</f>
        <v/>
      </c>
      <c r="AV25" s="116">
        <f t="array" ref="AV25">IFERROR(_xlfn.SINGLE(INDEX(DATABASE!$AV$14:$BC$968,SUMPRODUCT((ROW(DATABASE!$AV$14:$AV$968)) * (DATABASE!$AV$14:CO$968='Résultats Projection'!$A25 ) * (DATABASE!$AW$14:$AW$968= AV$4))-ROW(DATABASE!$AV$14)+1,AV$5+3)),"")</f>
        <v/>
      </c>
      <c r="AW25" s="116">
        <f t="array" ref="AW25">IFERROR(_xlfn.SINGLE(INDEX(DATABASE!$AV$14:$BC$968,SUMPRODUCT((ROW(DATABASE!$AV$14:$AV$968)) * (DATABASE!$AV$14:CP$968='Résultats Projection'!$A25 ) * (DATABASE!$AW$14:$AW$968= AW$4))-ROW(DATABASE!$AV$14)+1,AW$5+3)),"")</f>
        <v/>
      </c>
      <c r="AX25" s="116">
        <f t="array" ref="AX25">IFERROR(_xlfn.SINGLE(INDEX(DATABASE!$AV$14:$BC$968,SUMPRODUCT((ROW(DATABASE!$AV$14:$AV$968)) * (DATABASE!$AV$14:CQ$968='Résultats Projection'!$A25 ) * (DATABASE!$AW$14:$AW$968= AX$4))-ROW(DATABASE!$AV$14)+1,AX$5+3)),"")</f>
        <v/>
      </c>
      <c r="AY25" s="116">
        <f t="array" ref="AY25">IFERROR(_xlfn.SINGLE(INDEX(DATABASE!$AV$14:$BC$968,SUMPRODUCT((ROW(DATABASE!$AV$14:$AV$968)) * (DATABASE!$AV$14:CR$968='Résultats Projection'!$A25 ) * (DATABASE!$AW$14:$AW$968= AY$4))-ROW(DATABASE!$AV$14)+1,AY$5+3)),"")</f>
        <v/>
      </c>
      <c r="AZ25" s="116">
        <f t="array" ref="AZ25">IFERROR(_xlfn.SINGLE(INDEX(DATABASE!$AV$14:$BC$968,SUMPRODUCT((ROW(DATABASE!$AV$14:$AV$968)) * (DATABASE!$AV$14:CS$968='Résultats Projection'!$A25 ) * (DATABASE!$AW$14:$AW$968= AZ$4))-ROW(DATABASE!$AV$14)+1,AZ$5+3)),"")</f>
        <v/>
      </c>
      <c r="BA25" s="116">
        <f t="array" ref="BA25">IFERROR(_xlfn.SINGLE(INDEX(DATABASE!$AV$14:$BC$968,SUMPRODUCT((ROW(DATABASE!$AV$14:$AV$968)) * (DATABASE!$AV$14:CT$968='Résultats Projection'!$A25 ) * (DATABASE!$AW$14:$AW$968= BA$4))-ROW(DATABASE!$AV$14)+1,BA$5+3)),"")</f>
        <v/>
      </c>
      <c r="BB25" s="116">
        <f t="array" ref="BB25">IFERROR(_xlfn.SINGLE(INDEX(DATABASE!$AV$14:$BC$968,SUMPRODUCT((ROW(DATABASE!$AV$14:$AV$968)) * (DATABASE!$AV$14:CU$968='Résultats Projection'!$A25 ) * (DATABASE!$AW$14:$AW$968= BB$4))-ROW(DATABASE!$AV$14)+1,BB$5+3)),"")</f>
        <v/>
      </c>
      <c r="BC25" s="116">
        <f t="array" ref="BC25">IFERROR(_xlfn.SINGLE(INDEX(DATABASE!$AV$14:$BC$968,SUMPRODUCT((ROW(DATABASE!$AV$14:$AV$968)) * (DATABASE!$AV$14:CV$968='Résultats Projection'!$A25 ) * (DATABASE!$AW$14:$AW$968= BC$4))-ROW(DATABASE!$AV$14)+1,BC$5+3)),"")</f>
        <v/>
      </c>
      <c r="BD25" s="116">
        <f t="array" ref="BD25">IFERROR(_xlfn.SINGLE(INDEX(DATABASE!$AV$14:$BC$968,SUMPRODUCT((ROW(DATABASE!$AV$14:$AV$968)) * (DATABASE!$AV$14:CW$968='Résultats Projection'!$A25 ) * (DATABASE!$AW$14:$AW$968= BD$4))-ROW(DATABASE!$AV$14)+1,BD$5+3)),"")</f>
        <v/>
      </c>
      <c r="BE25" s="116">
        <f t="array" ref="BE25">IFERROR(_xlfn.SINGLE(INDEX(DATABASE!$AV$14:$BC$968,SUMPRODUCT((ROW(DATABASE!$AV$14:$AV$968)) * (DATABASE!$AV$14:CX$968='Résultats Projection'!$A25 ) * (DATABASE!$AW$14:$AW$968= BE$4))-ROW(DATABASE!$AV$14)+1,BE$5+3)),"")</f>
        <v/>
      </c>
      <c r="BF25" s="116">
        <f t="array" ref="BF25">IFERROR(_xlfn.SINGLE(INDEX(DATABASE!$AV$14:$BC$968,SUMPRODUCT((ROW(DATABASE!$AV$14:$AV$968)) * (DATABASE!$AV$14:CY$968='Résultats Projection'!$A25 ) * (DATABASE!$AW$14:$AW$968= BF$4))-ROW(DATABASE!$AV$14)+1,BF$5+3)),"")</f>
        <v/>
      </c>
      <c r="BG25" s="116">
        <f t="array" ref="BG25">IFERROR(_xlfn.SINGLE(INDEX(DATABASE!$AV$14:$BC$968,SUMPRODUCT((ROW(DATABASE!$AV$14:$AV$968)) * (DATABASE!$AV$14:CZ$968='Résultats Projection'!$A25 ) * (DATABASE!$AW$14:$AW$968= BG$4))-ROW(DATABASE!$AV$14)+1,BG$5+3)),"")</f>
        <v/>
      </c>
      <c r="BH25" s="116">
        <f t="array" ref="BH25">IFERROR(_xlfn.SINGLE(INDEX(DATABASE!$AV$14:$BC$968,SUMPRODUCT((ROW(DATABASE!$AV$14:$AV$968)) * (DATABASE!$AV$14:DA$968='Résultats Projection'!$A25 ) * (DATABASE!$AW$14:$AW$968= BH$4))-ROW(DATABASE!$AV$14)+1,BH$5+3)),"")</f>
        <v/>
      </c>
      <c r="BI25" s="116">
        <f t="array" ref="BI25">IFERROR(_xlfn.SINGLE(INDEX(DATABASE!$AV$14:$BC$968,SUMPRODUCT((ROW(DATABASE!$AV$14:$AV$968)) * (DATABASE!$AV$14:DB$968='Résultats Projection'!$A25 ) * (DATABASE!$AW$14:$AW$968= BI$4))-ROW(DATABASE!$AV$14)+1,BI$5+3)),"")</f>
        <v/>
      </c>
      <c r="BJ25" s="116">
        <f t="array" ref="BJ25">IFERROR(_xlfn.SINGLE(INDEX(DATABASE!$AV$14:$BC$968,SUMPRODUCT((ROW(DATABASE!$AV$14:$AV$968)) * (DATABASE!$AV$14:DC$968='Résultats Projection'!$A25 ) * (DATABASE!$AW$14:$AW$968= BJ$4))-ROW(DATABASE!$AV$14)+1,BJ$5+3)),"")</f>
        <v/>
      </c>
    </row>
    <row r="26" ht="29.25" customFormat="1" customHeight="1" s="28">
      <c r="A26" s="42" t="n">
        <v>45579</v>
      </c>
      <c r="B26" s="8">
        <f>A26-A$10</f>
        <v/>
      </c>
      <c r="C26" s="116">
        <f t="array" ref="C26">IFERROR(_xlfn.SINGLE(INDEX(DATABASE!$AV$14:$BC$968,SUMPRODUCT((ROW(DATABASE!$AV$14:$AV$968)) * (DATABASE!AV$14:$AV$968='Résultats Projection'!$A26 ) * (DATABASE!$AW$14:$AW$968= C$4))-ROW(DATABASE!$AV$14)+1,C$5+3)),"")</f>
        <v/>
      </c>
      <c r="D26" s="116">
        <f t="array" ref="D26">IFERROR(_xlfn.SINGLE(INDEX(DATABASE!$AV$14:$BC$968,SUMPRODUCT((ROW(DATABASE!$AV$14:$AV$968)) * (DATABASE!$AV$14:AW$968='Résultats Projection'!$A26 ) * (DATABASE!$AW$14:$AW$968= D$4))-ROW(DATABASE!$AV$14)+1,D$5+3)),"")</f>
        <v/>
      </c>
      <c r="E26" s="116">
        <f t="array" ref="E26">IFERROR(_xlfn.SINGLE(INDEX(DATABASE!$AV$14:$BC$968,SUMPRODUCT((ROW(DATABASE!$AV$14:$AV$968)) * (DATABASE!$AV$14:AX$968='Résultats Projection'!$A26 ) * (DATABASE!$AW$14:$AW$968= E$4))-ROW(DATABASE!$AV$14)+1,E$5+3)),"")</f>
        <v/>
      </c>
      <c r="F26" s="116">
        <f t="array" ref="F26">IFERROR(_xlfn.SINGLE(INDEX(DATABASE!$AV$14:$BC$968,SUMPRODUCT((ROW(DATABASE!$AV$14:$AV$968)) * (DATABASE!$AV$14:AY$968='Résultats Projection'!$A26 ) * (DATABASE!$AW$14:$AW$968= F$4))-ROW(DATABASE!$AV$14)+1,F$5+3)),"")</f>
        <v/>
      </c>
      <c r="G26" s="116">
        <f t="array" ref="G26">IFERROR(_xlfn.SINGLE(INDEX(DATABASE!$AV$14:$BC$968,SUMPRODUCT((ROW(DATABASE!$AV$14:$AV$968)) * (DATABASE!$AV$14:AZ$968='Résultats Projection'!$A26 ) * (DATABASE!$AW$14:$AW$968= G$4))-ROW(DATABASE!$AV$14)+1,G$5+3)),"")</f>
        <v/>
      </c>
      <c r="H26" s="116">
        <f t="array" ref="H26">IFERROR(_xlfn.SINGLE(INDEX(DATABASE!$AV$14:$BC$968,SUMPRODUCT((ROW(DATABASE!$AV$14:$AV$968)) * (DATABASE!$AV$14:BA$968='Résultats Projection'!$A26 ) * (DATABASE!$AW$14:$AW$968= H$4))-ROW(DATABASE!$AV$14)+1,H$5+3)),"")</f>
        <v/>
      </c>
      <c r="I26" s="116">
        <f t="array" ref="I26">IFERROR(_xlfn.SINGLE(INDEX(DATABASE!$AV$14:$BC$968,SUMPRODUCT((ROW(DATABASE!$AV$14:$AV$968)) * (DATABASE!$AV$14:BB$968='Résultats Projection'!$A26 ) * (DATABASE!$AW$14:$AW$968= I$4))-ROW(DATABASE!$AV$14)+1,I$5+3)),"")</f>
        <v/>
      </c>
      <c r="J26" s="116">
        <f t="array" ref="J26">IFERROR(_xlfn.SINGLE(INDEX(DATABASE!$AV$14:$BC$968,SUMPRODUCT((ROW(DATABASE!$AV$14:$AV$968)) * (DATABASE!$AV$14:BC$968='Résultats Projection'!$A26 ) * (DATABASE!$AW$14:$AW$968= J$4))-ROW(DATABASE!$AV$14)+1,J$5+3)),"")</f>
        <v/>
      </c>
      <c r="K26" s="116">
        <f t="array" ref="K26">IFERROR(_xlfn.SINGLE(INDEX(DATABASE!$AV$14:$BC$968,SUMPRODUCT((ROW(DATABASE!$AV$14:$AV$968)) * (DATABASE!$AV$14:BD$968='Résultats Projection'!$A26 ) * (DATABASE!$AW$14:$AW$968= K$4))-ROW(DATABASE!$AV$14)+1,K$5+3)),"")</f>
        <v/>
      </c>
      <c r="L26" s="116">
        <f t="array" ref="L26">IFERROR(_xlfn.SINGLE(INDEX(DATABASE!$AV$14:$BC$968,SUMPRODUCT((ROW(DATABASE!$AV$14:$AV$968)) * (DATABASE!$AV$14:BE$968='Résultats Projection'!$A26 ) * (DATABASE!$AW$14:$AW$968= L$4))-ROW(DATABASE!$AV$14)+1,L$5+3)),"")</f>
        <v/>
      </c>
      <c r="M26" s="116">
        <f t="array" ref="M26">IFERROR(_xlfn.SINGLE(INDEX(DATABASE!$AV$14:$BC$968,SUMPRODUCT((ROW(DATABASE!$AV$14:$AV$968)) * (DATABASE!$AV$14:BF$968='Résultats Projection'!$A26 ) * (DATABASE!$AW$14:$AW$968= M$4))-ROW(DATABASE!$AV$14)+1,M$5+3)),"")</f>
        <v/>
      </c>
      <c r="N26" s="116">
        <f t="array" ref="N26">IFERROR(_xlfn.SINGLE(INDEX(DATABASE!$AV$14:$BC$968,SUMPRODUCT((ROW(DATABASE!$AV$14:$AV$968)) * (DATABASE!$AV$14:BG$968='Résultats Projection'!$A26 ) * (DATABASE!$AW$14:$AW$968= N$4))-ROW(DATABASE!$AV$14)+1,N$5+3)),"")</f>
        <v/>
      </c>
      <c r="O26" s="116">
        <f t="array" ref="O26">IFERROR(_xlfn.SINGLE(INDEX(DATABASE!$AV$14:$BC$968,SUMPRODUCT((ROW(DATABASE!$AV$14:$AV$968)) * (DATABASE!$AV$14:BH$968='Résultats Projection'!$A26 ) * (DATABASE!$AW$14:$AW$968= O$4))-ROW(DATABASE!$AV$14)+1,O$5+3)),"")</f>
        <v/>
      </c>
      <c r="P26" s="116">
        <f t="array" ref="P26">IFERROR(_xlfn.SINGLE(INDEX(DATABASE!$AV$14:$BC$968,SUMPRODUCT((ROW(DATABASE!$AV$14:$AV$968)) * (DATABASE!$AV$14:BI$968='Résultats Projection'!$A26 ) * (DATABASE!$AW$14:$AW$968= P$4))-ROW(DATABASE!$AV$14)+1,P$5+3)),"")</f>
        <v/>
      </c>
      <c r="Q26" s="116">
        <f t="array" ref="Q26">IFERROR(_xlfn.SINGLE(INDEX(DATABASE!$AV$14:$BC$968,SUMPRODUCT((ROW(DATABASE!$AV$14:$AV$968)) * (DATABASE!$AV$14:BJ$968='Résultats Projection'!$A26 ) * (DATABASE!$AW$14:$AW$968= Q$4))-ROW(DATABASE!$AV$14)+1,Q$5+3)),"")</f>
        <v/>
      </c>
      <c r="R26" s="116">
        <f t="array" ref="R26">IFERROR(_xlfn.SINGLE(INDEX(DATABASE!$AV$14:$BC$968,SUMPRODUCT((ROW(DATABASE!$AV$14:$AV$968)) * (DATABASE!$AV$14:BK$968='Résultats Projection'!$A26 ) * (DATABASE!$AW$14:$AW$968= R$4))-ROW(DATABASE!$AV$14)+1,R$5+3)),"")</f>
        <v/>
      </c>
      <c r="S26" s="116">
        <f t="array" ref="S26">IFERROR(_xlfn.SINGLE(INDEX(DATABASE!$AV$14:$BC$968,SUMPRODUCT((ROW(DATABASE!$AV$14:$AV$968)) * (DATABASE!$AV$14:BL$968='Résultats Projection'!$A26 ) * (DATABASE!$AW$14:$AW$968= S$4))-ROW(DATABASE!$AV$14)+1,S$5+3)),"")</f>
        <v/>
      </c>
      <c r="T26" s="116">
        <f t="array" ref="T26">IFERROR(_xlfn.SINGLE(INDEX(DATABASE!$AV$14:$BC$968,SUMPRODUCT((ROW(DATABASE!$AV$14:$AV$968)) * (DATABASE!$AV$14:BM$968='Résultats Projection'!$A26 ) * (DATABASE!$AW$14:$AW$968= T$4))-ROW(DATABASE!$AV$14)+1,T$5+3)),"")</f>
        <v/>
      </c>
      <c r="U26" s="116">
        <f t="array" ref="U26">IFERROR(_xlfn.SINGLE(INDEX(DATABASE!$AV$14:$BC$968,SUMPRODUCT((ROW(DATABASE!$AV$14:$AV$968)) * (DATABASE!$AV$14:BN$968='Résultats Projection'!$A26 ) * (DATABASE!$AW$14:$AW$968= U$4))-ROW(DATABASE!$AV$14)+1,U$5+3)),"")</f>
        <v/>
      </c>
      <c r="V26" s="116">
        <f t="array" ref="V26">IFERROR(_xlfn.SINGLE(INDEX(DATABASE!$AV$14:$BC$968,SUMPRODUCT((ROW(DATABASE!$AV$14:$AV$968)) * (DATABASE!$AV$14:BO$968='Résultats Projection'!$A26 ) * (DATABASE!$AW$14:$AW$968= V$4))-ROW(DATABASE!$AV$14)+1,V$5+3)),"")</f>
        <v/>
      </c>
      <c r="W26" s="116">
        <f t="array" ref="W26">IFERROR(_xlfn.SINGLE(INDEX(DATABASE!$AV$14:$BC$968,SUMPRODUCT((ROW(DATABASE!$AV$14:$AV$968)) * (DATABASE!$AV$14:BP$968='Résultats Projection'!$A26 ) * (DATABASE!$AW$14:$AW$968= W$4))-ROW(DATABASE!$AV$14)+1,W$5+3)),"")</f>
        <v/>
      </c>
      <c r="X26" s="116">
        <f t="array" ref="X26">IFERROR(_xlfn.SINGLE(INDEX(DATABASE!$AV$14:$BC$968,SUMPRODUCT((ROW(DATABASE!$AV$14:$AV$968)) * (DATABASE!$AV$14:BQ$968='Résultats Projection'!$A26 ) * (DATABASE!$AW$14:$AW$968= X$4))-ROW(DATABASE!$AV$14)+1,X$5+3)),"")</f>
        <v/>
      </c>
      <c r="Y26" s="116">
        <f t="array" ref="Y26">IFERROR(_xlfn.SINGLE(INDEX(DATABASE!$AV$14:$BC$968,SUMPRODUCT((ROW(DATABASE!$AV$14:$AV$968)) * (DATABASE!$AV$14:BR$968='Résultats Projection'!$A26 ) * (DATABASE!$AW$14:$AW$968= Y$4))-ROW(DATABASE!$AV$14)+1,Y$5+3)),"")</f>
        <v/>
      </c>
      <c r="Z26" s="116">
        <f t="array" ref="Z26">IFERROR(_xlfn.SINGLE(INDEX(DATABASE!$AV$14:$BC$968,SUMPRODUCT((ROW(DATABASE!$AV$14:$AV$968)) * (DATABASE!$AV$14:BS$968='Résultats Projection'!$A26 ) * (DATABASE!$AW$14:$AW$968= Z$4))-ROW(DATABASE!$AV$14)+1,Z$5+3)),"")</f>
        <v/>
      </c>
      <c r="AA26" s="116">
        <f t="array" ref="AA26">IFERROR(_xlfn.SINGLE(INDEX(DATABASE!$AV$14:$BC$968,SUMPRODUCT((ROW(DATABASE!$AV$14:$AV$968)) * (DATABASE!$AV$14:BT$968='Résultats Projection'!$A26 ) * (DATABASE!$AW$14:$AW$968= AA$4))-ROW(DATABASE!$AV$14)+1,AA$5+3)),"")</f>
        <v/>
      </c>
      <c r="AB26" s="116">
        <f t="array" ref="AB26">IFERROR(_xlfn.SINGLE(INDEX(DATABASE!$AV$14:$BC$968,SUMPRODUCT((ROW(DATABASE!$AV$14:$AV$968)) * (DATABASE!$AV$14:BU$968='Résultats Projection'!$A26 ) * (DATABASE!$AW$14:$AW$968= AB$4))-ROW(DATABASE!$AV$14)+1,AB$5+3)),"")</f>
        <v/>
      </c>
      <c r="AC26" s="116">
        <f t="array" ref="AC26">IFERROR(_xlfn.SINGLE(INDEX(DATABASE!$AV$14:$BC$968,SUMPRODUCT((ROW(DATABASE!$AV$14:$AV$968)) * (DATABASE!$AV$14:BV$968='Résultats Projection'!$A26 ) * (DATABASE!$AW$14:$AW$968= AC$4))-ROW(DATABASE!$AV$14)+1,AC$5+3)),"")</f>
        <v/>
      </c>
      <c r="AD26" s="116">
        <f t="array" ref="AD26">IFERROR(_xlfn.SINGLE(INDEX(DATABASE!$AV$14:$BC$968,SUMPRODUCT((ROW(DATABASE!$AV$14:$AV$968)) * (DATABASE!$AV$14:BW$968='Résultats Projection'!$A26 ) * (DATABASE!$AW$14:$AW$968= AD$4))-ROW(DATABASE!$AV$14)+1,AD$5+3)),"")</f>
        <v/>
      </c>
      <c r="AE26" s="116">
        <f t="array" ref="AE26">IFERROR(_xlfn.SINGLE(INDEX(DATABASE!$AV$14:$BC$968,SUMPRODUCT((ROW(DATABASE!$AV$14:$AV$968)) * (DATABASE!$AV$14:BX$968='Résultats Projection'!$A26 ) * (DATABASE!$AW$14:$AW$968= AE$4))-ROW(DATABASE!$AV$14)+1,AE$5+3)),"")</f>
        <v/>
      </c>
      <c r="AF26" s="116">
        <f t="array" ref="AF26">IFERROR(_xlfn.SINGLE(INDEX(DATABASE!$AV$14:$BC$968,SUMPRODUCT((ROW(DATABASE!$AV$14:$AV$968)) * (DATABASE!$AV$14:BY$968='Résultats Projection'!$A26 ) * (DATABASE!$AW$14:$AW$968= AF$4))-ROW(DATABASE!$AV$14)+1,AF$5+3)),"")</f>
        <v/>
      </c>
      <c r="AG26" s="116">
        <f t="array" ref="AG26">IFERROR(_xlfn.SINGLE(INDEX(DATABASE!$AV$14:$BC$968,SUMPRODUCT((ROW(DATABASE!$AV$14:$AV$968)) * (DATABASE!$AV$14:BZ$968='Résultats Projection'!$A26 ) * (DATABASE!$AW$14:$AW$968= AG$4))-ROW(DATABASE!$AV$14)+1,AG$5+3)),"")</f>
        <v/>
      </c>
      <c r="AH26" s="116">
        <f t="array" ref="AH26">IFERROR(_xlfn.SINGLE(INDEX(DATABASE!$AV$14:$BC$968,SUMPRODUCT((ROW(DATABASE!$AV$14:$AV$968)) * (DATABASE!$AV$14:CA$968='Résultats Projection'!$A26 ) * (DATABASE!$AW$14:$AW$968= AH$4))-ROW(DATABASE!$AV$14)+1,AH$5+3)),"")</f>
        <v/>
      </c>
      <c r="AI26" s="116">
        <f t="array" ref="AI26">IFERROR(_xlfn.SINGLE(INDEX(DATABASE!$AV$14:$BC$968,SUMPRODUCT((ROW(DATABASE!$AV$14:$AV$968)) * (DATABASE!$AV$14:CB$968='Résultats Projection'!$A26 ) * (DATABASE!$AW$14:$AW$968= AI$4))-ROW(DATABASE!$AV$14)+1,AI$5+3)),"")</f>
        <v/>
      </c>
      <c r="AJ26" s="116">
        <f t="array" ref="AJ26">IFERROR(_xlfn.SINGLE(INDEX(DATABASE!$AV$14:$BC$968,SUMPRODUCT((ROW(DATABASE!$AV$14:$AV$968)) * (DATABASE!$AV$14:CC$968='Résultats Projection'!$A26 ) * (DATABASE!$AW$14:$AW$968= AJ$4))-ROW(DATABASE!$AV$14)+1,AJ$5+3)),"")</f>
        <v/>
      </c>
      <c r="AK26" s="116">
        <f t="array" ref="AK26">IFERROR(_xlfn.SINGLE(INDEX(DATABASE!$AV$14:$BC$968,SUMPRODUCT((ROW(DATABASE!$AV$14:$AV$968)) * (DATABASE!$AV$14:CD$968='Résultats Projection'!$A26 ) * (DATABASE!$AW$14:$AW$968= AK$4))-ROW(DATABASE!$AV$14)+1,AK$5+3)),"")</f>
        <v/>
      </c>
      <c r="AL26" s="116">
        <f t="array" ref="AL26">IFERROR(_xlfn.SINGLE(INDEX(DATABASE!$AV$14:$BC$968,SUMPRODUCT((ROW(DATABASE!$AV$14:$AV$968)) * (DATABASE!$AV$14:CE$968='Résultats Projection'!$A26 ) * (DATABASE!$AW$14:$AW$968= AL$4))-ROW(DATABASE!$AV$14)+1,AL$5+3)),"")</f>
        <v/>
      </c>
      <c r="AM26" s="116">
        <f t="array" ref="AM26">IFERROR(_xlfn.SINGLE(INDEX(DATABASE!$AV$14:$BC$968,SUMPRODUCT((ROW(DATABASE!$AV$14:$AV$968)) * (DATABASE!$AV$14:CF$968='Résultats Projection'!$A26 ) * (DATABASE!$AW$14:$AW$968= AM$4))-ROW(DATABASE!$AV$14)+1,AM$5+3)),"")</f>
        <v/>
      </c>
      <c r="AN26" s="116">
        <f t="array" ref="AN26">IFERROR(_xlfn.SINGLE(INDEX(DATABASE!$AV$14:$BC$968,SUMPRODUCT((ROW(DATABASE!$AV$14:$AV$968)) * (DATABASE!$AV$14:CG$968='Résultats Projection'!$A26 ) * (DATABASE!$AW$14:$AW$968= AN$4))-ROW(DATABASE!$AV$14)+1,AN$5+3)),"")</f>
        <v/>
      </c>
      <c r="AO26" s="116">
        <f t="array" ref="AO26">IFERROR(_xlfn.SINGLE(INDEX(DATABASE!$AV$14:$BC$968,SUMPRODUCT((ROW(DATABASE!$AV$14:$AV$968)) * (DATABASE!$AV$14:CH$968='Résultats Projection'!$A26 ) * (DATABASE!$AW$14:$AW$968= AO$4))-ROW(DATABASE!$AV$14)+1,AO$5+3)),"")</f>
        <v/>
      </c>
      <c r="AP26" s="116">
        <f t="array" ref="AP26">IFERROR(_xlfn.SINGLE(INDEX(DATABASE!$AV$14:$BC$968,SUMPRODUCT((ROW(DATABASE!$AV$14:$AV$968)) * (DATABASE!$AV$14:CI$968='Résultats Projection'!$A26 ) * (DATABASE!$AW$14:$AW$968= AP$4))-ROW(DATABASE!$AV$14)+1,AP$5+3)),"")</f>
        <v/>
      </c>
      <c r="AQ26" s="116">
        <f t="array" ref="AQ26">IFERROR(_xlfn.SINGLE(INDEX(DATABASE!$AV$14:$BC$968,SUMPRODUCT((ROW(DATABASE!$AV$14:$AV$968)) * (DATABASE!$AV$14:CJ$968='Résultats Projection'!$A26 ) * (DATABASE!$AW$14:$AW$968= AQ$4))-ROW(DATABASE!$AV$14)+1,AQ$5+3)),"")</f>
        <v/>
      </c>
      <c r="AR26" s="116">
        <f t="array" ref="AR26">IFERROR(_xlfn.SINGLE(INDEX(DATABASE!$AV$14:$BC$968,SUMPRODUCT((ROW(DATABASE!$AV$14:$AV$968)) * (DATABASE!$AV$14:CK$968='Résultats Projection'!$A26 ) * (DATABASE!$AW$14:$AW$968= AR$4))-ROW(DATABASE!$AV$14)+1,AR$5+3)),"")</f>
        <v/>
      </c>
      <c r="AS26" s="116">
        <f t="array" ref="AS26">IFERROR(_xlfn.SINGLE(INDEX(DATABASE!$AV$14:$BC$968,SUMPRODUCT((ROW(DATABASE!$AV$14:$AV$968)) * (DATABASE!$AV$14:CL$968='Résultats Projection'!$A26 ) * (DATABASE!$AW$14:$AW$968= AS$4))-ROW(DATABASE!$AV$14)+1,AS$5+3)),"")</f>
        <v/>
      </c>
      <c r="AT26" s="116">
        <f t="array" ref="AT26">IFERROR(_xlfn.SINGLE(INDEX(DATABASE!$AV$14:$BC$968,SUMPRODUCT((ROW(DATABASE!$AV$14:$AV$968)) * (DATABASE!$AV$14:CM$968='Résultats Projection'!$A26 ) * (DATABASE!$AW$14:$AW$968= AT$4))-ROW(DATABASE!$AV$14)+1,AT$5+3)),"")</f>
        <v/>
      </c>
      <c r="AU26" s="116">
        <f t="array" ref="AU26">IFERROR(_xlfn.SINGLE(INDEX(DATABASE!$AV$14:$BC$968,SUMPRODUCT((ROW(DATABASE!$AV$14:$AV$968)) * (DATABASE!$AV$14:CN$968='Résultats Projection'!$A26 ) * (DATABASE!$AW$14:$AW$968= AU$4))-ROW(DATABASE!$AV$14)+1,AU$5+3)),"")</f>
        <v/>
      </c>
      <c r="AV26" s="116">
        <f t="array" ref="AV26">IFERROR(_xlfn.SINGLE(INDEX(DATABASE!$AV$14:$BC$968,SUMPRODUCT((ROW(DATABASE!$AV$14:$AV$968)) * (DATABASE!$AV$14:CO$968='Résultats Projection'!$A26 ) * (DATABASE!$AW$14:$AW$968= AV$4))-ROW(DATABASE!$AV$14)+1,AV$5+3)),"")</f>
        <v/>
      </c>
      <c r="AW26" s="116">
        <f t="array" ref="AW26">IFERROR(_xlfn.SINGLE(INDEX(DATABASE!$AV$14:$BC$968,SUMPRODUCT((ROW(DATABASE!$AV$14:$AV$968)) * (DATABASE!$AV$14:CP$968='Résultats Projection'!$A26 ) * (DATABASE!$AW$14:$AW$968= AW$4))-ROW(DATABASE!$AV$14)+1,AW$5+3)),"")</f>
        <v/>
      </c>
      <c r="AX26" s="116">
        <f t="array" ref="AX26">IFERROR(_xlfn.SINGLE(INDEX(DATABASE!$AV$14:$BC$968,SUMPRODUCT((ROW(DATABASE!$AV$14:$AV$968)) * (DATABASE!$AV$14:CQ$968='Résultats Projection'!$A26 ) * (DATABASE!$AW$14:$AW$968= AX$4))-ROW(DATABASE!$AV$14)+1,AX$5+3)),"")</f>
        <v/>
      </c>
      <c r="AY26" s="116">
        <f t="array" ref="AY26">IFERROR(_xlfn.SINGLE(INDEX(DATABASE!$AV$14:$BC$968,SUMPRODUCT((ROW(DATABASE!$AV$14:$AV$968)) * (DATABASE!$AV$14:CR$968='Résultats Projection'!$A26 ) * (DATABASE!$AW$14:$AW$968= AY$4))-ROW(DATABASE!$AV$14)+1,AY$5+3)),"")</f>
        <v/>
      </c>
      <c r="AZ26" s="116">
        <f t="array" ref="AZ26">IFERROR(_xlfn.SINGLE(INDEX(DATABASE!$AV$14:$BC$968,SUMPRODUCT((ROW(DATABASE!$AV$14:$AV$968)) * (DATABASE!$AV$14:CS$968='Résultats Projection'!$A26 ) * (DATABASE!$AW$14:$AW$968= AZ$4))-ROW(DATABASE!$AV$14)+1,AZ$5+3)),"")</f>
        <v/>
      </c>
      <c r="BA26" s="116">
        <f t="array" ref="BA26">IFERROR(_xlfn.SINGLE(INDEX(DATABASE!$AV$14:$BC$968,SUMPRODUCT((ROW(DATABASE!$AV$14:$AV$968)) * (DATABASE!$AV$14:CT$968='Résultats Projection'!$A26 ) * (DATABASE!$AW$14:$AW$968= BA$4))-ROW(DATABASE!$AV$14)+1,BA$5+3)),"")</f>
        <v/>
      </c>
      <c r="BB26" s="116">
        <f t="array" ref="BB26">IFERROR(_xlfn.SINGLE(INDEX(DATABASE!$AV$14:$BC$968,SUMPRODUCT((ROW(DATABASE!$AV$14:$AV$968)) * (DATABASE!$AV$14:CU$968='Résultats Projection'!$A26 ) * (DATABASE!$AW$14:$AW$968= BB$4))-ROW(DATABASE!$AV$14)+1,BB$5+3)),"")</f>
        <v/>
      </c>
      <c r="BC26" s="116">
        <f t="array" ref="BC26">IFERROR(_xlfn.SINGLE(INDEX(DATABASE!$AV$14:$BC$968,SUMPRODUCT((ROW(DATABASE!$AV$14:$AV$968)) * (DATABASE!$AV$14:CV$968='Résultats Projection'!$A26 ) * (DATABASE!$AW$14:$AW$968= BC$4))-ROW(DATABASE!$AV$14)+1,BC$5+3)),"")</f>
        <v/>
      </c>
      <c r="BD26" s="116">
        <f t="array" ref="BD26">IFERROR(_xlfn.SINGLE(INDEX(DATABASE!$AV$14:$BC$968,SUMPRODUCT((ROW(DATABASE!$AV$14:$AV$968)) * (DATABASE!$AV$14:CW$968='Résultats Projection'!$A26 ) * (DATABASE!$AW$14:$AW$968= BD$4))-ROW(DATABASE!$AV$14)+1,BD$5+3)),"")</f>
        <v/>
      </c>
      <c r="BE26" s="116">
        <f t="array" ref="BE26">IFERROR(_xlfn.SINGLE(INDEX(DATABASE!$AV$14:$BC$968,SUMPRODUCT((ROW(DATABASE!$AV$14:$AV$968)) * (DATABASE!$AV$14:CX$968='Résultats Projection'!$A26 ) * (DATABASE!$AW$14:$AW$968= BE$4))-ROW(DATABASE!$AV$14)+1,BE$5+3)),"")</f>
        <v/>
      </c>
      <c r="BF26" s="116">
        <f t="array" ref="BF26">IFERROR(_xlfn.SINGLE(INDEX(DATABASE!$AV$14:$BC$968,SUMPRODUCT((ROW(DATABASE!$AV$14:$AV$968)) * (DATABASE!$AV$14:CY$968='Résultats Projection'!$A26 ) * (DATABASE!$AW$14:$AW$968= BF$4))-ROW(DATABASE!$AV$14)+1,BF$5+3)),"")</f>
        <v/>
      </c>
      <c r="BG26" s="116">
        <f t="array" ref="BG26">IFERROR(_xlfn.SINGLE(INDEX(DATABASE!$AV$14:$BC$968,SUMPRODUCT((ROW(DATABASE!$AV$14:$AV$968)) * (DATABASE!$AV$14:CZ$968='Résultats Projection'!$A26 ) * (DATABASE!$AW$14:$AW$968= BG$4))-ROW(DATABASE!$AV$14)+1,BG$5+3)),"")</f>
        <v/>
      </c>
      <c r="BH26" s="116">
        <f t="array" ref="BH26">IFERROR(_xlfn.SINGLE(INDEX(DATABASE!$AV$14:$BC$968,SUMPRODUCT((ROW(DATABASE!$AV$14:$AV$968)) * (DATABASE!$AV$14:DA$968='Résultats Projection'!$A26 ) * (DATABASE!$AW$14:$AW$968= BH$4))-ROW(DATABASE!$AV$14)+1,BH$5+3)),"")</f>
        <v/>
      </c>
      <c r="BI26" s="116">
        <f t="array" ref="BI26">IFERROR(_xlfn.SINGLE(INDEX(DATABASE!$AV$14:$BC$968,SUMPRODUCT((ROW(DATABASE!$AV$14:$AV$968)) * (DATABASE!$AV$14:DB$968='Résultats Projection'!$A26 ) * (DATABASE!$AW$14:$AW$968= BI$4))-ROW(DATABASE!$AV$14)+1,BI$5+3)),"")</f>
        <v/>
      </c>
      <c r="BJ26" s="116">
        <f t="array" ref="BJ26">IFERROR(_xlfn.SINGLE(INDEX(DATABASE!$AV$14:$BC$968,SUMPRODUCT((ROW(DATABASE!$AV$14:$AV$968)) * (DATABASE!$AV$14:DC$968='Résultats Projection'!$A26 ) * (DATABASE!$AW$14:$AW$968= BJ$4))-ROW(DATABASE!$AV$14)+1,BJ$5+3)),"")</f>
        <v/>
      </c>
    </row>
    <row r="27" ht="29.25" customFormat="1" customHeight="1" s="28">
      <c r="A27" s="42" t="n">
        <v>45586</v>
      </c>
      <c r="B27" s="8">
        <f>A27-A$10</f>
        <v/>
      </c>
      <c r="C27" s="116">
        <f t="array" ref="C27">IFERROR(_xlfn.SINGLE(INDEX(DATABASE!$AV$14:$BC$968,SUMPRODUCT((ROW(DATABASE!$AV$14:$AV$968)) * (DATABASE!AV$14:$AV$968='Résultats Projection'!$A27 ) * (DATABASE!$AW$14:$AW$968= C$4))-ROW(DATABASE!$AV$14)+1,C$5+3)),"")</f>
        <v/>
      </c>
      <c r="D27" s="116">
        <f t="array" ref="D27">IFERROR(_xlfn.SINGLE(INDEX(DATABASE!$AV$14:$BC$968,SUMPRODUCT((ROW(DATABASE!$AV$14:$AV$968)) * (DATABASE!$AV$14:AW$968='Résultats Projection'!$A27 ) * (DATABASE!$AW$14:$AW$968= D$4))-ROW(DATABASE!$AV$14)+1,D$5+3)),"")</f>
        <v/>
      </c>
      <c r="E27" s="116">
        <f t="array" ref="E27">IFERROR(_xlfn.SINGLE(INDEX(DATABASE!$AV$14:$BC$968,SUMPRODUCT((ROW(DATABASE!$AV$14:$AV$968)) * (DATABASE!$AV$14:AX$968='Résultats Projection'!$A27 ) * (DATABASE!$AW$14:$AW$968= E$4))-ROW(DATABASE!$AV$14)+1,E$5+3)),"")</f>
        <v/>
      </c>
      <c r="F27" s="116">
        <f t="array" ref="F27">IFERROR(_xlfn.SINGLE(INDEX(DATABASE!$AV$14:$BC$968,SUMPRODUCT((ROW(DATABASE!$AV$14:$AV$968)) * (DATABASE!$AV$14:AY$968='Résultats Projection'!$A27 ) * (DATABASE!$AW$14:$AW$968= F$4))-ROW(DATABASE!$AV$14)+1,F$5+3)),"")</f>
        <v/>
      </c>
      <c r="G27" s="116">
        <f t="array" ref="G27">IFERROR(_xlfn.SINGLE(INDEX(DATABASE!$AV$14:$BC$968,SUMPRODUCT((ROW(DATABASE!$AV$14:$AV$968)) * (DATABASE!$AV$14:AZ$968='Résultats Projection'!$A27 ) * (DATABASE!$AW$14:$AW$968= G$4))-ROW(DATABASE!$AV$14)+1,G$5+3)),"")</f>
        <v/>
      </c>
      <c r="H27" s="116">
        <f t="array" ref="H27">IFERROR(_xlfn.SINGLE(INDEX(DATABASE!$AV$14:$BC$968,SUMPRODUCT((ROW(DATABASE!$AV$14:$AV$968)) * (DATABASE!$AV$14:BA$968='Résultats Projection'!$A27 ) * (DATABASE!$AW$14:$AW$968= H$4))-ROW(DATABASE!$AV$14)+1,H$5+3)),"")</f>
        <v/>
      </c>
      <c r="I27" s="116">
        <f t="array" ref="I27">IFERROR(_xlfn.SINGLE(INDEX(DATABASE!$AV$14:$BC$968,SUMPRODUCT((ROW(DATABASE!$AV$14:$AV$968)) * (DATABASE!$AV$14:BB$968='Résultats Projection'!$A27 ) * (DATABASE!$AW$14:$AW$968= I$4))-ROW(DATABASE!$AV$14)+1,I$5+3)),"")</f>
        <v/>
      </c>
      <c r="J27" s="116">
        <f t="array" ref="J27">IFERROR(_xlfn.SINGLE(INDEX(DATABASE!$AV$14:$BC$968,SUMPRODUCT((ROW(DATABASE!$AV$14:$AV$968)) * (DATABASE!$AV$14:BC$968='Résultats Projection'!$A27 ) * (DATABASE!$AW$14:$AW$968= J$4))-ROW(DATABASE!$AV$14)+1,J$5+3)),"")</f>
        <v/>
      </c>
      <c r="K27" s="116">
        <f t="array" ref="K27">IFERROR(_xlfn.SINGLE(INDEX(DATABASE!$AV$14:$BC$968,SUMPRODUCT((ROW(DATABASE!$AV$14:$AV$968)) * (DATABASE!$AV$14:BD$968='Résultats Projection'!$A27 ) * (DATABASE!$AW$14:$AW$968= K$4))-ROW(DATABASE!$AV$14)+1,K$5+3)),"")</f>
        <v/>
      </c>
      <c r="L27" s="116">
        <f t="array" ref="L27">IFERROR(_xlfn.SINGLE(INDEX(DATABASE!$AV$14:$BC$968,SUMPRODUCT((ROW(DATABASE!$AV$14:$AV$968)) * (DATABASE!$AV$14:BE$968='Résultats Projection'!$A27 ) * (DATABASE!$AW$14:$AW$968= L$4))-ROW(DATABASE!$AV$14)+1,L$5+3)),"")</f>
        <v/>
      </c>
      <c r="M27" s="116">
        <f t="array" ref="M27">IFERROR(_xlfn.SINGLE(INDEX(DATABASE!$AV$14:$BC$968,SUMPRODUCT((ROW(DATABASE!$AV$14:$AV$968)) * (DATABASE!$AV$14:BF$968='Résultats Projection'!$A27 ) * (DATABASE!$AW$14:$AW$968= M$4))-ROW(DATABASE!$AV$14)+1,M$5+3)),"")</f>
        <v/>
      </c>
      <c r="N27" s="116">
        <f t="array" ref="N27">IFERROR(_xlfn.SINGLE(INDEX(DATABASE!$AV$14:$BC$968,SUMPRODUCT((ROW(DATABASE!$AV$14:$AV$968)) * (DATABASE!$AV$14:BG$968='Résultats Projection'!$A27 ) * (DATABASE!$AW$14:$AW$968= N$4))-ROW(DATABASE!$AV$14)+1,N$5+3)),"")</f>
        <v/>
      </c>
      <c r="O27" s="116">
        <f t="array" ref="O27">IFERROR(_xlfn.SINGLE(INDEX(DATABASE!$AV$14:$BC$968,SUMPRODUCT((ROW(DATABASE!$AV$14:$AV$968)) * (DATABASE!$AV$14:BH$968='Résultats Projection'!$A27 ) * (DATABASE!$AW$14:$AW$968= O$4))-ROW(DATABASE!$AV$14)+1,O$5+3)),"")</f>
        <v/>
      </c>
      <c r="P27" s="116">
        <f t="array" ref="P27">IFERROR(_xlfn.SINGLE(INDEX(DATABASE!$AV$14:$BC$968,SUMPRODUCT((ROW(DATABASE!$AV$14:$AV$968)) * (DATABASE!$AV$14:BI$968='Résultats Projection'!$A27 ) * (DATABASE!$AW$14:$AW$968= P$4))-ROW(DATABASE!$AV$14)+1,P$5+3)),"")</f>
        <v/>
      </c>
      <c r="Q27" s="116">
        <f t="array" ref="Q27">IFERROR(_xlfn.SINGLE(INDEX(DATABASE!$AV$14:$BC$968,SUMPRODUCT((ROW(DATABASE!$AV$14:$AV$968)) * (DATABASE!$AV$14:BJ$968='Résultats Projection'!$A27 ) * (DATABASE!$AW$14:$AW$968= Q$4))-ROW(DATABASE!$AV$14)+1,Q$5+3)),"")</f>
        <v/>
      </c>
      <c r="R27" s="116">
        <f t="array" ref="R27">IFERROR(_xlfn.SINGLE(INDEX(DATABASE!$AV$14:$BC$968,SUMPRODUCT((ROW(DATABASE!$AV$14:$AV$968)) * (DATABASE!$AV$14:BK$968='Résultats Projection'!$A27 ) * (DATABASE!$AW$14:$AW$968= R$4))-ROW(DATABASE!$AV$14)+1,R$5+3)),"")</f>
        <v/>
      </c>
      <c r="S27" s="116">
        <f t="array" ref="S27">IFERROR(_xlfn.SINGLE(INDEX(DATABASE!$AV$14:$BC$968,SUMPRODUCT((ROW(DATABASE!$AV$14:$AV$968)) * (DATABASE!$AV$14:BL$968='Résultats Projection'!$A27 ) * (DATABASE!$AW$14:$AW$968= S$4))-ROW(DATABASE!$AV$14)+1,S$5+3)),"")</f>
        <v/>
      </c>
      <c r="T27" s="116">
        <f t="array" ref="T27">IFERROR(_xlfn.SINGLE(INDEX(DATABASE!$AV$14:$BC$968,SUMPRODUCT((ROW(DATABASE!$AV$14:$AV$968)) * (DATABASE!$AV$14:BM$968='Résultats Projection'!$A27 ) * (DATABASE!$AW$14:$AW$968= T$4))-ROW(DATABASE!$AV$14)+1,T$5+3)),"")</f>
        <v/>
      </c>
      <c r="U27" s="116">
        <f t="array" ref="U27">IFERROR(_xlfn.SINGLE(INDEX(DATABASE!$AV$14:$BC$968,SUMPRODUCT((ROW(DATABASE!$AV$14:$AV$968)) * (DATABASE!$AV$14:BN$968='Résultats Projection'!$A27 ) * (DATABASE!$AW$14:$AW$968= U$4))-ROW(DATABASE!$AV$14)+1,U$5+3)),"")</f>
        <v/>
      </c>
      <c r="V27" s="116">
        <f t="array" ref="V27">IFERROR(_xlfn.SINGLE(INDEX(DATABASE!$AV$14:$BC$968,SUMPRODUCT((ROW(DATABASE!$AV$14:$AV$968)) * (DATABASE!$AV$14:BO$968='Résultats Projection'!$A27 ) * (DATABASE!$AW$14:$AW$968= V$4))-ROW(DATABASE!$AV$14)+1,V$5+3)),"")</f>
        <v/>
      </c>
      <c r="W27" s="116">
        <f t="array" ref="W27">IFERROR(_xlfn.SINGLE(INDEX(DATABASE!$AV$14:$BC$968,SUMPRODUCT((ROW(DATABASE!$AV$14:$AV$968)) * (DATABASE!$AV$14:BP$968='Résultats Projection'!$A27 ) * (DATABASE!$AW$14:$AW$968= W$4))-ROW(DATABASE!$AV$14)+1,W$5+3)),"")</f>
        <v/>
      </c>
      <c r="X27" s="116">
        <f t="array" ref="X27">IFERROR(_xlfn.SINGLE(INDEX(DATABASE!$AV$14:$BC$968,SUMPRODUCT((ROW(DATABASE!$AV$14:$AV$968)) * (DATABASE!$AV$14:BQ$968='Résultats Projection'!$A27 ) * (DATABASE!$AW$14:$AW$968= X$4))-ROW(DATABASE!$AV$14)+1,X$5+3)),"")</f>
        <v/>
      </c>
      <c r="Y27" s="116">
        <f t="array" ref="Y27">IFERROR(_xlfn.SINGLE(INDEX(DATABASE!$AV$14:$BC$968,SUMPRODUCT((ROW(DATABASE!$AV$14:$AV$968)) * (DATABASE!$AV$14:BR$968='Résultats Projection'!$A27 ) * (DATABASE!$AW$14:$AW$968= Y$4))-ROW(DATABASE!$AV$14)+1,Y$5+3)),"")</f>
        <v/>
      </c>
      <c r="Z27" s="116">
        <f t="array" ref="Z27">IFERROR(_xlfn.SINGLE(INDEX(DATABASE!$AV$14:$BC$968,SUMPRODUCT((ROW(DATABASE!$AV$14:$AV$968)) * (DATABASE!$AV$14:BS$968='Résultats Projection'!$A27 ) * (DATABASE!$AW$14:$AW$968= Z$4))-ROW(DATABASE!$AV$14)+1,Z$5+3)),"")</f>
        <v/>
      </c>
      <c r="AA27" s="116">
        <f t="array" ref="AA27">IFERROR(_xlfn.SINGLE(INDEX(DATABASE!$AV$14:$BC$968,SUMPRODUCT((ROW(DATABASE!$AV$14:$AV$968)) * (DATABASE!$AV$14:BT$968='Résultats Projection'!$A27 ) * (DATABASE!$AW$14:$AW$968= AA$4))-ROW(DATABASE!$AV$14)+1,AA$5+3)),"")</f>
        <v/>
      </c>
      <c r="AB27" s="116">
        <f t="array" ref="AB27">IFERROR(_xlfn.SINGLE(INDEX(DATABASE!$AV$14:$BC$968,SUMPRODUCT((ROW(DATABASE!$AV$14:$AV$968)) * (DATABASE!$AV$14:BU$968='Résultats Projection'!$A27 ) * (DATABASE!$AW$14:$AW$968= AB$4))-ROW(DATABASE!$AV$14)+1,AB$5+3)),"")</f>
        <v/>
      </c>
      <c r="AC27" s="116">
        <f t="array" ref="AC27">IFERROR(_xlfn.SINGLE(INDEX(DATABASE!$AV$14:$BC$968,SUMPRODUCT((ROW(DATABASE!$AV$14:$AV$968)) * (DATABASE!$AV$14:BV$968='Résultats Projection'!$A27 ) * (DATABASE!$AW$14:$AW$968= AC$4))-ROW(DATABASE!$AV$14)+1,AC$5+3)),"")</f>
        <v/>
      </c>
      <c r="AD27" s="116">
        <f t="array" ref="AD27">IFERROR(_xlfn.SINGLE(INDEX(DATABASE!$AV$14:$BC$968,SUMPRODUCT((ROW(DATABASE!$AV$14:$AV$968)) * (DATABASE!$AV$14:BW$968='Résultats Projection'!$A27 ) * (DATABASE!$AW$14:$AW$968= AD$4))-ROW(DATABASE!$AV$14)+1,AD$5+3)),"")</f>
        <v/>
      </c>
      <c r="AE27" s="116">
        <f t="array" ref="AE27">IFERROR(_xlfn.SINGLE(INDEX(DATABASE!$AV$14:$BC$968,SUMPRODUCT((ROW(DATABASE!$AV$14:$AV$968)) * (DATABASE!$AV$14:BX$968='Résultats Projection'!$A27 ) * (DATABASE!$AW$14:$AW$968= AE$4))-ROW(DATABASE!$AV$14)+1,AE$5+3)),"")</f>
        <v/>
      </c>
      <c r="AF27" s="116">
        <f t="array" ref="AF27">IFERROR(_xlfn.SINGLE(INDEX(DATABASE!$AV$14:$BC$968,SUMPRODUCT((ROW(DATABASE!$AV$14:$AV$968)) * (DATABASE!$AV$14:BY$968='Résultats Projection'!$A27 ) * (DATABASE!$AW$14:$AW$968= AF$4))-ROW(DATABASE!$AV$14)+1,AF$5+3)),"")</f>
        <v/>
      </c>
      <c r="AG27" s="116">
        <f t="array" ref="AG27">IFERROR(_xlfn.SINGLE(INDEX(DATABASE!$AV$14:$BC$968,SUMPRODUCT((ROW(DATABASE!$AV$14:$AV$968)) * (DATABASE!$AV$14:BZ$968='Résultats Projection'!$A27 ) * (DATABASE!$AW$14:$AW$968= AG$4))-ROW(DATABASE!$AV$14)+1,AG$5+3)),"")</f>
        <v/>
      </c>
      <c r="AH27" s="116">
        <f t="array" ref="AH27">IFERROR(_xlfn.SINGLE(INDEX(DATABASE!$AV$14:$BC$968,SUMPRODUCT((ROW(DATABASE!$AV$14:$AV$968)) * (DATABASE!$AV$14:CA$968='Résultats Projection'!$A27 ) * (DATABASE!$AW$14:$AW$968= AH$4))-ROW(DATABASE!$AV$14)+1,AH$5+3)),"")</f>
        <v/>
      </c>
      <c r="AI27" s="116">
        <f t="array" ref="AI27">IFERROR(_xlfn.SINGLE(INDEX(DATABASE!$AV$14:$BC$968,SUMPRODUCT((ROW(DATABASE!$AV$14:$AV$968)) * (DATABASE!$AV$14:CB$968='Résultats Projection'!$A27 ) * (DATABASE!$AW$14:$AW$968= AI$4))-ROW(DATABASE!$AV$14)+1,AI$5+3)),"")</f>
        <v/>
      </c>
      <c r="AJ27" s="116">
        <f t="array" ref="AJ27">IFERROR(_xlfn.SINGLE(INDEX(DATABASE!$AV$14:$BC$968,SUMPRODUCT((ROW(DATABASE!$AV$14:$AV$968)) * (DATABASE!$AV$14:CC$968='Résultats Projection'!$A27 ) * (DATABASE!$AW$14:$AW$968= AJ$4))-ROW(DATABASE!$AV$14)+1,AJ$5+3)),"")</f>
        <v/>
      </c>
      <c r="AK27" s="116">
        <f t="array" ref="AK27">IFERROR(_xlfn.SINGLE(INDEX(DATABASE!$AV$14:$BC$968,SUMPRODUCT((ROW(DATABASE!$AV$14:$AV$968)) * (DATABASE!$AV$14:CD$968='Résultats Projection'!$A27 ) * (DATABASE!$AW$14:$AW$968= AK$4))-ROW(DATABASE!$AV$14)+1,AK$5+3)),"")</f>
        <v/>
      </c>
      <c r="AL27" s="116">
        <f t="array" ref="AL27">IFERROR(_xlfn.SINGLE(INDEX(DATABASE!$AV$14:$BC$968,SUMPRODUCT((ROW(DATABASE!$AV$14:$AV$968)) * (DATABASE!$AV$14:CE$968='Résultats Projection'!$A27 ) * (DATABASE!$AW$14:$AW$968= AL$4))-ROW(DATABASE!$AV$14)+1,AL$5+3)),"")</f>
        <v/>
      </c>
      <c r="AM27" s="116">
        <f t="array" ref="AM27">IFERROR(_xlfn.SINGLE(INDEX(DATABASE!$AV$14:$BC$968,SUMPRODUCT((ROW(DATABASE!$AV$14:$AV$968)) * (DATABASE!$AV$14:CF$968='Résultats Projection'!$A27 ) * (DATABASE!$AW$14:$AW$968= AM$4))-ROW(DATABASE!$AV$14)+1,AM$5+3)),"")</f>
        <v/>
      </c>
      <c r="AN27" s="116">
        <f t="array" ref="AN27">IFERROR(_xlfn.SINGLE(INDEX(DATABASE!$AV$14:$BC$968,SUMPRODUCT((ROW(DATABASE!$AV$14:$AV$968)) * (DATABASE!$AV$14:CG$968='Résultats Projection'!$A27 ) * (DATABASE!$AW$14:$AW$968= AN$4))-ROW(DATABASE!$AV$14)+1,AN$5+3)),"")</f>
        <v/>
      </c>
      <c r="AO27" s="116">
        <f t="array" ref="AO27">IFERROR(_xlfn.SINGLE(INDEX(DATABASE!$AV$14:$BC$968,SUMPRODUCT((ROW(DATABASE!$AV$14:$AV$968)) * (DATABASE!$AV$14:CH$968='Résultats Projection'!$A27 ) * (DATABASE!$AW$14:$AW$968= AO$4))-ROW(DATABASE!$AV$14)+1,AO$5+3)),"")</f>
        <v/>
      </c>
      <c r="AP27" s="116">
        <f t="array" ref="AP27">IFERROR(_xlfn.SINGLE(INDEX(DATABASE!$AV$14:$BC$968,SUMPRODUCT((ROW(DATABASE!$AV$14:$AV$968)) * (DATABASE!$AV$14:CI$968='Résultats Projection'!$A27 ) * (DATABASE!$AW$14:$AW$968= AP$4))-ROW(DATABASE!$AV$14)+1,AP$5+3)),"")</f>
        <v/>
      </c>
      <c r="AQ27" s="116">
        <f t="array" ref="AQ27">IFERROR(_xlfn.SINGLE(INDEX(DATABASE!$AV$14:$BC$968,SUMPRODUCT((ROW(DATABASE!$AV$14:$AV$968)) * (DATABASE!$AV$14:CJ$968='Résultats Projection'!$A27 ) * (DATABASE!$AW$14:$AW$968= AQ$4))-ROW(DATABASE!$AV$14)+1,AQ$5+3)),"")</f>
        <v/>
      </c>
      <c r="AR27" s="116">
        <f t="array" ref="AR27">IFERROR(_xlfn.SINGLE(INDEX(DATABASE!$AV$14:$BC$968,SUMPRODUCT((ROW(DATABASE!$AV$14:$AV$968)) * (DATABASE!$AV$14:CK$968='Résultats Projection'!$A27 ) * (DATABASE!$AW$14:$AW$968= AR$4))-ROW(DATABASE!$AV$14)+1,AR$5+3)),"")</f>
        <v/>
      </c>
      <c r="AS27" s="116">
        <f t="array" ref="AS27">IFERROR(_xlfn.SINGLE(INDEX(DATABASE!$AV$14:$BC$968,SUMPRODUCT((ROW(DATABASE!$AV$14:$AV$968)) * (DATABASE!$AV$14:CL$968='Résultats Projection'!$A27 ) * (DATABASE!$AW$14:$AW$968= AS$4))-ROW(DATABASE!$AV$14)+1,AS$5+3)),"")</f>
        <v/>
      </c>
      <c r="AT27" s="116">
        <f t="array" ref="AT27">IFERROR(_xlfn.SINGLE(INDEX(DATABASE!$AV$14:$BC$968,SUMPRODUCT((ROW(DATABASE!$AV$14:$AV$968)) * (DATABASE!$AV$14:CM$968='Résultats Projection'!$A27 ) * (DATABASE!$AW$14:$AW$968= AT$4))-ROW(DATABASE!$AV$14)+1,AT$5+3)),"")</f>
        <v/>
      </c>
      <c r="AU27" s="116">
        <f t="array" ref="AU27">IFERROR(_xlfn.SINGLE(INDEX(DATABASE!$AV$14:$BC$968,SUMPRODUCT((ROW(DATABASE!$AV$14:$AV$968)) * (DATABASE!$AV$14:CN$968='Résultats Projection'!$A27 ) * (DATABASE!$AW$14:$AW$968= AU$4))-ROW(DATABASE!$AV$14)+1,AU$5+3)),"")</f>
        <v/>
      </c>
      <c r="AV27" s="116">
        <f t="array" ref="AV27">IFERROR(_xlfn.SINGLE(INDEX(DATABASE!$AV$14:$BC$968,SUMPRODUCT((ROW(DATABASE!$AV$14:$AV$968)) * (DATABASE!$AV$14:CO$968='Résultats Projection'!$A27 ) * (DATABASE!$AW$14:$AW$968= AV$4))-ROW(DATABASE!$AV$14)+1,AV$5+3)),"")</f>
        <v/>
      </c>
      <c r="AW27" s="116">
        <f t="array" ref="AW27">IFERROR(_xlfn.SINGLE(INDEX(DATABASE!$AV$14:$BC$968,SUMPRODUCT((ROW(DATABASE!$AV$14:$AV$968)) * (DATABASE!$AV$14:CP$968='Résultats Projection'!$A27 ) * (DATABASE!$AW$14:$AW$968= AW$4))-ROW(DATABASE!$AV$14)+1,AW$5+3)),"")</f>
        <v/>
      </c>
      <c r="AX27" s="116">
        <f t="array" ref="AX27">IFERROR(_xlfn.SINGLE(INDEX(DATABASE!$AV$14:$BC$968,SUMPRODUCT((ROW(DATABASE!$AV$14:$AV$968)) * (DATABASE!$AV$14:CQ$968='Résultats Projection'!$A27 ) * (DATABASE!$AW$14:$AW$968= AX$4))-ROW(DATABASE!$AV$14)+1,AX$5+3)),"")</f>
        <v/>
      </c>
      <c r="AY27" s="116">
        <f t="array" ref="AY27">IFERROR(_xlfn.SINGLE(INDEX(DATABASE!$AV$14:$BC$968,SUMPRODUCT((ROW(DATABASE!$AV$14:$AV$968)) * (DATABASE!$AV$14:CR$968='Résultats Projection'!$A27 ) * (DATABASE!$AW$14:$AW$968= AY$4))-ROW(DATABASE!$AV$14)+1,AY$5+3)),"")</f>
        <v/>
      </c>
      <c r="AZ27" s="116">
        <f t="array" ref="AZ27">IFERROR(_xlfn.SINGLE(INDEX(DATABASE!$AV$14:$BC$968,SUMPRODUCT((ROW(DATABASE!$AV$14:$AV$968)) * (DATABASE!$AV$14:CS$968='Résultats Projection'!$A27 ) * (DATABASE!$AW$14:$AW$968= AZ$4))-ROW(DATABASE!$AV$14)+1,AZ$5+3)),"")</f>
        <v/>
      </c>
      <c r="BA27" s="116">
        <f t="array" ref="BA27">IFERROR(_xlfn.SINGLE(INDEX(DATABASE!$AV$14:$BC$968,SUMPRODUCT((ROW(DATABASE!$AV$14:$AV$968)) * (DATABASE!$AV$14:CT$968='Résultats Projection'!$A27 ) * (DATABASE!$AW$14:$AW$968= BA$4))-ROW(DATABASE!$AV$14)+1,BA$5+3)),"")</f>
        <v/>
      </c>
      <c r="BB27" s="116">
        <f t="array" ref="BB27">IFERROR(_xlfn.SINGLE(INDEX(DATABASE!$AV$14:$BC$968,SUMPRODUCT((ROW(DATABASE!$AV$14:$AV$968)) * (DATABASE!$AV$14:CU$968='Résultats Projection'!$A27 ) * (DATABASE!$AW$14:$AW$968= BB$4))-ROW(DATABASE!$AV$14)+1,BB$5+3)),"")</f>
        <v/>
      </c>
      <c r="BC27" s="116">
        <f t="array" ref="BC27">IFERROR(_xlfn.SINGLE(INDEX(DATABASE!$AV$14:$BC$968,SUMPRODUCT((ROW(DATABASE!$AV$14:$AV$968)) * (DATABASE!$AV$14:CV$968='Résultats Projection'!$A27 ) * (DATABASE!$AW$14:$AW$968= BC$4))-ROW(DATABASE!$AV$14)+1,BC$5+3)),"")</f>
        <v/>
      </c>
      <c r="BD27" s="116">
        <f t="array" ref="BD27">IFERROR(_xlfn.SINGLE(INDEX(DATABASE!$AV$14:$BC$968,SUMPRODUCT((ROW(DATABASE!$AV$14:$AV$968)) * (DATABASE!$AV$14:CW$968='Résultats Projection'!$A27 ) * (DATABASE!$AW$14:$AW$968= BD$4))-ROW(DATABASE!$AV$14)+1,BD$5+3)),"")</f>
        <v/>
      </c>
      <c r="BE27" s="116">
        <f t="array" ref="BE27">IFERROR(_xlfn.SINGLE(INDEX(DATABASE!$AV$14:$BC$968,SUMPRODUCT((ROW(DATABASE!$AV$14:$AV$968)) * (DATABASE!$AV$14:CX$968='Résultats Projection'!$A27 ) * (DATABASE!$AW$14:$AW$968= BE$4))-ROW(DATABASE!$AV$14)+1,BE$5+3)),"")</f>
        <v/>
      </c>
      <c r="BF27" s="116">
        <f t="array" ref="BF27">IFERROR(_xlfn.SINGLE(INDEX(DATABASE!$AV$14:$BC$968,SUMPRODUCT((ROW(DATABASE!$AV$14:$AV$968)) * (DATABASE!$AV$14:CY$968='Résultats Projection'!$A27 ) * (DATABASE!$AW$14:$AW$968= BF$4))-ROW(DATABASE!$AV$14)+1,BF$5+3)),"")</f>
        <v/>
      </c>
      <c r="BG27" s="116">
        <f t="array" ref="BG27">IFERROR(_xlfn.SINGLE(INDEX(DATABASE!$AV$14:$BC$968,SUMPRODUCT((ROW(DATABASE!$AV$14:$AV$968)) * (DATABASE!$AV$14:CZ$968='Résultats Projection'!$A27 ) * (DATABASE!$AW$14:$AW$968= BG$4))-ROW(DATABASE!$AV$14)+1,BG$5+3)),"")</f>
        <v/>
      </c>
      <c r="BH27" s="116">
        <f t="array" ref="BH27">IFERROR(_xlfn.SINGLE(INDEX(DATABASE!$AV$14:$BC$968,SUMPRODUCT((ROW(DATABASE!$AV$14:$AV$968)) * (DATABASE!$AV$14:DA$968='Résultats Projection'!$A27 ) * (DATABASE!$AW$14:$AW$968= BH$4))-ROW(DATABASE!$AV$14)+1,BH$5+3)),"")</f>
        <v/>
      </c>
      <c r="BI27" s="116">
        <f t="array" ref="BI27">IFERROR(_xlfn.SINGLE(INDEX(DATABASE!$AV$14:$BC$968,SUMPRODUCT((ROW(DATABASE!$AV$14:$AV$968)) * (DATABASE!$AV$14:DB$968='Résultats Projection'!$A27 ) * (DATABASE!$AW$14:$AW$968= BI$4))-ROW(DATABASE!$AV$14)+1,BI$5+3)),"")</f>
        <v/>
      </c>
      <c r="BJ27" s="116">
        <f t="array" ref="BJ27">IFERROR(_xlfn.SINGLE(INDEX(DATABASE!$AV$14:$BC$968,SUMPRODUCT((ROW(DATABASE!$AV$14:$AV$968)) * (DATABASE!$AV$14:DC$968='Résultats Projection'!$A27 ) * (DATABASE!$AW$14:$AW$968= BJ$4))-ROW(DATABASE!$AV$14)+1,BJ$5+3)),"")</f>
        <v/>
      </c>
    </row>
    <row r="28" ht="29.25" customFormat="1" customHeight="1" s="28">
      <c r="A28" s="42" t="n">
        <v>45593</v>
      </c>
      <c r="B28" s="8">
        <f>A28-A$10</f>
        <v/>
      </c>
      <c r="C28" s="116">
        <f t="array" ref="C28">IFERROR(_xlfn.SINGLE(INDEX(DATABASE!$AV$14:$BC$968,SUMPRODUCT((ROW(DATABASE!$AV$14:$AV$968)) * (DATABASE!AV$14:$AV$968='Résultats Projection'!$A28 ) * (DATABASE!$AW$14:$AW$968= C$4))-ROW(DATABASE!$AV$14)+1,C$5+3)),"")</f>
        <v/>
      </c>
      <c r="D28" s="116">
        <f t="array" ref="D28">IFERROR(_xlfn.SINGLE(INDEX(DATABASE!$AV$14:$BC$968,SUMPRODUCT((ROW(DATABASE!$AV$14:$AV$968)) * (DATABASE!$AV$14:AW$968='Résultats Projection'!$A28 ) * (DATABASE!$AW$14:$AW$968= D$4))-ROW(DATABASE!$AV$14)+1,D$5+3)),"")</f>
        <v/>
      </c>
      <c r="E28" s="116">
        <f t="array" ref="E28">IFERROR(_xlfn.SINGLE(INDEX(DATABASE!$AV$14:$BC$968,SUMPRODUCT((ROW(DATABASE!$AV$14:$AV$968)) * (DATABASE!$AV$14:AX$968='Résultats Projection'!$A28 ) * (DATABASE!$AW$14:$AW$968= E$4))-ROW(DATABASE!$AV$14)+1,E$5+3)),"")</f>
        <v/>
      </c>
      <c r="F28" s="116">
        <f t="array" ref="F28">IFERROR(_xlfn.SINGLE(INDEX(DATABASE!$AV$14:$BC$968,SUMPRODUCT((ROW(DATABASE!$AV$14:$AV$968)) * (DATABASE!$AV$14:AY$968='Résultats Projection'!$A28 ) * (DATABASE!$AW$14:$AW$968= F$4))-ROW(DATABASE!$AV$14)+1,F$5+3)),"")</f>
        <v/>
      </c>
      <c r="G28" s="116">
        <f t="array" ref="G28">IFERROR(_xlfn.SINGLE(INDEX(DATABASE!$AV$14:$BC$968,SUMPRODUCT((ROW(DATABASE!$AV$14:$AV$968)) * (DATABASE!$AV$14:AZ$968='Résultats Projection'!$A28 ) * (DATABASE!$AW$14:$AW$968= G$4))-ROW(DATABASE!$AV$14)+1,G$5+3)),"")</f>
        <v/>
      </c>
      <c r="H28" s="116">
        <f t="array" ref="H28">IFERROR(_xlfn.SINGLE(INDEX(DATABASE!$AV$14:$BC$968,SUMPRODUCT((ROW(DATABASE!$AV$14:$AV$968)) * (DATABASE!$AV$14:BA$968='Résultats Projection'!$A28 ) * (DATABASE!$AW$14:$AW$968= H$4))-ROW(DATABASE!$AV$14)+1,H$5+3)),"")</f>
        <v/>
      </c>
      <c r="I28" s="116">
        <f t="array" ref="I28">IFERROR(_xlfn.SINGLE(INDEX(DATABASE!$AV$14:$BC$968,SUMPRODUCT((ROW(DATABASE!$AV$14:$AV$968)) * (DATABASE!$AV$14:BB$968='Résultats Projection'!$A28 ) * (DATABASE!$AW$14:$AW$968= I$4))-ROW(DATABASE!$AV$14)+1,I$5+3)),"")</f>
        <v/>
      </c>
      <c r="J28" s="116">
        <f t="array" ref="J28">IFERROR(_xlfn.SINGLE(INDEX(DATABASE!$AV$14:$BC$968,SUMPRODUCT((ROW(DATABASE!$AV$14:$AV$968)) * (DATABASE!$AV$14:BC$968='Résultats Projection'!$A28 ) * (DATABASE!$AW$14:$AW$968= J$4))-ROW(DATABASE!$AV$14)+1,J$5+3)),"")</f>
        <v/>
      </c>
      <c r="K28" s="116">
        <f t="array" ref="K28">IFERROR(_xlfn.SINGLE(INDEX(DATABASE!$AV$14:$BC$968,SUMPRODUCT((ROW(DATABASE!$AV$14:$AV$968)) * (DATABASE!$AV$14:BD$968='Résultats Projection'!$A28 ) * (DATABASE!$AW$14:$AW$968= K$4))-ROW(DATABASE!$AV$14)+1,K$5+3)),"")</f>
        <v/>
      </c>
      <c r="L28" s="116">
        <f t="array" ref="L28">IFERROR(_xlfn.SINGLE(INDEX(DATABASE!$AV$14:$BC$968,SUMPRODUCT((ROW(DATABASE!$AV$14:$AV$968)) * (DATABASE!$AV$14:BE$968='Résultats Projection'!$A28 ) * (DATABASE!$AW$14:$AW$968= L$4))-ROW(DATABASE!$AV$14)+1,L$5+3)),"")</f>
        <v/>
      </c>
      <c r="M28" s="116">
        <f t="array" ref="M28">IFERROR(_xlfn.SINGLE(INDEX(DATABASE!$AV$14:$BC$968,SUMPRODUCT((ROW(DATABASE!$AV$14:$AV$968)) * (DATABASE!$AV$14:BF$968='Résultats Projection'!$A28 ) * (DATABASE!$AW$14:$AW$968= M$4))-ROW(DATABASE!$AV$14)+1,M$5+3)),"")</f>
        <v/>
      </c>
      <c r="N28" s="116">
        <f t="array" ref="N28">IFERROR(_xlfn.SINGLE(INDEX(DATABASE!$AV$14:$BC$968,SUMPRODUCT((ROW(DATABASE!$AV$14:$AV$968)) * (DATABASE!$AV$14:BG$968='Résultats Projection'!$A28 ) * (DATABASE!$AW$14:$AW$968= N$4))-ROW(DATABASE!$AV$14)+1,N$5+3)),"")</f>
        <v/>
      </c>
      <c r="O28" s="116">
        <f t="array" ref="O28">IFERROR(_xlfn.SINGLE(INDEX(DATABASE!$AV$14:$BC$968,SUMPRODUCT((ROW(DATABASE!$AV$14:$AV$968)) * (DATABASE!$AV$14:BH$968='Résultats Projection'!$A28 ) * (DATABASE!$AW$14:$AW$968= O$4))-ROW(DATABASE!$AV$14)+1,O$5+3)),"")</f>
        <v/>
      </c>
      <c r="P28" s="116">
        <f t="array" ref="P28">IFERROR(_xlfn.SINGLE(INDEX(DATABASE!$AV$14:$BC$968,SUMPRODUCT((ROW(DATABASE!$AV$14:$AV$968)) * (DATABASE!$AV$14:BI$968='Résultats Projection'!$A28 ) * (DATABASE!$AW$14:$AW$968= P$4))-ROW(DATABASE!$AV$14)+1,P$5+3)),"")</f>
        <v/>
      </c>
      <c r="Q28" s="116">
        <f t="array" ref="Q28">IFERROR(_xlfn.SINGLE(INDEX(DATABASE!$AV$14:$BC$968,SUMPRODUCT((ROW(DATABASE!$AV$14:$AV$968)) * (DATABASE!$AV$14:BJ$968='Résultats Projection'!$A28 ) * (DATABASE!$AW$14:$AW$968= Q$4))-ROW(DATABASE!$AV$14)+1,Q$5+3)),"")</f>
        <v/>
      </c>
      <c r="R28" s="116">
        <f t="array" ref="R28">IFERROR(_xlfn.SINGLE(INDEX(DATABASE!$AV$14:$BC$968,SUMPRODUCT((ROW(DATABASE!$AV$14:$AV$968)) * (DATABASE!$AV$14:BK$968='Résultats Projection'!$A28 ) * (DATABASE!$AW$14:$AW$968= R$4))-ROW(DATABASE!$AV$14)+1,R$5+3)),"")</f>
        <v/>
      </c>
      <c r="S28" s="116">
        <f t="array" ref="S28">IFERROR(_xlfn.SINGLE(INDEX(DATABASE!$AV$14:$BC$968,SUMPRODUCT((ROW(DATABASE!$AV$14:$AV$968)) * (DATABASE!$AV$14:BL$968='Résultats Projection'!$A28 ) * (DATABASE!$AW$14:$AW$968= S$4))-ROW(DATABASE!$AV$14)+1,S$5+3)),"")</f>
        <v/>
      </c>
      <c r="T28" s="116">
        <f t="array" ref="T28">IFERROR(_xlfn.SINGLE(INDEX(DATABASE!$AV$14:$BC$968,SUMPRODUCT((ROW(DATABASE!$AV$14:$AV$968)) * (DATABASE!$AV$14:BM$968='Résultats Projection'!$A28 ) * (DATABASE!$AW$14:$AW$968= T$4))-ROW(DATABASE!$AV$14)+1,T$5+3)),"")</f>
        <v/>
      </c>
      <c r="U28" s="116">
        <f t="array" ref="U28">IFERROR(_xlfn.SINGLE(INDEX(DATABASE!$AV$14:$BC$968,SUMPRODUCT((ROW(DATABASE!$AV$14:$AV$968)) * (DATABASE!$AV$14:BN$968='Résultats Projection'!$A28 ) * (DATABASE!$AW$14:$AW$968= U$4))-ROW(DATABASE!$AV$14)+1,U$5+3)),"")</f>
        <v/>
      </c>
      <c r="V28" s="116">
        <f t="array" ref="V28">IFERROR(_xlfn.SINGLE(INDEX(DATABASE!$AV$14:$BC$968,SUMPRODUCT((ROW(DATABASE!$AV$14:$AV$968)) * (DATABASE!$AV$14:BO$968='Résultats Projection'!$A28 ) * (DATABASE!$AW$14:$AW$968= V$4))-ROW(DATABASE!$AV$14)+1,V$5+3)),"")</f>
        <v/>
      </c>
      <c r="W28" s="116">
        <f t="array" ref="W28">IFERROR(_xlfn.SINGLE(INDEX(DATABASE!$AV$14:$BC$968,SUMPRODUCT((ROW(DATABASE!$AV$14:$AV$968)) * (DATABASE!$AV$14:BP$968='Résultats Projection'!$A28 ) * (DATABASE!$AW$14:$AW$968= W$4))-ROW(DATABASE!$AV$14)+1,W$5+3)),"")</f>
        <v/>
      </c>
      <c r="X28" s="116">
        <f t="array" ref="X28">IFERROR(_xlfn.SINGLE(INDEX(DATABASE!$AV$14:$BC$968,SUMPRODUCT((ROW(DATABASE!$AV$14:$AV$968)) * (DATABASE!$AV$14:BQ$968='Résultats Projection'!$A28 ) * (DATABASE!$AW$14:$AW$968= X$4))-ROW(DATABASE!$AV$14)+1,X$5+3)),"")</f>
        <v/>
      </c>
      <c r="Y28" s="116">
        <f t="array" ref="Y28">IFERROR(_xlfn.SINGLE(INDEX(DATABASE!$AV$14:$BC$968,SUMPRODUCT((ROW(DATABASE!$AV$14:$AV$968)) * (DATABASE!$AV$14:BR$968='Résultats Projection'!$A28 ) * (DATABASE!$AW$14:$AW$968= Y$4))-ROW(DATABASE!$AV$14)+1,Y$5+3)),"")</f>
        <v/>
      </c>
      <c r="Z28" s="116">
        <f t="array" ref="Z28">IFERROR(_xlfn.SINGLE(INDEX(DATABASE!$AV$14:$BC$968,SUMPRODUCT((ROW(DATABASE!$AV$14:$AV$968)) * (DATABASE!$AV$14:BS$968='Résultats Projection'!$A28 ) * (DATABASE!$AW$14:$AW$968= Z$4))-ROW(DATABASE!$AV$14)+1,Z$5+3)),"")</f>
        <v/>
      </c>
      <c r="AA28" s="116">
        <f t="array" ref="AA28">IFERROR(_xlfn.SINGLE(INDEX(DATABASE!$AV$14:$BC$968,SUMPRODUCT((ROW(DATABASE!$AV$14:$AV$968)) * (DATABASE!$AV$14:BT$968='Résultats Projection'!$A28 ) * (DATABASE!$AW$14:$AW$968= AA$4))-ROW(DATABASE!$AV$14)+1,AA$5+3)),"")</f>
        <v/>
      </c>
      <c r="AB28" s="116">
        <f t="array" ref="AB28">IFERROR(_xlfn.SINGLE(INDEX(DATABASE!$AV$14:$BC$968,SUMPRODUCT((ROW(DATABASE!$AV$14:$AV$968)) * (DATABASE!$AV$14:BU$968='Résultats Projection'!$A28 ) * (DATABASE!$AW$14:$AW$968= AB$4))-ROW(DATABASE!$AV$14)+1,AB$5+3)),"")</f>
        <v/>
      </c>
      <c r="AC28" s="116">
        <f t="array" ref="AC28">IFERROR(_xlfn.SINGLE(INDEX(DATABASE!$AV$14:$BC$968,SUMPRODUCT((ROW(DATABASE!$AV$14:$AV$968)) * (DATABASE!$AV$14:BV$968='Résultats Projection'!$A28 ) * (DATABASE!$AW$14:$AW$968= AC$4))-ROW(DATABASE!$AV$14)+1,AC$5+3)),"")</f>
        <v/>
      </c>
      <c r="AD28" s="116">
        <f t="array" ref="AD28">IFERROR(_xlfn.SINGLE(INDEX(DATABASE!$AV$14:$BC$968,SUMPRODUCT((ROW(DATABASE!$AV$14:$AV$968)) * (DATABASE!$AV$14:BW$968='Résultats Projection'!$A28 ) * (DATABASE!$AW$14:$AW$968= AD$4))-ROW(DATABASE!$AV$14)+1,AD$5+3)),"")</f>
        <v/>
      </c>
      <c r="AE28" s="116">
        <f t="array" ref="AE28">IFERROR(_xlfn.SINGLE(INDEX(DATABASE!$AV$14:$BC$968,SUMPRODUCT((ROW(DATABASE!$AV$14:$AV$968)) * (DATABASE!$AV$14:BX$968='Résultats Projection'!$A28 ) * (DATABASE!$AW$14:$AW$968= AE$4))-ROW(DATABASE!$AV$14)+1,AE$5+3)),"")</f>
        <v/>
      </c>
      <c r="AF28" s="116">
        <f t="array" ref="AF28">IFERROR(_xlfn.SINGLE(INDEX(DATABASE!$AV$14:$BC$968,SUMPRODUCT((ROW(DATABASE!$AV$14:$AV$968)) * (DATABASE!$AV$14:BY$968='Résultats Projection'!$A28 ) * (DATABASE!$AW$14:$AW$968= AF$4))-ROW(DATABASE!$AV$14)+1,AF$5+3)),"")</f>
        <v/>
      </c>
      <c r="AG28" s="116">
        <f t="array" ref="AG28">IFERROR(_xlfn.SINGLE(INDEX(DATABASE!$AV$14:$BC$968,SUMPRODUCT((ROW(DATABASE!$AV$14:$AV$968)) * (DATABASE!$AV$14:BZ$968='Résultats Projection'!$A28 ) * (DATABASE!$AW$14:$AW$968= AG$4))-ROW(DATABASE!$AV$14)+1,AG$5+3)),"")</f>
        <v/>
      </c>
      <c r="AH28" s="116">
        <f t="array" ref="AH28">IFERROR(_xlfn.SINGLE(INDEX(DATABASE!$AV$14:$BC$968,SUMPRODUCT((ROW(DATABASE!$AV$14:$AV$968)) * (DATABASE!$AV$14:CA$968='Résultats Projection'!$A28 ) * (DATABASE!$AW$14:$AW$968= AH$4))-ROW(DATABASE!$AV$14)+1,AH$5+3)),"")</f>
        <v/>
      </c>
      <c r="AI28" s="116">
        <f t="array" ref="AI28">IFERROR(_xlfn.SINGLE(INDEX(DATABASE!$AV$14:$BC$968,SUMPRODUCT((ROW(DATABASE!$AV$14:$AV$968)) * (DATABASE!$AV$14:CB$968='Résultats Projection'!$A28 ) * (DATABASE!$AW$14:$AW$968= AI$4))-ROW(DATABASE!$AV$14)+1,AI$5+3)),"")</f>
        <v/>
      </c>
      <c r="AJ28" s="116">
        <f t="array" ref="AJ28">IFERROR(_xlfn.SINGLE(INDEX(DATABASE!$AV$14:$BC$968,SUMPRODUCT((ROW(DATABASE!$AV$14:$AV$968)) * (DATABASE!$AV$14:CC$968='Résultats Projection'!$A28 ) * (DATABASE!$AW$14:$AW$968= AJ$4))-ROW(DATABASE!$AV$14)+1,AJ$5+3)),"")</f>
        <v/>
      </c>
      <c r="AK28" s="116">
        <f t="array" ref="AK28">IFERROR(_xlfn.SINGLE(INDEX(DATABASE!$AV$14:$BC$968,SUMPRODUCT((ROW(DATABASE!$AV$14:$AV$968)) * (DATABASE!$AV$14:CD$968='Résultats Projection'!$A28 ) * (DATABASE!$AW$14:$AW$968= AK$4))-ROW(DATABASE!$AV$14)+1,AK$5+3)),"")</f>
        <v/>
      </c>
      <c r="AL28" s="116">
        <f t="array" ref="AL28">IFERROR(_xlfn.SINGLE(INDEX(DATABASE!$AV$14:$BC$968,SUMPRODUCT((ROW(DATABASE!$AV$14:$AV$968)) * (DATABASE!$AV$14:CE$968='Résultats Projection'!$A28 ) * (DATABASE!$AW$14:$AW$968= AL$4))-ROW(DATABASE!$AV$14)+1,AL$5+3)),"")</f>
        <v/>
      </c>
      <c r="AM28" s="116">
        <f t="array" ref="AM28">IFERROR(_xlfn.SINGLE(INDEX(DATABASE!$AV$14:$BC$968,SUMPRODUCT((ROW(DATABASE!$AV$14:$AV$968)) * (DATABASE!$AV$14:CF$968='Résultats Projection'!$A28 ) * (DATABASE!$AW$14:$AW$968= AM$4))-ROW(DATABASE!$AV$14)+1,AM$5+3)),"")</f>
        <v/>
      </c>
      <c r="AN28" s="116">
        <f t="array" ref="AN28">IFERROR(_xlfn.SINGLE(INDEX(DATABASE!$AV$14:$BC$968,SUMPRODUCT((ROW(DATABASE!$AV$14:$AV$968)) * (DATABASE!$AV$14:CG$968='Résultats Projection'!$A28 ) * (DATABASE!$AW$14:$AW$968= AN$4))-ROW(DATABASE!$AV$14)+1,AN$5+3)),"")</f>
        <v/>
      </c>
      <c r="AO28" s="116">
        <f t="array" ref="AO28">IFERROR(_xlfn.SINGLE(INDEX(DATABASE!$AV$14:$BC$968,SUMPRODUCT((ROW(DATABASE!$AV$14:$AV$968)) * (DATABASE!$AV$14:CH$968='Résultats Projection'!$A28 ) * (DATABASE!$AW$14:$AW$968= AO$4))-ROW(DATABASE!$AV$14)+1,AO$5+3)),"")</f>
        <v/>
      </c>
      <c r="AP28" s="116">
        <f t="array" ref="AP28">IFERROR(_xlfn.SINGLE(INDEX(DATABASE!$AV$14:$BC$968,SUMPRODUCT((ROW(DATABASE!$AV$14:$AV$968)) * (DATABASE!$AV$14:CI$968='Résultats Projection'!$A28 ) * (DATABASE!$AW$14:$AW$968= AP$4))-ROW(DATABASE!$AV$14)+1,AP$5+3)),"")</f>
        <v/>
      </c>
      <c r="AQ28" s="116">
        <f t="array" ref="AQ28">IFERROR(_xlfn.SINGLE(INDEX(DATABASE!$AV$14:$BC$968,SUMPRODUCT((ROW(DATABASE!$AV$14:$AV$968)) * (DATABASE!$AV$14:CJ$968='Résultats Projection'!$A28 ) * (DATABASE!$AW$14:$AW$968= AQ$4))-ROW(DATABASE!$AV$14)+1,AQ$5+3)),"")</f>
        <v/>
      </c>
      <c r="AR28" s="116">
        <f t="array" ref="AR28">IFERROR(_xlfn.SINGLE(INDEX(DATABASE!$AV$14:$BC$968,SUMPRODUCT((ROW(DATABASE!$AV$14:$AV$968)) * (DATABASE!$AV$14:CK$968='Résultats Projection'!$A28 ) * (DATABASE!$AW$14:$AW$968= AR$4))-ROW(DATABASE!$AV$14)+1,AR$5+3)),"")</f>
        <v/>
      </c>
      <c r="AS28" s="116">
        <f t="array" ref="AS28">IFERROR(_xlfn.SINGLE(INDEX(DATABASE!$AV$14:$BC$968,SUMPRODUCT((ROW(DATABASE!$AV$14:$AV$968)) * (DATABASE!$AV$14:CL$968='Résultats Projection'!$A28 ) * (DATABASE!$AW$14:$AW$968= AS$4))-ROW(DATABASE!$AV$14)+1,AS$5+3)),"")</f>
        <v/>
      </c>
      <c r="AT28" s="116">
        <f t="array" ref="AT28">IFERROR(_xlfn.SINGLE(INDEX(DATABASE!$AV$14:$BC$968,SUMPRODUCT((ROW(DATABASE!$AV$14:$AV$968)) * (DATABASE!$AV$14:CM$968='Résultats Projection'!$A28 ) * (DATABASE!$AW$14:$AW$968= AT$4))-ROW(DATABASE!$AV$14)+1,AT$5+3)),"")</f>
        <v/>
      </c>
      <c r="AU28" s="116">
        <f t="array" ref="AU28">IFERROR(_xlfn.SINGLE(INDEX(DATABASE!$AV$14:$BC$968,SUMPRODUCT((ROW(DATABASE!$AV$14:$AV$968)) * (DATABASE!$AV$14:CN$968='Résultats Projection'!$A28 ) * (DATABASE!$AW$14:$AW$968= AU$4))-ROW(DATABASE!$AV$14)+1,AU$5+3)),"")</f>
        <v/>
      </c>
      <c r="AV28" s="116">
        <f t="array" ref="AV28">IFERROR(_xlfn.SINGLE(INDEX(DATABASE!$AV$14:$BC$968,SUMPRODUCT((ROW(DATABASE!$AV$14:$AV$968)) * (DATABASE!$AV$14:CO$968='Résultats Projection'!$A28 ) * (DATABASE!$AW$14:$AW$968= AV$4))-ROW(DATABASE!$AV$14)+1,AV$5+3)),"")</f>
        <v/>
      </c>
      <c r="AW28" s="116">
        <f t="array" ref="AW28">IFERROR(_xlfn.SINGLE(INDEX(DATABASE!$AV$14:$BC$968,SUMPRODUCT((ROW(DATABASE!$AV$14:$AV$968)) * (DATABASE!$AV$14:CP$968='Résultats Projection'!$A28 ) * (DATABASE!$AW$14:$AW$968= AW$4))-ROW(DATABASE!$AV$14)+1,AW$5+3)),"")</f>
        <v/>
      </c>
      <c r="AX28" s="116">
        <f t="array" ref="AX28">IFERROR(_xlfn.SINGLE(INDEX(DATABASE!$AV$14:$BC$968,SUMPRODUCT((ROW(DATABASE!$AV$14:$AV$968)) * (DATABASE!$AV$14:CQ$968='Résultats Projection'!$A28 ) * (DATABASE!$AW$14:$AW$968= AX$4))-ROW(DATABASE!$AV$14)+1,AX$5+3)),"")</f>
        <v/>
      </c>
      <c r="AY28" s="116">
        <f t="array" ref="AY28">IFERROR(_xlfn.SINGLE(INDEX(DATABASE!$AV$14:$BC$968,SUMPRODUCT((ROW(DATABASE!$AV$14:$AV$968)) * (DATABASE!$AV$14:CR$968='Résultats Projection'!$A28 ) * (DATABASE!$AW$14:$AW$968= AY$4))-ROW(DATABASE!$AV$14)+1,AY$5+3)),"")</f>
        <v/>
      </c>
      <c r="AZ28" s="116">
        <f t="array" ref="AZ28">IFERROR(_xlfn.SINGLE(INDEX(DATABASE!$AV$14:$BC$968,SUMPRODUCT((ROW(DATABASE!$AV$14:$AV$968)) * (DATABASE!$AV$14:CS$968='Résultats Projection'!$A28 ) * (DATABASE!$AW$14:$AW$968= AZ$4))-ROW(DATABASE!$AV$14)+1,AZ$5+3)),"")</f>
        <v/>
      </c>
      <c r="BA28" s="116">
        <f t="array" ref="BA28">IFERROR(_xlfn.SINGLE(INDEX(DATABASE!$AV$14:$BC$968,SUMPRODUCT((ROW(DATABASE!$AV$14:$AV$968)) * (DATABASE!$AV$14:CT$968='Résultats Projection'!$A28 ) * (DATABASE!$AW$14:$AW$968= BA$4))-ROW(DATABASE!$AV$14)+1,BA$5+3)),"")</f>
        <v/>
      </c>
      <c r="BB28" s="116">
        <f t="array" ref="BB28">IFERROR(_xlfn.SINGLE(INDEX(DATABASE!$AV$14:$BC$968,SUMPRODUCT((ROW(DATABASE!$AV$14:$AV$968)) * (DATABASE!$AV$14:CU$968='Résultats Projection'!$A28 ) * (DATABASE!$AW$14:$AW$968= BB$4))-ROW(DATABASE!$AV$14)+1,BB$5+3)),"")</f>
        <v/>
      </c>
      <c r="BC28" s="116">
        <f t="array" ref="BC28">IFERROR(_xlfn.SINGLE(INDEX(DATABASE!$AV$14:$BC$968,SUMPRODUCT((ROW(DATABASE!$AV$14:$AV$968)) * (DATABASE!$AV$14:CV$968='Résultats Projection'!$A28 ) * (DATABASE!$AW$14:$AW$968= BC$4))-ROW(DATABASE!$AV$14)+1,BC$5+3)),"")</f>
        <v/>
      </c>
      <c r="BD28" s="116">
        <f t="array" ref="BD28">IFERROR(_xlfn.SINGLE(INDEX(DATABASE!$AV$14:$BC$968,SUMPRODUCT((ROW(DATABASE!$AV$14:$AV$968)) * (DATABASE!$AV$14:CW$968='Résultats Projection'!$A28 ) * (DATABASE!$AW$14:$AW$968= BD$4))-ROW(DATABASE!$AV$14)+1,BD$5+3)),"")</f>
        <v/>
      </c>
      <c r="BE28" s="116">
        <f t="array" ref="BE28">IFERROR(_xlfn.SINGLE(INDEX(DATABASE!$AV$14:$BC$968,SUMPRODUCT((ROW(DATABASE!$AV$14:$AV$968)) * (DATABASE!$AV$14:CX$968='Résultats Projection'!$A28 ) * (DATABASE!$AW$14:$AW$968= BE$4))-ROW(DATABASE!$AV$14)+1,BE$5+3)),"")</f>
        <v/>
      </c>
      <c r="BF28" s="116">
        <f t="array" ref="BF28">IFERROR(_xlfn.SINGLE(INDEX(DATABASE!$AV$14:$BC$968,SUMPRODUCT((ROW(DATABASE!$AV$14:$AV$968)) * (DATABASE!$AV$14:CY$968='Résultats Projection'!$A28 ) * (DATABASE!$AW$14:$AW$968= BF$4))-ROW(DATABASE!$AV$14)+1,BF$5+3)),"")</f>
        <v/>
      </c>
      <c r="BG28" s="116">
        <f t="array" ref="BG28">IFERROR(_xlfn.SINGLE(INDEX(DATABASE!$AV$14:$BC$968,SUMPRODUCT((ROW(DATABASE!$AV$14:$AV$968)) * (DATABASE!$AV$14:CZ$968='Résultats Projection'!$A28 ) * (DATABASE!$AW$14:$AW$968= BG$4))-ROW(DATABASE!$AV$14)+1,BG$5+3)),"")</f>
        <v/>
      </c>
      <c r="BH28" s="116">
        <f t="array" ref="BH28">IFERROR(_xlfn.SINGLE(INDEX(DATABASE!$AV$14:$BC$968,SUMPRODUCT((ROW(DATABASE!$AV$14:$AV$968)) * (DATABASE!$AV$14:DA$968='Résultats Projection'!$A28 ) * (DATABASE!$AW$14:$AW$968= BH$4))-ROW(DATABASE!$AV$14)+1,BH$5+3)),"")</f>
        <v/>
      </c>
      <c r="BI28" s="116">
        <f t="array" ref="BI28">IFERROR(_xlfn.SINGLE(INDEX(DATABASE!$AV$14:$BC$968,SUMPRODUCT((ROW(DATABASE!$AV$14:$AV$968)) * (DATABASE!$AV$14:DB$968='Résultats Projection'!$A28 ) * (DATABASE!$AW$14:$AW$968= BI$4))-ROW(DATABASE!$AV$14)+1,BI$5+3)),"")</f>
        <v/>
      </c>
      <c r="BJ28" s="116">
        <f t="array" ref="BJ28">IFERROR(_xlfn.SINGLE(INDEX(DATABASE!$AV$14:$BC$968,SUMPRODUCT((ROW(DATABASE!$AV$14:$AV$968)) * (DATABASE!$AV$14:DC$968='Résultats Projection'!$A28 ) * (DATABASE!$AW$14:$AW$968= BJ$4))-ROW(DATABASE!$AV$14)+1,BJ$5+3)),"")</f>
        <v/>
      </c>
    </row>
    <row r="29" ht="29.25" customFormat="1" customHeight="1" s="28">
      <c r="A29" s="124" t="n">
        <v>45601</v>
      </c>
      <c r="B29" s="8">
        <f>A29-A$10</f>
        <v/>
      </c>
      <c r="C29" s="116">
        <f t="array" ref="C29">IFERROR(_xlfn.SINGLE(INDEX(DATABASE!$AV$14:$BC$968,SUMPRODUCT((ROW(DATABASE!$AV$14:$AV$968)) * (DATABASE!AV$14:$AV$968='Résultats Projection'!$A29 ) * (DATABASE!$AW$14:$AW$968= C$4))-ROW(DATABASE!$AV$14)+1,C$5+3)),"")</f>
        <v/>
      </c>
      <c r="D29" s="116">
        <f t="array" ref="D29">IFERROR(_xlfn.SINGLE(INDEX(DATABASE!$AV$14:$BC$968,SUMPRODUCT((ROW(DATABASE!$AV$14:$AV$968)) * (DATABASE!$AV$14:AW$968='Résultats Projection'!$A29 ) * (DATABASE!$AW$14:$AW$968= D$4))-ROW(DATABASE!$AV$14)+1,D$5+3)),"")</f>
        <v/>
      </c>
      <c r="E29" s="116">
        <f t="array" ref="E29">IFERROR(_xlfn.SINGLE(INDEX(DATABASE!$AV$14:$BC$968,SUMPRODUCT((ROW(DATABASE!$AV$14:$AV$968)) * (DATABASE!$AV$14:AX$968='Résultats Projection'!$A29 ) * (DATABASE!$AW$14:$AW$968= E$4))-ROW(DATABASE!$AV$14)+1,E$5+3)),"")</f>
        <v/>
      </c>
      <c r="F29" s="116">
        <f t="array" ref="F29">IFERROR(_xlfn.SINGLE(INDEX(DATABASE!$AV$14:$BC$968,SUMPRODUCT((ROW(DATABASE!$AV$14:$AV$968)) * (DATABASE!$AV$14:AY$968='Résultats Projection'!$A29 ) * (DATABASE!$AW$14:$AW$968= F$4))-ROW(DATABASE!$AV$14)+1,F$5+3)),"")</f>
        <v/>
      </c>
      <c r="G29" s="116">
        <f t="array" ref="G29">IFERROR(_xlfn.SINGLE(INDEX(DATABASE!$AV$14:$BC$968,SUMPRODUCT((ROW(DATABASE!$AV$14:$AV$968)) * (DATABASE!$AV$14:AZ$968='Résultats Projection'!$A29 ) * (DATABASE!$AW$14:$AW$968= G$4))-ROW(DATABASE!$AV$14)+1,G$5+3)),"")</f>
        <v/>
      </c>
      <c r="H29" s="116">
        <f t="array" ref="H29">IFERROR(_xlfn.SINGLE(INDEX(DATABASE!$AV$14:$BC$968,SUMPRODUCT((ROW(DATABASE!$AV$14:$AV$968)) * (DATABASE!$AV$14:BA$968='Résultats Projection'!$A29 ) * (DATABASE!$AW$14:$AW$968= H$4))-ROW(DATABASE!$AV$14)+1,H$5+3)),"")</f>
        <v/>
      </c>
      <c r="I29" s="116">
        <f t="array" ref="I29">IFERROR(_xlfn.SINGLE(INDEX(DATABASE!$AV$14:$BC$968,SUMPRODUCT((ROW(DATABASE!$AV$14:$AV$968)) * (DATABASE!$AV$14:BB$968='Résultats Projection'!$A29 ) * (DATABASE!$AW$14:$AW$968= I$4))-ROW(DATABASE!$AV$14)+1,I$5+3)),"")</f>
        <v/>
      </c>
      <c r="J29" s="116">
        <f t="array" ref="J29">IFERROR(_xlfn.SINGLE(INDEX(DATABASE!$AV$14:$BC$968,SUMPRODUCT((ROW(DATABASE!$AV$14:$AV$968)) * (DATABASE!$AV$14:BC$968='Résultats Projection'!$A29 ) * (DATABASE!$AW$14:$AW$968= J$4))-ROW(DATABASE!$AV$14)+1,J$5+3)),"")</f>
        <v/>
      </c>
      <c r="K29" s="116">
        <f t="array" ref="K29">IFERROR(_xlfn.SINGLE(INDEX(DATABASE!$AV$14:$BC$968,SUMPRODUCT((ROW(DATABASE!$AV$14:$AV$968)) * (DATABASE!$AV$14:BD$968='Résultats Projection'!$A29 ) * (DATABASE!$AW$14:$AW$968= K$4))-ROW(DATABASE!$AV$14)+1,K$5+3)),"")</f>
        <v/>
      </c>
      <c r="L29" s="116">
        <f t="array" ref="L29">IFERROR(_xlfn.SINGLE(INDEX(DATABASE!$AV$14:$BC$968,SUMPRODUCT((ROW(DATABASE!$AV$14:$AV$968)) * (DATABASE!$AV$14:BE$968='Résultats Projection'!$A29 ) * (DATABASE!$AW$14:$AW$968= L$4))-ROW(DATABASE!$AV$14)+1,L$5+3)),"")</f>
        <v/>
      </c>
      <c r="M29" s="116">
        <f t="array" ref="M29">IFERROR(_xlfn.SINGLE(INDEX(DATABASE!$AV$14:$BC$968,SUMPRODUCT((ROW(DATABASE!$AV$14:$AV$968)) * (DATABASE!$AV$14:BF$968='Résultats Projection'!$A29 ) * (DATABASE!$AW$14:$AW$968= M$4))-ROW(DATABASE!$AV$14)+1,M$5+3)),"")</f>
        <v/>
      </c>
      <c r="N29" s="116">
        <f t="array" ref="N29">IFERROR(_xlfn.SINGLE(INDEX(DATABASE!$AV$14:$BC$968,SUMPRODUCT((ROW(DATABASE!$AV$14:$AV$968)) * (DATABASE!$AV$14:BG$968='Résultats Projection'!$A29 ) * (DATABASE!$AW$14:$AW$968= N$4))-ROW(DATABASE!$AV$14)+1,N$5+3)),"")</f>
        <v/>
      </c>
      <c r="O29" s="116">
        <f t="array" ref="O29">IFERROR(_xlfn.SINGLE(INDEX(DATABASE!$AV$14:$BC$968,SUMPRODUCT((ROW(DATABASE!$AV$14:$AV$968)) * (DATABASE!$AV$14:BH$968='Résultats Projection'!$A29 ) * (DATABASE!$AW$14:$AW$968= O$4))-ROW(DATABASE!$AV$14)+1,O$5+3)),"")</f>
        <v/>
      </c>
      <c r="P29" s="116">
        <f t="array" ref="P29">IFERROR(_xlfn.SINGLE(INDEX(DATABASE!$AV$14:$BC$968,SUMPRODUCT((ROW(DATABASE!$AV$14:$AV$968)) * (DATABASE!$AV$14:BI$968='Résultats Projection'!$A29 ) * (DATABASE!$AW$14:$AW$968= P$4))-ROW(DATABASE!$AV$14)+1,P$5+3)),"")</f>
        <v/>
      </c>
      <c r="Q29" s="116">
        <f t="array" ref="Q29">IFERROR(_xlfn.SINGLE(INDEX(DATABASE!$AV$14:$BC$968,SUMPRODUCT((ROW(DATABASE!$AV$14:$AV$968)) * (DATABASE!$AV$14:BJ$968='Résultats Projection'!$A29 ) * (DATABASE!$AW$14:$AW$968= Q$4))-ROW(DATABASE!$AV$14)+1,Q$5+3)),"")</f>
        <v/>
      </c>
      <c r="R29" s="116">
        <f t="array" ref="R29">IFERROR(_xlfn.SINGLE(INDEX(DATABASE!$AV$14:$BC$968,SUMPRODUCT((ROW(DATABASE!$AV$14:$AV$968)) * (DATABASE!$AV$14:BK$968='Résultats Projection'!$A29 ) * (DATABASE!$AW$14:$AW$968= R$4))-ROW(DATABASE!$AV$14)+1,R$5+3)),"")</f>
        <v/>
      </c>
      <c r="S29" s="116">
        <f t="array" ref="S29">IFERROR(_xlfn.SINGLE(INDEX(DATABASE!$AV$14:$BC$968,SUMPRODUCT((ROW(DATABASE!$AV$14:$AV$968)) * (DATABASE!$AV$14:BL$968='Résultats Projection'!$A29 ) * (DATABASE!$AW$14:$AW$968= S$4))-ROW(DATABASE!$AV$14)+1,S$5+3)),"")</f>
        <v/>
      </c>
      <c r="T29" s="116">
        <f t="array" ref="T29">IFERROR(_xlfn.SINGLE(INDEX(DATABASE!$AV$14:$BC$968,SUMPRODUCT((ROW(DATABASE!$AV$14:$AV$968)) * (DATABASE!$AV$14:BM$968='Résultats Projection'!$A29 ) * (DATABASE!$AW$14:$AW$968= T$4))-ROW(DATABASE!$AV$14)+1,T$5+3)),"")</f>
        <v/>
      </c>
      <c r="U29" s="116">
        <f t="array" ref="U29">IFERROR(_xlfn.SINGLE(INDEX(DATABASE!$AV$14:$BC$968,SUMPRODUCT((ROW(DATABASE!$AV$14:$AV$968)) * (DATABASE!$AV$14:BN$968='Résultats Projection'!$A29 ) * (DATABASE!$AW$14:$AW$968= U$4))-ROW(DATABASE!$AV$14)+1,U$5+3)),"")</f>
        <v/>
      </c>
      <c r="V29" s="116">
        <f t="array" ref="V29">IFERROR(_xlfn.SINGLE(INDEX(DATABASE!$AV$14:$BC$968,SUMPRODUCT((ROW(DATABASE!$AV$14:$AV$968)) * (DATABASE!$AV$14:BO$968='Résultats Projection'!$A29 ) * (DATABASE!$AW$14:$AW$968= V$4))-ROW(DATABASE!$AV$14)+1,V$5+3)),"")</f>
        <v/>
      </c>
      <c r="W29" s="116">
        <f t="array" ref="W29">IFERROR(_xlfn.SINGLE(INDEX(DATABASE!$AV$14:$BC$968,SUMPRODUCT((ROW(DATABASE!$AV$14:$AV$968)) * (DATABASE!$AV$14:BP$968='Résultats Projection'!$A29 ) * (DATABASE!$AW$14:$AW$968= W$4))-ROW(DATABASE!$AV$14)+1,W$5+3)),"")</f>
        <v/>
      </c>
      <c r="X29" s="116">
        <f t="array" ref="X29">IFERROR(_xlfn.SINGLE(INDEX(DATABASE!$AV$14:$BC$968,SUMPRODUCT((ROW(DATABASE!$AV$14:$AV$968)) * (DATABASE!$AV$14:BQ$968='Résultats Projection'!$A29 ) * (DATABASE!$AW$14:$AW$968= X$4))-ROW(DATABASE!$AV$14)+1,X$5+3)),"")</f>
        <v/>
      </c>
      <c r="Y29" s="116">
        <f t="array" ref="Y29">IFERROR(_xlfn.SINGLE(INDEX(DATABASE!$AV$14:$BC$968,SUMPRODUCT((ROW(DATABASE!$AV$14:$AV$968)) * (DATABASE!$AV$14:BR$968='Résultats Projection'!$A29 ) * (DATABASE!$AW$14:$AW$968= Y$4))-ROW(DATABASE!$AV$14)+1,Y$5+3)),"")</f>
        <v/>
      </c>
      <c r="Z29" s="116">
        <f t="array" ref="Z29">IFERROR(_xlfn.SINGLE(INDEX(DATABASE!$AV$14:$BC$968,SUMPRODUCT((ROW(DATABASE!$AV$14:$AV$968)) * (DATABASE!$AV$14:BS$968='Résultats Projection'!$A29 ) * (DATABASE!$AW$14:$AW$968= Z$4))-ROW(DATABASE!$AV$14)+1,Z$5+3)),"")</f>
        <v/>
      </c>
      <c r="AA29" s="116">
        <f t="array" ref="AA29">IFERROR(_xlfn.SINGLE(INDEX(DATABASE!$AV$14:$BC$968,SUMPRODUCT((ROW(DATABASE!$AV$14:$AV$968)) * (DATABASE!$AV$14:BT$968='Résultats Projection'!$A29 ) * (DATABASE!$AW$14:$AW$968= AA$4))-ROW(DATABASE!$AV$14)+1,AA$5+3)),"")</f>
        <v/>
      </c>
      <c r="AB29" s="116">
        <f t="array" ref="AB29">IFERROR(_xlfn.SINGLE(INDEX(DATABASE!$AV$14:$BC$968,SUMPRODUCT((ROW(DATABASE!$AV$14:$AV$968)) * (DATABASE!$AV$14:BU$968='Résultats Projection'!$A29 ) * (DATABASE!$AW$14:$AW$968= AB$4))-ROW(DATABASE!$AV$14)+1,AB$5+3)),"")</f>
        <v/>
      </c>
      <c r="AC29" s="116">
        <f t="array" ref="AC29">IFERROR(_xlfn.SINGLE(INDEX(DATABASE!$AV$14:$BC$968,SUMPRODUCT((ROW(DATABASE!$AV$14:$AV$968)) * (DATABASE!$AV$14:BV$968='Résultats Projection'!$A29 ) * (DATABASE!$AW$14:$AW$968= AC$4))-ROW(DATABASE!$AV$14)+1,AC$5+3)),"")</f>
        <v/>
      </c>
      <c r="AD29" s="116">
        <f t="array" ref="AD29">IFERROR(_xlfn.SINGLE(INDEX(DATABASE!$AV$14:$BC$968,SUMPRODUCT((ROW(DATABASE!$AV$14:$AV$968)) * (DATABASE!$AV$14:BW$968='Résultats Projection'!$A29 ) * (DATABASE!$AW$14:$AW$968= AD$4))-ROW(DATABASE!$AV$14)+1,AD$5+3)),"")</f>
        <v/>
      </c>
      <c r="AE29" s="116">
        <f t="array" ref="AE29">IFERROR(_xlfn.SINGLE(INDEX(DATABASE!$AV$14:$BC$968,SUMPRODUCT((ROW(DATABASE!$AV$14:$AV$968)) * (DATABASE!$AV$14:BX$968='Résultats Projection'!$A29 ) * (DATABASE!$AW$14:$AW$968= AE$4))-ROW(DATABASE!$AV$14)+1,AE$5+3)),"")</f>
        <v/>
      </c>
      <c r="AF29" s="116">
        <f t="array" ref="AF29">IFERROR(_xlfn.SINGLE(INDEX(DATABASE!$AV$14:$BC$968,SUMPRODUCT((ROW(DATABASE!$AV$14:$AV$968)) * (DATABASE!$AV$14:BY$968='Résultats Projection'!$A29 ) * (DATABASE!$AW$14:$AW$968= AF$4))-ROW(DATABASE!$AV$14)+1,AF$5+3)),"")</f>
        <v/>
      </c>
      <c r="AG29" s="116">
        <f t="array" ref="AG29">IFERROR(_xlfn.SINGLE(INDEX(DATABASE!$AV$14:$BC$968,SUMPRODUCT((ROW(DATABASE!$AV$14:$AV$968)) * (DATABASE!$AV$14:BZ$968='Résultats Projection'!$A29 ) * (DATABASE!$AW$14:$AW$968= AG$4))-ROW(DATABASE!$AV$14)+1,AG$5+3)),"")</f>
        <v/>
      </c>
      <c r="AH29" s="116">
        <f t="array" ref="AH29">IFERROR(_xlfn.SINGLE(INDEX(DATABASE!$AV$14:$BC$968,SUMPRODUCT((ROW(DATABASE!$AV$14:$AV$968)) * (DATABASE!$AV$14:CA$968='Résultats Projection'!$A29 ) * (DATABASE!$AW$14:$AW$968= AH$4))-ROW(DATABASE!$AV$14)+1,AH$5+3)),"")</f>
        <v/>
      </c>
      <c r="AI29" s="116">
        <f t="array" ref="AI29">IFERROR(_xlfn.SINGLE(INDEX(DATABASE!$AV$14:$BC$968,SUMPRODUCT((ROW(DATABASE!$AV$14:$AV$968)) * (DATABASE!$AV$14:CB$968='Résultats Projection'!$A29 ) * (DATABASE!$AW$14:$AW$968= AI$4))-ROW(DATABASE!$AV$14)+1,AI$5+3)),"")</f>
        <v/>
      </c>
      <c r="AJ29" s="116">
        <f t="array" ref="AJ29">IFERROR(_xlfn.SINGLE(INDEX(DATABASE!$AV$14:$BC$968,SUMPRODUCT((ROW(DATABASE!$AV$14:$AV$968)) * (DATABASE!$AV$14:CC$968='Résultats Projection'!$A29 ) * (DATABASE!$AW$14:$AW$968= AJ$4))-ROW(DATABASE!$AV$14)+1,AJ$5+3)),"")</f>
        <v/>
      </c>
      <c r="AK29" s="116">
        <f t="array" ref="AK29">IFERROR(_xlfn.SINGLE(INDEX(DATABASE!$AV$14:$BC$968,SUMPRODUCT((ROW(DATABASE!$AV$14:$AV$968)) * (DATABASE!$AV$14:CD$968='Résultats Projection'!$A29 ) * (DATABASE!$AW$14:$AW$968= AK$4))-ROW(DATABASE!$AV$14)+1,AK$5+3)),"")</f>
        <v/>
      </c>
      <c r="AL29" s="116">
        <f t="array" ref="AL29">IFERROR(_xlfn.SINGLE(INDEX(DATABASE!$AV$14:$BC$968,SUMPRODUCT((ROW(DATABASE!$AV$14:$AV$968)) * (DATABASE!$AV$14:CE$968='Résultats Projection'!$A29 ) * (DATABASE!$AW$14:$AW$968= AL$4))-ROW(DATABASE!$AV$14)+1,AL$5+3)),"")</f>
        <v/>
      </c>
      <c r="AM29" s="116">
        <f t="array" ref="AM29">IFERROR(_xlfn.SINGLE(INDEX(DATABASE!$AV$14:$BC$968,SUMPRODUCT((ROW(DATABASE!$AV$14:$AV$968)) * (DATABASE!$AV$14:CF$968='Résultats Projection'!$A29 ) * (DATABASE!$AW$14:$AW$968= AM$4))-ROW(DATABASE!$AV$14)+1,AM$5+3)),"")</f>
        <v/>
      </c>
      <c r="AN29" s="116">
        <f t="array" ref="AN29">IFERROR(_xlfn.SINGLE(INDEX(DATABASE!$AV$14:$BC$968,SUMPRODUCT((ROW(DATABASE!$AV$14:$AV$968)) * (DATABASE!$AV$14:CG$968='Résultats Projection'!$A29 ) * (DATABASE!$AW$14:$AW$968= AN$4))-ROW(DATABASE!$AV$14)+1,AN$5+3)),"")</f>
        <v/>
      </c>
      <c r="AO29" s="116">
        <f t="array" ref="AO29">IFERROR(_xlfn.SINGLE(INDEX(DATABASE!$AV$14:$BC$968,SUMPRODUCT((ROW(DATABASE!$AV$14:$AV$968)) * (DATABASE!$AV$14:CH$968='Résultats Projection'!$A29 ) * (DATABASE!$AW$14:$AW$968= AO$4))-ROW(DATABASE!$AV$14)+1,AO$5+3)),"")</f>
        <v/>
      </c>
      <c r="AP29" s="116">
        <f t="array" ref="AP29">IFERROR(_xlfn.SINGLE(INDEX(DATABASE!$AV$14:$BC$968,SUMPRODUCT((ROW(DATABASE!$AV$14:$AV$968)) * (DATABASE!$AV$14:CI$968='Résultats Projection'!$A29 ) * (DATABASE!$AW$14:$AW$968= AP$4))-ROW(DATABASE!$AV$14)+1,AP$5+3)),"")</f>
        <v/>
      </c>
      <c r="AQ29" s="116">
        <f t="array" ref="AQ29">IFERROR(_xlfn.SINGLE(INDEX(DATABASE!$AV$14:$BC$968,SUMPRODUCT((ROW(DATABASE!$AV$14:$AV$968)) * (DATABASE!$AV$14:CJ$968='Résultats Projection'!$A29 ) * (DATABASE!$AW$14:$AW$968= AQ$4))-ROW(DATABASE!$AV$14)+1,AQ$5+3)),"")</f>
        <v/>
      </c>
      <c r="AR29" s="116">
        <f t="array" ref="AR29">IFERROR(_xlfn.SINGLE(INDEX(DATABASE!$AV$14:$BC$968,SUMPRODUCT((ROW(DATABASE!$AV$14:$AV$968)) * (DATABASE!$AV$14:CK$968='Résultats Projection'!$A29 ) * (DATABASE!$AW$14:$AW$968= AR$4))-ROW(DATABASE!$AV$14)+1,AR$5+3)),"")</f>
        <v/>
      </c>
      <c r="AS29" s="116">
        <f t="array" ref="AS29">IFERROR(_xlfn.SINGLE(INDEX(DATABASE!$AV$14:$BC$968,SUMPRODUCT((ROW(DATABASE!$AV$14:$AV$968)) * (DATABASE!$AV$14:CL$968='Résultats Projection'!$A29 ) * (DATABASE!$AW$14:$AW$968= AS$4))-ROW(DATABASE!$AV$14)+1,AS$5+3)),"")</f>
        <v/>
      </c>
      <c r="AT29" s="116">
        <f t="array" ref="AT29">IFERROR(_xlfn.SINGLE(INDEX(DATABASE!$AV$14:$BC$968,SUMPRODUCT((ROW(DATABASE!$AV$14:$AV$968)) * (DATABASE!$AV$14:CM$968='Résultats Projection'!$A29 ) * (DATABASE!$AW$14:$AW$968= AT$4))-ROW(DATABASE!$AV$14)+1,AT$5+3)),"")</f>
        <v/>
      </c>
      <c r="AU29" s="116">
        <f t="array" ref="AU29">IFERROR(_xlfn.SINGLE(INDEX(DATABASE!$AV$14:$BC$968,SUMPRODUCT((ROW(DATABASE!$AV$14:$AV$968)) * (DATABASE!$AV$14:CN$968='Résultats Projection'!$A29 ) * (DATABASE!$AW$14:$AW$968= AU$4))-ROW(DATABASE!$AV$14)+1,AU$5+3)),"")</f>
        <v/>
      </c>
      <c r="AV29" s="116">
        <f t="array" ref="AV29">IFERROR(_xlfn.SINGLE(INDEX(DATABASE!$AV$14:$BC$968,SUMPRODUCT((ROW(DATABASE!$AV$14:$AV$968)) * (DATABASE!$AV$14:CO$968='Résultats Projection'!$A29 ) * (DATABASE!$AW$14:$AW$968= AV$4))-ROW(DATABASE!$AV$14)+1,AV$5+3)),"")</f>
        <v/>
      </c>
      <c r="AW29" s="116">
        <f t="array" ref="AW29">IFERROR(_xlfn.SINGLE(INDEX(DATABASE!$AV$14:$BC$968,SUMPRODUCT((ROW(DATABASE!$AV$14:$AV$968)) * (DATABASE!$AV$14:CP$968='Résultats Projection'!$A29 ) * (DATABASE!$AW$14:$AW$968= AW$4))-ROW(DATABASE!$AV$14)+1,AW$5+3)),"")</f>
        <v/>
      </c>
      <c r="AX29" s="116">
        <f t="array" ref="AX29">IFERROR(_xlfn.SINGLE(INDEX(DATABASE!$AV$14:$BC$968,SUMPRODUCT((ROW(DATABASE!$AV$14:$AV$968)) * (DATABASE!$AV$14:CQ$968='Résultats Projection'!$A29 ) * (DATABASE!$AW$14:$AW$968= AX$4))-ROW(DATABASE!$AV$14)+1,AX$5+3)),"")</f>
        <v/>
      </c>
      <c r="AY29" s="116">
        <f t="array" ref="AY29">IFERROR(_xlfn.SINGLE(INDEX(DATABASE!$AV$14:$BC$968,SUMPRODUCT((ROW(DATABASE!$AV$14:$AV$968)) * (DATABASE!$AV$14:CR$968='Résultats Projection'!$A29 ) * (DATABASE!$AW$14:$AW$968= AY$4))-ROW(DATABASE!$AV$14)+1,AY$5+3)),"")</f>
        <v/>
      </c>
      <c r="AZ29" s="116">
        <f t="array" ref="AZ29">IFERROR(_xlfn.SINGLE(INDEX(DATABASE!$AV$14:$BC$968,SUMPRODUCT((ROW(DATABASE!$AV$14:$AV$968)) * (DATABASE!$AV$14:CS$968='Résultats Projection'!$A29 ) * (DATABASE!$AW$14:$AW$968= AZ$4))-ROW(DATABASE!$AV$14)+1,AZ$5+3)),"")</f>
        <v/>
      </c>
      <c r="BA29" s="116">
        <f t="array" ref="BA29">IFERROR(_xlfn.SINGLE(INDEX(DATABASE!$AV$14:$BC$968,SUMPRODUCT((ROW(DATABASE!$AV$14:$AV$968)) * (DATABASE!$AV$14:CT$968='Résultats Projection'!$A29 ) * (DATABASE!$AW$14:$AW$968= BA$4))-ROW(DATABASE!$AV$14)+1,BA$5+3)),"")</f>
        <v/>
      </c>
      <c r="BB29" s="116">
        <f t="array" ref="BB29">IFERROR(_xlfn.SINGLE(INDEX(DATABASE!$AV$14:$BC$968,SUMPRODUCT((ROW(DATABASE!$AV$14:$AV$968)) * (DATABASE!$AV$14:CU$968='Résultats Projection'!$A29 ) * (DATABASE!$AW$14:$AW$968= BB$4))-ROW(DATABASE!$AV$14)+1,BB$5+3)),"")</f>
        <v/>
      </c>
      <c r="BC29" s="116">
        <f t="array" ref="BC29">IFERROR(_xlfn.SINGLE(INDEX(DATABASE!$AV$14:$BC$968,SUMPRODUCT((ROW(DATABASE!$AV$14:$AV$968)) * (DATABASE!$AV$14:CV$968='Résultats Projection'!$A29 ) * (DATABASE!$AW$14:$AW$968= BC$4))-ROW(DATABASE!$AV$14)+1,BC$5+3)),"")</f>
        <v/>
      </c>
      <c r="BD29" s="116">
        <f t="array" ref="BD29">IFERROR(_xlfn.SINGLE(INDEX(DATABASE!$AV$14:$BC$968,SUMPRODUCT((ROW(DATABASE!$AV$14:$AV$968)) * (DATABASE!$AV$14:CW$968='Résultats Projection'!$A29 ) * (DATABASE!$AW$14:$AW$968= BD$4))-ROW(DATABASE!$AV$14)+1,BD$5+3)),"")</f>
        <v/>
      </c>
      <c r="BE29" s="116">
        <f t="array" ref="BE29">IFERROR(_xlfn.SINGLE(INDEX(DATABASE!$AV$14:$BC$968,SUMPRODUCT((ROW(DATABASE!$AV$14:$AV$968)) * (DATABASE!$AV$14:CX$968='Résultats Projection'!$A29 ) * (DATABASE!$AW$14:$AW$968= BE$4))-ROW(DATABASE!$AV$14)+1,BE$5+3)),"")</f>
        <v/>
      </c>
      <c r="BF29" s="116">
        <f t="array" ref="BF29">IFERROR(_xlfn.SINGLE(INDEX(DATABASE!$AV$14:$BC$968,SUMPRODUCT((ROW(DATABASE!$AV$14:$AV$968)) * (DATABASE!$AV$14:CY$968='Résultats Projection'!$A29 ) * (DATABASE!$AW$14:$AW$968= BF$4))-ROW(DATABASE!$AV$14)+1,BF$5+3)),"")</f>
        <v/>
      </c>
      <c r="BG29" s="116">
        <f t="array" ref="BG29">IFERROR(_xlfn.SINGLE(INDEX(DATABASE!$AV$14:$BC$968,SUMPRODUCT((ROW(DATABASE!$AV$14:$AV$968)) * (DATABASE!$AV$14:CZ$968='Résultats Projection'!$A29 ) * (DATABASE!$AW$14:$AW$968= BG$4))-ROW(DATABASE!$AV$14)+1,BG$5+3)),"")</f>
        <v/>
      </c>
      <c r="BH29" s="116">
        <f t="array" ref="BH29">IFERROR(_xlfn.SINGLE(INDEX(DATABASE!$AV$14:$BC$968,SUMPRODUCT((ROW(DATABASE!$AV$14:$AV$968)) * (DATABASE!$AV$14:DA$968='Résultats Projection'!$A29 ) * (DATABASE!$AW$14:$AW$968= BH$4))-ROW(DATABASE!$AV$14)+1,BH$5+3)),"")</f>
        <v/>
      </c>
      <c r="BI29" s="116">
        <f t="array" ref="BI29">IFERROR(_xlfn.SINGLE(INDEX(DATABASE!$AV$14:$BC$968,SUMPRODUCT((ROW(DATABASE!$AV$14:$AV$968)) * (DATABASE!$AV$14:DB$968='Résultats Projection'!$A29 ) * (DATABASE!$AW$14:$AW$968= BI$4))-ROW(DATABASE!$AV$14)+1,BI$5+3)),"")</f>
        <v/>
      </c>
      <c r="BJ29" s="116">
        <f t="array" ref="BJ29">IFERROR(_xlfn.SINGLE(INDEX(DATABASE!$AV$14:$BC$968,SUMPRODUCT((ROW(DATABASE!$AV$14:$AV$968)) * (DATABASE!$AV$14:DC$968='Résultats Projection'!$A29 ) * (DATABASE!$AW$14:$AW$968= BJ$4))-ROW(DATABASE!$AV$14)+1,BJ$5+3)),"")</f>
        <v/>
      </c>
    </row>
    <row r="30" ht="29.25" customFormat="1" customHeight="1" s="28">
      <c r="A30" s="124" t="n">
        <v>45609</v>
      </c>
      <c r="B30" s="8">
        <f>A30-A$10</f>
        <v/>
      </c>
      <c r="C30" s="116">
        <f t="array" ref="C30">IFERROR(_xlfn.SINGLE(INDEX(DATABASE!$AV$14:$BC$968,SUMPRODUCT((ROW(DATABASE!$AV$14:$AV$968)) * (DATABASE!AV$14:$AV$968='Résultats Projection'!$A30 ) * (DATABASE!$AW$14:$AW$968= C$4))-ROW(DATABASE!$AV$14)+1,C$5+3)),"")</f>
        <v/>
      </c>
      <c r="D30" s="116">
        <f t="array" ref="D30">IFERROR(_xlfn.SINGLE(INDEX(DATABASE!$AV$14:$BC$968,SUMPRODUCT((ROW(DATABASE!$AV$14:$AV$968)) * (DATABASE!$AV$14:AW$968='Résultats Projection'!$A30 ) * (DATABASE!$AW$14:$AW$968= D$4))-ROW(DATABASE!$AV$14)+1,D$5+3)),"")</f>
        <v/>
      </c>
      <c r="E30" s="116">
        <f t="array" ref="E30">IFERROR(_xlfn.SINGLE(INDEX(DATABASE!$AV$14:$BC$968,SUMPRODUCT((ROW(DATABASE!$AV$14:$AV$968)) * (DATABASE!$AV$14:AX$968='Résultats Projection'!$A30 ) * (DATABASE!$AW$14:$AW$968= E$4))-ROW(DATABASE!$AV$14)+1,E$5+3)),"")</f>
        <v/>
      </c>
      <c r="F30" s="116">
        <f t="array" ref="F30">IFERROR(_xlfn.SINGLE(INDEX(DATABASE!$AV$14:$BC$968,SUMPRODUCT((ROW(DATABASE!$AV$14:$AV$968)) * (DATABASE!$AV$14:AY$968='Résultats Projection'!$A30 ) * (DATABASE!$AW$14:$AW$968= F$4))-ROW(DATABASE!$AV$14)+1,F$5+3)),"")</f>
        <v/>
      </c>
      <c r="G30" s="116">
        <f t="array" ref="G30">IFERROR(_xlfn.SINGLE(INDEX(DATABASE!$AV$14:$BC$968,SUMPRODUCT((ROW(DATABASE!$AV$14:$AV$968)) * (DATABASE!$AV$14:AZ$968='Résultats Projection'!$A30 ) * (DATABASE!$AW$14:$AW$968= G$4))-ROW(DATABASE!$AV$14)+1,G$5+3)),"")</f>
        <v/>
      </c>
      <c r="H30" s="116">
        <f t="array" ref="H30">IFERROR(_xlfn.SINGLE(INDEX(DATABASE!$AV$14:$BC$968,SUMPRODUCT((ROW(DATABASE!$AV$14:$AV$968)) * (DATABASE!$AV$14:BA$968='Résultats Projection'!$A30 ) * (DATABASE!$AW$14:$AW$968= H$4))-ROW(DATABASE!$AV$14)+1,H$5+3)),"")</f>
        <v/>
      </c>
      <c r="I30" s="116">
        <f t="array" ref="I30">IFERROR(_xlfn.SINGLE(INDEX(DATABASE!$AV$14:$BC$968,SUMPRODUCT((ROW(DATABASE!$AV$14:$AV$968)) * (DATABASE!$AV$14:BB$968='Résultats Projection'!$A30 ) * (DATABASE!$AW$14:$AW$968= I$4))-ROW(DATABASE!$AV$14)+1,I$5+3)),"")</f>
        <v/>
      </c>
      <c r="J30" s="116">
        <f t="array" ref="J30">IFERROR(_xlfn.SINGLE(INDEX(DATABASE!$AV$14:$BC$968,SUMPRODUCT((ROW(DATABASE!$AV$14:$AV$968)) * (DATABASE!$AV$14:BC$968='Résultats Projection'!$A30 ) * (DATABASE!$AW$14:$AW$968= J$4))-ROW(DATABASE!$AV$14)+1,J$5+3)),"")</f>
        <v/>
      </c>
      <c r="K30" s="116">
        <f t="array" ref="K30">IFERROR(_xlfn.SINGLE(INDEX(DATABASE!$AV$14:$BC$968,SUMPRODUCT((ROW(DATABASE!$AV$14:$AV$968)) * (DATABASE!$AV$14:BD$968='Résultats Projection'!$A30 ) * (DATABASE!$AW$14:$AW$968= K$4))-ROW(DATABASE!$AV$14)+1,K$5+3)),"")</f>
        <v/>
      </c>
      <c r="L30" s="116">
        <f t="array" ref="L30">IFERROR(_xlfn.SINGLE(INDEX(DATABASE!$AV$14:$BC$968,SUMPRODUCT((ROW(DATABASE!$AV$14:$AV$968)) * (DATABASE!$AV$14:BE$968='Résultats Projection'!$A30 ) * (DATABASE!$AW$14:$AW$968= L$4))-ROW(DATABASE!$AV$14)+1,L$5+3)),"")</f>
        <v/>
      </c>
      <c r="M30" s="116">
        <f t="array" ref="M30">IFERROR(_xlfn.SINGLE(INDEX(DATABASE!$AV$14:$BC$968,SUMPRODUCT((ROW(DATABASE!$AV$14:$AV$968)) * (DATABASE!$AV$14:BF$968='Résultats Projection'!$A30 ) * (DATABASE!$AW$14:$AW$968= M$4))-ROW(DATABASE!$AV$14)+1,M$5+3)),"")</f>
        <v/>
      </c>
      <c r="N30" s="116">
        <f t="array" ref="N30">IFERROR(_xlfn.SINGLE(INDEX(DATABASE!$AV$14:$BC$968,SUMPRODUCT((ROW(DATABASE!$AV$14:$AV$968)) * (DATABASE!$AV$14:BG$968='Résultats Projection'!$A30 ) * (DATABASE!$AW$14:$AW$968= N$4))-ROW(DATABASE!$AV$14)+1,N$5+3)),"")</f>
        <v/>
      </c>
      <c r="O30" s="116">
        <f t="array" ref="O30">IFERROR(_xlfn.SINGLE(INDEX(DATABASE!$AV$14:$BC$968,SUMPRODUCT((ROW(DATABASE!$AV$14:$AV$968)) * (DATABASE!$AV$14:BH$968='Résultats Projection'!$A30 ) * (DATABASE!$AW$14:$AW$968= O$4))-ROW(DATABASE!$AV$14)+1,O$5+3)),"")</f>
        <v/>
      </c>
      <c r="P30" s="116">
        <f t="array" ref="P30">IFERROR(_xlfn.SINGLE(INDEX(DATABASE!$AV$14:$BC$968,SUMPRODUCT((ROW(DATABASE!$AV$14:$AV$968)) * (DATABASE!$AV$14:BI$968='Résultats Projection'!$A30 ) * (DATABASE!$AW$14:$AW$968= P$4))-ROW(DATABASE!$AV$14)+1,P$5+3)),"")</f>
        <v/>
      </c>
      <c r="Q30" s="116">
        <f t="array" ref="Q30">IFERROR(_xlfn.SINGLE(INDEX(DATABASE!$AV$14:$BC$968,SUMPRODUCT((ROW(DATABASE!$AV$14:$AV$968)) * (DATABASE!$AV$14:BJ$968='Résultats Projection'!$A30 ) * (DATABASE!$AW$14:$AW$968= Q$4))-ROW(DATABASE!$AV$14)+1,Q$5+3)),"")</f>
        <v/>
      </c>
      <c r="R30" s="116">
        <f t="array" ref="R30">IFERROR(_xlfn.SINGLE(INDEX(DATABASE!$AV$14:$BC$968,SUMPRODUCT((ROW(DATABASE!$AV$14:$AV$968)) * (DATABASE!$AV$14:BK$968='Résultats Projection'!$A30 ) * (DATABASE!$AW$14:$AW$968= R$4))-ROW(DATABASE!$AV$14)+1,R$5+3)),"")</f>
        <v/>
      </c>
      <c r="S30" s="116">
        <f t="array" ref="S30">IFERROR(_xlfn.SINGLE(INDEX(DATABASE!$AV$14:$BC$968,SUMPRODUCT((ROW(DATABASE!$AV$14:$AV$968)) * (DATABASE!$AV$14:BL$968='Résultats Projection'!$A30 ) * (DATABASE!$AW$14:$AW$968= S$4))-ROW(DATABASE!$AV$14)+1,S$5+3)),"")</f>
        <v/>
      </c>
      <c r="T30" s="116">
        <f t="array" ref="T30">IFERROR(_xlfn.SINGLE(INDEX(DATABASE!$AV$14:$BC$968,SUMPRODUCT((ROW(DATABASE!$AV$14:$AV$968)) * (DATABASE!$AV$14:BM$968='Résultats Projection'!$A30 ) * (DATABASE!$AW$14:$AW$968= T$4))-ROW(DATABASE!$AV$14)+1,T$5+3)),"")</f>
        <v/>
      </c>
      <c r="U30" s="116">
        <f t="array" ref="U30">IFERROR(_xlfn.SINGLE(INDEX(DATABASE!$AV$14:$BC$968,SUMPRODUCT((ROW(DATABASE!$AV$14:$AV$968)) * (DATABASE!$AV$14:BN$968='Résultats Projection'!$A30 ) * (DATABASE!$AW$14:$AW$968= U$4))-ROW(DATABASE!$AV$14)+1,U$5+3)),"")</f>
        <v/>
      </c>
      <c r="V30" s="116">
        <f t="array" ref="V30">IFERROR(_xlfn.SINGLE(INDEX(DATABASE!$AV$14:$BC$968,SUMPRODUCT((ROW(DATABASE!$AV$14:$AV$968)) * (DATABASE!$AV$14:BO$968='Résultats Projection'!$A30 ) * (DATABASE!$AW$14:$AW$968= V$4))-ROW(DATABASE!$AV$14)+1,V$5+3)),"")</f>
        <v/>
      </c>
      <c r="W30" s="116">
        <f t="array" ref="W30">IFERROR(_xlfn.SINGLE(INDEX(DATABASE!$AV$14:$BC$968,SUMPRODUCT((ROW(DATABASE!$AV$14:$AV$968)) * (DATABASE!$AV$14:BP$968='Résultats Projection'!$A30 ) * (DATABASE!$AW$14:$AW$968= W$4))-ROW(DATABASE!$AV$14)+1,W$5+3)),"")</f>
        <v/>
      </c>
      <c r="X30" s="116">
        <f t="array" ref="X30">IFERROR(_xlfn.SINGLE(INDEX(DATABASE!$AV$14:$BC$968,SUMPRODUCT((ROW(DATABASE!$AV$14:$AV$968)) * (DATABASE!$AV$14:BQ$968='Résultats Projection'!$A30 ) * (DATABASE!$AW$14:$AW$968= X$4))-ROW(DATABASE!$AV$14)+1,X$5+3)),"")</f>
        <v/>
      </c>
      <c r="Y30" s="116">
        <f t="array" ref="Y30">IFERROR(_xlfn.SINGLE(INDEX(DATABASE!$AV$14:$BC$968,SUMPRODUCT((ROW(DATABASE!$AV$14:$AV$968)) * (DATABASE!$AV$14:BR$968='Résultats Projection'!$A30 ) * (DATABASE!$AW$14:$AW$968= Y$4))-ROW(DATABASE!$AV$14)+1,Y$5+3)),"")</f>
        <v/>
      </c>
      <c r="Z30" s="116">
        <f t="array" ref="Z30">IFERROR(_xlfn.SINGLE(INDEX(DATABASE!$AV$14:$BC$968,SUMPRODUCT((ROW(DATABASE!$AV$14:$AV$968)) * (DATABASE!$AV$14:BS$968='Résultats Projection'!$A30 ) * (DATABASE!$AW$14:$AW$968= Z$4))-ROW(DATABASE!$AV$14)+1,Z$5+3)),"")</f>
        <v/>
      </c>
      <c r="AA30" s="116">
        <f t="array" ref="AA30">IFERROR(_xlfn.SINGLE(INDEX(DATABASE!$AV$14:$BC$968,SUMPRODUCT((ROW(DATABASE!$AV$14:$AV$968)) * (DATABASE!$AV$14:BT$968='Résultats Projection'!$A30 ) * (DATABASE!$AW$14:$AW$968= AA$4))-ROW(DATABASE!$AV$14)+1,AA$5+3)),"")</f>
        <v/>
      </c>
      <c r="AB30" s="116">
        <f t="array" ref="AB30">IFERROR(_xlfn.SINGLE(INDEX(DATABASE!$AV$14:$BC$968,SUMPRODUCT((ROW(DATABASE!$AV$14:$AV$968)) * (DATABASE!$AV$14:BU$968='Résultats Projection'!$A30 ) * (DATABASE!$AW$14:$AW$968= AB$4))-ROW(DATABASE!$AV$14)+1,AB$5+3)),"")</f>
        <v/>
      </c>
      <c r="AC30" s="116">
        <f t="array" ref="AC30">IFERROR(_xlfn.SINGLE(INDEX(DATABASE!$AV$14:$BC$968,SUMPRODUCT((ROW(DATABASE!$AV$14:$AV$968)) * (DATABASE!$AV$14:BV$968='Résultats Projection'!$A30 ) * (DATABASE!$AW$14:$AW$968= AC$4))-ROW(DATABASE!$AV$14)+1,AC$5+3)),"")</f>
        <v/>
      </c>
      <c r="AD30" s="116">
        <f t="array" ref="AD30">IFERROR(_xlfn.SINGLE(INDEX(DATABASE!$AV$14:$BC$968,SUMPRODUCT((ROW(DATABASE!$AV$14:$AV$968)) * (DATABASE!$AV$14:BW$968='Résultats Projection'!$A30 ) * (DATABASE!$AW$14:$AW$968= AD$4))-ROW(DATABASE!$AV$14)+1,AD$5+3)),"")</f>
        <v/>
      </c>
      <c r="AE30" s="116">
        <f t="array" ref="AE30">IFERROR(_xlfn.SINGLE(INDEX(DATABASE!$AV$14:$BC$968,SUMPRODUCT((ROW(DATABASE!$AV$14:$AV$968)) * (DATABASE!$AV$14:BX$968='Résultats Projection'!$A30 ) * (DATABASE!$AW$14:$AW$968= AE$4))-ROW(DATABASE!$AV$14)+1,AE$5+3)),"")</f>
        <v/>
      </c>
      <c r="AF30" s="116">
        <f t="array" ref="AF30">IFERROR(_xlfn.SINGLE(INDEX(DATABASE!$AV$14:$BC$968,SUMPRODUCT((ROW(DATABASE!$AV$14:$AV$968)) * (DATABASE!$AV$14:BY$968='Résultats Projection'!$A30 ) * (DATABASE!$AW$14:$AW$968= AF$4))-ROW(DATABASE!$AV$14)+1,AF$5+3)),"")</f>
        <v/>
      </c>
      <c r="AG30" s="116">
        <f t="array" ref="AG30">IFERROR(_xlfn.SINGLE(INDEX(DATABASE!$AV$14:$BC$968,SUMPRODUCT((ROW(DATABASE!$AV$14:$AV$968)) * (DATABASE!$AV$14:BZ$968='Résultats Projection'!$A30 ) * (DATABASE!$AW$14:$AW$968= AG$4))-ROW(DATABASE!$AV$14)+1,AG$5+3)),"")</f>
        <v/>
      </c>
      <c r="AH30" s="116">
        <f t="array" ref="AH30">IFERROR(_xlfn.SINGLE(INDEX(DATABASE!$AV$14:$BC$968,SUMPRODUCT((ROW(DATABASE!$AV$14:$AV$968)) * (DATABASE!$AV$14:CA$968='Résultats Projection'!$A30 ) * (DATABASE!$AW$14:$AW$968= AH$4))-ROW(DATABASE!$AV$14)+1,AH$5+3)),"")</f>
        <v/>
      </c>
      <c r="AI30" s="116">
        <f t="array" ref="AI30">IFERROR(_xlfn.SINGLE(INDEX(DATABASE!$AV$14:$BC$968,SUMPRODUCT((ROW(DATABASE!$AV$14:$AV$968)) * (DATABASE!$AV$14:CB$968='Résultats Projection'!$A30 ) * (DATABASE!$AW$14:$AW$968= AI$4))-ROW(DATABASE!$AV$14)+1,AI$5+3)),"")</f>
        <v/>
      </c>
      <c r="AJ30" s="116">
        <f t="array" ref="AJ30">IFERROR(_xlfn.SINGLE(INDEX(DATABASE!$AV$14:$BC$968,SUMPRODUCT((ROW(DATABASE!$AV$14:$AV$968)) * (DATABASE!$AV$14:CC$968='Résultats Projection'!$A30 ) * (DATABASE!$AW$14:$AW$968= AJ$4))-ROW(DATABASE!$AV$14)+1,AJ$5+3)),"")</f>
        <v/>
      </c>
      <c r="AK30" s="116">
        <f t="array" ref="AK30">IFERROR(_xlfn.SINGLE(INDEX(DATABASE!$AV$14:$BC$968,SUMPRODUCT((ROW(DATABASE!$AV$14:$AV$968)) * (DATABASE!$AV$14:CD$968='Résultats Projection'!$A30 ) * (DATABASE!$AW$14:$AW$968= AK$4))-ROW(DATABASE!$AV$14)+1,AK$5+3)),"")</f>
        <v/>
      </c>
      <c r="AL30" s="116">
        <f t="array" ref="AL30">IFERROR(_xlfn.SINGLE(INDEX(DATABASE!$AV$14:$BC$968,SUMPRODUCT((ROW(DATABASE!$AV$14:$AV$968)) * (DATABASE!$AV$14:CE$968='Résultats Projection'!$A30 ) * (DATABASE!$AW$14:$AW$968= AL$4))-ROW(DATABASE!$AV$14)+1,AL$5+3)),"")</f>
        <v/>
      </c>
      <c r="AM30" s="116">
        <f t="array" ref="AM30">IFERROR(_xlfn.SINGLE(INDEX(DATABASE!$AV$14:$BC$968,SUMPRODUCT((ROW(DATABASE!$AV$14:$AV$968)) * (DATABASE!$AV$14:CF$968='Résultats Projection'!$A30 ) * (DATABASE!$AW$14:$AW$968= AM$4))-ROW(DATABASE!$AV$14)+1,AM$5+3)),"")</f>
        <v/>
      </c>
      <c r="AN30" s="116">
        <f t="array" ref="AN30">IFERROR(_xlfn.SINGLE(INDEX(DATABASE!$AV$14:$BC$968,SUMPRODUCT((ROW(DATABASE!$AV$14:$AV$968)) * (DATABASE!$AV$14:CG$968='Résultats Projection'!$A30 ) * (DATABASE!$AW$14:$AW$968= AN$4))-ROW(DATABASE!$AV$14)+1,AN$5+3)),"")</f>
        <v/>
      </c>
      <c r="AO30" s="116">
        <f t="array" ref="AO30">IFERROR(_xlfn.SINGLE(INDEX(DATABASE!$AV$14:$BC$968,SUMPRODUCT((ROW(DATABASE!$AV$14:$AV$968)) * (DATABASE!$AV$14:CH$968='Résultats Projection'!$A30 ) * (DATABASE!$AW$14:$AW$968= AO$4))-ROW(DATABASE!$AV$14)+1,AO$5+3)),"")</f>
        <v/>
      </c>
      <c r="AP30" s="116">
        <f t="array" ref="AP30">IFERROR(_xlfn.SINGLE(INDEX(DATABASE!$AV$14:$BC$968,SUMPRODUCT((ROW(DATABASE!$AV$14:$AV$968)) * (DATABASE!$AV$14:CI$968='Résultats Projection'!$A30 ) * (DATABASE!$AW$14:$AW$968= AP$4))-ROW(DATABASE!$AV$14)+1,AP$5+3)),"")</f>
        <v/>
      </c>
      <c r="AQ30" s="116">
        <f t="array" ref="AQ30">IFERROR(_xlfn.SINGLE(INDEX(DATABASE!$AV$14:$BC$968,SUMPRODUCT((ROW(DATABASE!$AV$14:$AV$968)) * (DATABASE!$AV$14:CJ$968='Résultats Projection'!$A30 ) * (DATABASE!$AW$14:$AW$968= AQ$4))-ROW(DATABASE!$AV$14)+1,AQ$5+3)),"")</f>
        <v/>
      </c>
      <c r="AR30" s="116">
        <f t="array" ref="AR30">IFERROR(_xlfn.SINGLE(INDEX(DATABASE!$AV$14:$BC$968,SUMPRODUCT((ROW(DATABASE!$AV$14:$AV$968)) * (DATABASE!$AV$14:CK$968='Résultats Projection'!$A30 ) * (DATABASE!$AW$14:$AW$968= AR$4))-ROW(DATABASE!$AV$14)+1,AR$5+3)),"")</f>
        <v/>
      </c>
      <c r="AS30" s="116">
        <f t="array" ref="AS30">IFERROR(_xlfn.SINGLE(INDEX(DATABASE!$AV$14:$BC$968,SUMPRODUCT((ROW(DATABASE!$AV$14:$AV$968)) * (DATABASE!$AV$14:CL$968='Résultats Projection'!$A30 ) * (DATABASE!$AW$14:$AW$968= AS$4))-ROW(DATABASE!$AV$14)+1,AS$5+3)),"")</f>
        <v/>
      </c>
      <c r="AT30" s="116">
        <f t="array" ref="AT30">IFERROR(_xlfn.SINGLE(INDEX(DATABASE!$AV$14:$BC$968,SUMPRODUCT((ROW(DATABASE!$AV$14:$AV$968)) * (DATABASE!$AV$14:CM$968='Résultats Projection'!$A30 ) * (DATABASE!$AW$14:$AW$968= AT$4))-ROW(DATABASE!$AV$14)+1,AT$5+3)),"")</f>
        <v/>
      </c>
      <c r="AU30" s="116">
        <f t="array" ref="AU30">IFERROR(_xlfn.SINGLE(INDEX(DATABASE!$AV$14:$BC$968,SUMPRODUCT((ROW(DATABASE!$AV$14:$AV$968)) * (DATABASE!$AV$14:CN$968='Résultats Projection'!$A30 ) * (DATABASE!$AW$14:$AW$968= AU$4))-ROW(DATABASE!$AV$14)+1,AU$5+3)),"")</f>
        <v/>
      </c>
      <c r="AV30" s="116">
        <f t="array" ref="AV30">IFERROR(_xlfn.SINGLE(INDEX(DATABASE!$AV$14:$BC$968,SUMPRODUCT((ROW(DATABASE!$AV$14:$AV$968)) * (DATABASE!$AV$14:CO$968='Résultats Projection'!$A30 ) * (DATABASE!$AW$14:$AW$968= AV$4))-ROW(DATABASE!$AV$14)+1,AV$5+3)),"")</f>
        <v/>
      </c>
      <c r="AW30" s="116">
        <f t="array" ref="AW30">IFERROR(_xlfn.SINGLE(INDEX(DATABASE!$AV$14:$BC$968,SUMPRODUCT((ROW(DATABASE!$AV$14:$AV$968)) * (DATABASE!$AV$14:CP$968='Résultats Projection'!$A30 ) * (DATABASE!$AW$14:$AW$968= AW$4))-ROW(DATABASE!$AV$14)+1,AW$5+3)),"")</f>
        <v/>
      </c>
      <c r="AX30" s="116">
        <f t="array" ref="AX30">IFERROR(_xlfn.SINGLE(INDEX(DATABASE!$AV$14:$BC$968,SUMPRODUCT((ROW(DATABASE!$AV$14:$AV$968)) * (DATABASE!$AV$14:CQ$968='Résultats Projection'!$A30 ) * (DATABASE!$AW$14:$AW$968= AX$4))-ROW(DATABASE!$AV$14)+1,AX$5+3)),"")</f>
        <v/>
      </c>
      <c r="AY30" s="116">
        <f t="array" ref="AY30">IFERROR(_xlfn.SINGLE(INDEX(DATABASE!$AV$14:$BC$968,SUMPRODUCT((ROW(DATABASE!$AV$14:$AV$968)) * (DATABASE!$AV$14:CR$968='Résultats Projection'!$A30 ) * (DATABASE!$AW$14:$AW$968= AY$4))-ROW(DATABASE!$AV$14)+1,AY$5+3)),"")</f>
        <v/>
      </c>
      <c r="AZ30" s="116">
        <f t="array" ref="AZ30">IFERROR(_xlfn.SINGLE(INDEX(DATABASE!$AV$14:$BC$968,SUMPRODUCT((ROW(DATABASE!$AV$14:$AV$968)) * (DATABASE!$AV$14:CS$968='Résultats Projection'!$A30 ) * (DATABASE!$AW$14:$AW$968= AZ$4))-ROW(DATABASE!$AV$14)+1,AZ$5+3)),"")</f>
        <v/>
      </c>
      <c r="BA30" s="116">
        <f t="array" ref="BA30">IFERROR(_xlfn.SINGLE(INDEX(DATABASE!$AV$14:$BC$968,SUMPRODUCT((ROW(DATABASE!$AV$14:$AV$968)) * (DATABASE!$AV$14:CT$968='Résultats Projection'!$A30 ) * (DATABASE!$AW$14:$AW$968= BA$4))-ROW(DATABASE!$AV$14)+1,BA$5+3)),"")</f>
        <v/>
      </c>
      <c r="BB30" s="116">
        <f t="array" ref="BB30">IFERROR(_xlfn.SINGLE(INDEX(DATABASE!$AV$14:$BC$968,SUMPRODUCT((ROW(DATABASE!$AV$14:$AV$968)) * (DATABASE!$AV$14:CU$968='Résultats Projection'!$A30 ) * (DATABASE!$AW$14:$AW$968= BB$4))-ROW(DATABASE!$AV$14)+1,BB$5+3)),"")</f>
        <v/>
      </c>
      <c r="BC30" s="116">
        <f t="array" ref="BC30">IFERROR(_xlfn.SINGLE(INDEX(DATABASE!$AV$14:$BC$968,SUMPRODUCT((ROW(DATABASE!$AV$14:$AV$968)) * (DATABASE!$AV$14:CV$968='Résultats Projection'!$A30 ) * (DATABASE!$AW$14:$AW$968= BC$4))-ROW(DATABASE!$AV$14)+1,BC$5+3)),"")</f>
        <v/>
      </c>
      <c r="BD30" s="116">
        <f t="array" ref="BD30">IFERROR(_xlfn.SINGLE(INDEX(DATABASE!$AV$14:$BC$968,SUMPRODUCT((ROW(DATABASE!$AV$14:$AV$968)) * (DATABASE!$AV$14:CW$968='Résultats Projection'!$A30 ) * (DATABASE!$AW$14:$AW$968= BD$4))-ROW(DATABASE!$AV$14)+1,BD$5+3)),"")</f>
        <v/>
      </c>
      <c r="BE30" s="116">
        <f t="array" ref="BE30">IFERROR(_xlfn.SINGLE(INDEX(DATABASE!$AV$14:$BC$968,SUMPRODUCT((ROW(DATABASE!$AV$14:$AV$968)) * (DATABASE!$AV$14:CX$968='Résultats Projection'!$A30 ) * (DATABASE!$AW$14:$AW$968= BE$4))-ROW(DATABASE!$AV$14)+1,BE$5+3)),"")</f>
        <v/>
      </c>
      <c r="BF30" s="116">
        <f t="array" ref="BF30">IFERROR(_xlfn.SINGLE(INDEX(DATABASE!$AV$14:$BC$968,SUMPRODUCT((ROW(DATABASE!$AV$14:$AV$968)) * (DATABASE!$AV$14:CY$968='Résultats Projection'!$A30 ) * (DATABASE!$AW$14:$AW$968= BF$4))-ROW(DATABASE!$AV$14)+1,BF$5+3)),"")</f>
        <v/>
      </c>
      <c r="BG30" s="116">
        <f t="array" ref="BG30">IFERROR(_xlfn.SINGLE(INDEX(DATABASE!$AV$14:$BC$968,SUMPRODUCT((ROW(DATABASE!$AV$14:$AV$968)) * (DATABASE!$AV$14:CZ$968='Résultats Projection'!$A30 ) * (DATABASE!$AW$14:$AW$968= BG$4))-ROW(DATABASE!$AV$14)+1,BG$5+3)),"")</f>
        <v/>
      </c>
      <c r="BH30" s="116">
        <f t="array" ref="BH30">IFERROR(_xlfn.SINGLE(INDEX(DATABASE!$AV$14:$BC$968,SUMPRODUCT((ROW(DATABASE!$AV$14:$AV$968)) * (DATABASE!$AV$14:DA$968='Résultats Projection'!$A30 ) * (DATABASE!$AW$14:$AW$968= BH$4))-ROW(DATABASE!$AV$14)+1,BH$5+3)),"")</f>
        <v/>
      </c>
      <c r="BI30" s="116">
        <f t="array" ref="BI30">IFERROR(_xlfn.SINGLE(INDEX(DATABASE!$AV$14:$BC$968,SUMPRODUCT((ROW(DATABASE!$AV$14:$AV$968)) * (DATABASE!$AV$14:DB$968='Résultats Projection'!$A30 ) * (DATABASE!$AW$14:$AW$968= BI$4))-ROW(DATABASE!$AV$14)+1,BI$5+3)),"")</f>
        <v/>
      </c>
      <c r="BJ30" s="116">
        <f t="array" ref="BJ30">IFERROR(_xlfn.SINGLE(INDEX(DATABASE!$AV$14:$BC$968,SUMPRODUCT((ROW(DATABASE!$AV$14:$AV$968)) * (DATABASE!$AV$14:DC$968='Résultats Projection'!$A30 ) * (DATABASE!$AW$14:$AW$968= BJ$4))-ROW(DATABASE!$AV$14)+1,BJ$5+3)),"")</f>
        <v/>
      </c>
    </row>
    <row r="31" ht="29.25" customFormat="1" customHeight="1" s="28">
      <c r="A31" s="124" t="n">
        <v>45622</v>
      </c>
      <c r="B31" s="8">
        <f>A31-A$10</f>
        <v/>
      </c>
      <c r="C31" s="116">
        <f t="array" ref="C31">IFERROR(_xlfn.SINGLE(INDEX(DATABASE!$AV$14:$BC$968,SUMPRODUCT((ROW(DATABASE!$AV$14:$AV$968)) * (DATABASE!AV$14:$AV$968='Résultats Projection'!$A31 ) * (DATABASE!$AW$14:$AW$968= C$4))-ROW(DATABASE!$AV$14)+1,C$5+3)),"")</f>
        <v/>
      </c>
      <c r="D31" s="116">
        <f t="array" ref="D31">IFERROR(_xlfn.SINGLE(INDEX(DATABASE!$AV$14:$BC$968,SUMPRODUCT((ROW(DATABASE!$AV$14:$AV$968)) * (DATABASE!$AV$14:AW$968='Résultats Projection'!$A31 ) * (DATABASE!$AW$14:$AW$968= D$4))-ROW(DATABASE!$AV$14)+1,D$5+3)),"")</f>
        <v/>
      </c>
      <c r="E31" s="116">
        <f t="array" ref="E31">IFERROR(_xlfn.SINGLE(INDEX(DATABASE!$AV$14:$BC$968,SUMPRODUCT((ROW(DATABASE!$AV$14:$AV$968)) * (DATABASE!$AV$14:AX$968='Résultats Projection'!$A31 ) * (DATABASE!$AW$14:$AW$968= E$4))-ROW(DATABASE!$AV$14)+1,E$5+3)),"")</f>
        <v/>
      </c>
      <c r="F31" s="116">
        <f t="array" ref="F31">IFERROR(_xlfn.SINGLE(INDEX(DATABASE!$AV$14:$BC$968,SUMPRODUCT((ROW(DATABASE!$AV$14:$AV$968)) * (DATABASE!$AV$14:AY$968='Résultats Projection'!$A31 ) * (DATABASE!$AW$14:$AW$968= F$4))-ROW(DATABASE!$AV$14)+1,F$5+3)),"")</f>
        <v/>
      </c>
      <c r="G31" s="116">
        <f t="array" ref="G31">IFERROR(_xlfn.SINGLE(INDEX(DATABASE!$AV$14:$BC$968,SUMPRODUCT((ROW(DATABASE!$AV$14:$AV$968)) * (DATABASE!$AV$14:AZ$968='Résultats Projection'!$A31 ) * (DATABASE!$AW$14:$AW$968= G$4))-ROW(DATABASE!$AV$14)+1,G$5+3)),"")</f>
        <v/>
      </c>
      <c r="H31" s="116">
        <f t="array" ref="H31">IFERROR(_xlfn.SINGLE(INDEX(DATABASE!$AV$14:$BC$968,SUMPRODUCT((ROW(DATABASE!$AV$14:$AV$968)) * (DATABASE!$AV$14:BA$968='Résultats Projection'!$A31 ) * (DATABASE!$AW$14:$AW$968= H$4))-ROW(DATABASE!$AV$14)+1,H$5+3)),"")</f>
        <v/>
      </c>
      <c r="I31" s="116">
        <f t="array" ref="I31">IFERROR(_xlfn.SINGLE(INDEX(DATABASE!$AV$14:$BC$968,SUMPRODUCT((ROW(DATABASE!$AV$14:$AV$968)) * (DATABASE!$AV$14:BB$968='Résultats Projection'!$A31 ) * (DATABASE!$AW$14:$AW$968= I$4))-ROW(DATABASE!$AV$14)+1,I$5+3)),"")</f>
        <v/>
      </c>
      <c r="J31" s="116">
        <f t="array" ref="J31">IFERROR(_xlfn.SINGLE(INDEX(DATABASE!$AV$14:$BC$968,SUMPRODUCT((ROW(DATABASE!$AV$14:$AV$968)) * (DATABASE!$AV$14:BC$968='Résultats Projection'!$A31 ) * (DATABASE!$AW$14:$AW$968= J$4))-ROW(DATABASE!$AV$14)+1,J$5+3)),"")</f>
        <v/>
      </c>
      <c r="K31" s="116">
        <f t="array" ref="K31">IFERROR(_xlfn.SINGLE(INDEX(DATABASE!$AV$14:$BC$968,SUMPRODUCT((ROW(DATABASE!$AV$14:$AV$968)) * (DATABASE!$AV$14:BD$968='Résultats Projection'!$A31 ) * (DATABASE!$AW$14:$AW$968= K$4))-ROW(DATABASE!$AV$14)+1,K$5+3)),"")</f>
        <v/>
      </c>
      <c r="L31" s="116">
        <f t="array" ref="L31">IFERROR(_xlfn.SINGLE(INDEX(DATABASE!$AV$14:$BC$968,SUMPRODUCT((ROW(DATABASE!$AV$14:$AV$968)) * (DATABASE!$AV$14:BE$968='Résultats Projection'!$A31 ) * (DATABASE!$AW$14:$AW$968= L$4))-ROW(DATABASE!$AV$14)+1,L$5+3)),"")</f>
        <v/>
      </c>
      <c r="M31" s="116">
        <f t="array" ref="M31">IFERROR(_xlfn.SINGLE(INDEX(DATABASE!$AV$14:$BC$968,SUMPRODUCT((ROW(DATABASE!$AV$14:$AV$968)) * (DATABASE!$AV$14:BF$968='Résultats Projection'!$A31 ) * (DATABASE!$AW$14:$AW$968= M$4))-ROW(DATABASE!$AV$14)+1,M$5+3)),"")</f>
        <v/>
      </c>
      <c r="N31" s="116">
        <f t="array" ref="N31">IFERROR(_xlfn.SINGLE(INDEX(DATABASE!$AV$14:$BC$968,SUMPRODUCT((ROW(DATABASE!$AV$14:$AV$968)) * (DATABASE!$AV$14:BG$968='Résultats Projection'!$A31 ) * (DATABASE!$AW$14:$AW$968= N$4))-ROW(DATABASE!$AV$14)+1,N$5+3)),"")</f>
        <v/>
      </c>
      <c r="O31" s="116">
        <f t="array" ref="O31">IFERROR(_xlfn.SINGLE(INDEX(DATABASE!$AV$14:$BC$968,SUMPRODUCT((ROW(DATABASE!$AV$14:$AV$968)) * (DATABASE!$AV$14:BH$968='Résultats Projection'!$A31 ) * (DATABASE!$AW$14:$AW$968= O$4))-ROW(DATABASE!$AV$14)+1,O$5+3)),"")</f>
        <v/>
      </c>
      <c r="P31" s="116">
        <f t="array" ref="P31">IFERROR(_xlfn.SINGLE(INDEX(DATABASE!$AV$14:$BC$968,SUMPRODUCT((ROW(DATABASE!$AV$14:$AV$968)) * (DATABASE!$AV$14:BI$968='Résultats Projection'!$A31 ) * (DATABASE!$AW$14:$AW$968= P$4))-ROW(DATABASE!$AV$14)+1,P$5+3)),"")</f>
        <v/>
      </c>
      <c r="Q31" s="116">
        <f t="array" ref="Q31">IFERROR(_xlfn.SINGLE(INDEX(DATABASE!$AV$14:$BC$968,SUMPRODUCT((ROW(DATABASE!$AV$14:$AV$968)) * (DATABASE!$AV$14:BJ$968='Résultats Projection'!$A31 ) * (DATABASE!$AW$14:$AW$968= Q$4))-ROW(DATABASE!$AV$14)+1,Q$5+3)),"")</f>
        <v/>
      </c>
      <c r="R31" s="116">
        <f t="array" ref="R31">IFERROR(_xlfn.SINGLE(INDEX(DATABASE!$AV$14:$BC$968,SUMPRODUCT((ROW(DATABASE!$AV$14:$AV$968)) * (DATABASE!$AV$14:BK$968='Résultats Projection'!$A31 ) * (DATABASE!$AW$14:$AW$968= R$4))-ROW(DATABASE!$AV$14)+1,R$5+3)),"")</f>
        <v/>
      </c>
      <c r="S31" s="116">
        <f t="array" ref="S31">IFERROR(_xlfn.SINGLE(INDEX(DATABASE!$AV$14:$BC$968,SUMPRODUCT((ROW(DATABASE!$AV$14:$AV$968)) * (DATABASE!$AV$14:BL$968='Résultats Projection'!$A31 ) * (DATABASE!$AW$14:$AW$968= S$4))-ROW(DATABASE!$AV$14)+1,S$5+3)),"")</f>
        <v/>
      </c>
      <c r="T31" s="116">
        <f t="array" ref="T31">IFERROR(_xlfn.SINGLE(INDEX(DATABASE!$AV$14:$BC$968,SUMPRODUCT((ROW(DATABASE!$AV$14:$AV$968)) * (DATABASE!$AV$14:BM$968='Résultats Projection'!$A31 ) * (DATABASE!$AW$14:$AW$968= T$4))-ROW(DATABASE!$AV$14)+1,T$5+3)),"")</f>
        <v/>
      </c>
      <c r="U31" s="116">
        <f t="array" ref="U31">IFERROR(_xlfn.SINGLE(INDEX(DATABASE!$AV$14:$BC$968,SUMPRODUCT((ROW(DATABASE!$AV$14:$AV$968)) * (DATABASE!$AV$14:BN$968='Résultats Projection'!$A31 ) * (DATABASE!$AW$14:$AW$968= U$4))-ROW(DATABASE!$AV$14)+1,U$5+3)),"")</f>
        <v/>
      </c>
      <c r="V31" s="116">
        <f t="array" ref="V31">IFERROR(_xlfn.SINGLE(INDEX(DATABASE!$AV$14:$BC$968,SUMPRODUCT((ROW(DATABASE!$AV$14:$AV$968)) * (DATABASE!$AV$14:BO$968='Résultats Projection'!$A31 ) * (DATABASE!$AW$14:$AW$968= V$4))-ROW(DATABASE!$AV$14)+1,V$5+3)),"")</f>
        <v/>
      </c>
      <c r="W31" s="116">
        <f t="array" ref="W31">IFERROR(_xlfn.SINGLE(INDEX(DATABASE!$AV$14:$BC$968,SUMPRODUCT((ROW(DATABASE!$AV$14:$AV$968)) * (DATABASE!$AV$14:BP$968='Résultats Projection'!$A31 ) * (DATABASE!$AW$14:$AW$968= W$4))-ROW(DATABASE!$AV$14)+1,W$5+3)),"")</f>
        <v/>
      </c>
      <c r="X31" s="116">
        <f t="array" ref="X31">IFERROR(_xlfn.SINGLE(INDEX(DATABASE!$AV$14:$BC$968,SUMPRODUCT((ROW(DATABASE!$AV$14:$AV$968)) * (DATABASE!$AV$14:BQ$968='Résultats Projection'!$A31 ) * (DATABASE!$AW$14:$AW$968= X$4))-ROW(DATABASE!$AV$14)+1,X$5+3)),"")</f>
        <v/>
      </c>
      <c r="Y31" s="116">
        <f t="array" ref="Y31">IFERROR(_xlfn.SINGLE(INDEX(DATABASE!$AV$14:$BC$968,SUMPRODUCT((ROW(DATABASE!$AV$14:$AV$968)) * (DATABASE!$AV$14:BR$968='Résultats Projection'!$A31 ) * (DATABASE!$AW$14:$AW$968= Y$4))-ROW(DATABASE!$AV$14)+1,Y$5+3)),"")</f>
        <v/>
      </c>
      <c r="Z31" s="116">
        <f t="array" ref="Z31">IFERROR(_xlfn.SINGLE(INDEX(DATABASE!$AV$14:$BC$968,SUMPRODUCT((ROW(DATABASE!$AV$14:$AV$968)) * (DATABASE!$AV$14:BS$968='Résultats Projection'!$A31 ) * (DATABASE!$AW$14:$AW$968= Z$4))-ROW(DATABASE!$AV$14)+1,Z$5+3)),"")</f>
        <v/>
      </c>
      <c r="AA31" s="116">
        <f t="array" ref="AA31">IFERROR(_xlfn.SINGLE(INDEX(DATABASE!$AV$14:$BC$968,SUMPRODUCT((ROW(DATABASE!$AV$14:$AV$968)) * (DATABASE!$AV$14:BT$968='Résultats Projection'!$A31 ) * (DATABASE!$AW$14:$AW$968= AA$4))-ROW(DATABASE!$AV$14)+1,AA$5+3)),"")</f>
        <v/>
      </c>
      <c r="AB31" s="116">
        <f t="array" ref="AB31">IFERROR(_xlfn.SINGLE(INDEX(DATABASE!$AV$14:$BC$968,SUMPRODUCT((ROW(DATABASE!$AV$14:$AV$968)) * (DATABASE!$AV$14:BU$968='Résultats Projection'!$A31 ) * (DATABASE!$AW$14:$AW$968= AB$4))-ROW(DATABASE!$AV$14)+1,AB$5+3)),"")</f>
        <v/>
      </c>
      <c r="AC31" s="116">
        <f t="array" ref="AC31">IFERROR(_xlfn.SINGLE(INDEX(DATABASE!$AV$14:$BC$968,SUMPRODUCT((ROW(DATABASE!$AV$14:$AV$968)) * (DATABASE!$AV$14:BV$968='Résultats Projection'!$A31 ) * (DATABASE!$AW$14:$AW$968= AC$4))-ROW(DATABASE!$AV$14)+1,AC$5+3)),"")</f>
        <v/>
      </c>
      <c r="AD31" s="116">
        <f t="array" ref="AD31">IFERROR(_xlfn.SINGLE(INDEX(DATABASE!$AV$14:$BC$968,SUMPRODUCT((ROW(DATABASE!$AV$14:$AV$968)) * (DATABASE!$AV$14:BW$968='Résultats Projection'!$A31 ) * (DATABASE!$AW$14:$AW$968= AD$4))-ROW(DATABASE!$AV$14)+1,AD$5+3)),"")</f>
        <v/>
      </c>
      <c r="AE31" s="116">
        <f t="array" ref="AE31">IFERROR(_xlfn.SINGLE(INDEX(DATABASE!$AV$14:$BC$968,SUMPRODUCT((ROW(DATABASE!$AV$14:$AV$968)) * (DATABASE!$AV$14:BX$968='Résultats Projection'!$A31 ) * (DATABASE!$AW$14:$AW$968= AE$4))-ROW(DATABASE!$AV$14)+1,AE$5+3)),"")</f>
        <v/>
      </c>
      <c r="AF31" s="116">
        <f t="array" ref="AF31">IFERROR(_xlfn.SINGLE(INDEX(DATABASE!$AV$14:$BC$968,SUMPRODUCT((ROW(DATABASE!$AV$14:$AV$968)) * (DATABASE!$AV$14:BY$968='Résultats Projection'!$A31 ) * (DATABASE!$AW$14:$AW$968= AF$4))-ROW(DATABASE!$AV$14)+1,AF$5+3)),"")</f>
        <v/>
      </c>
      <c r="AG31" s="116">
        <f t="array" ref="AG31">IFERROR(_xlfn.SINGLE(INDEX(DATABASE!$AV$14:$BC$968,SUMPRODUCT((ROW(DATABASE!$AV$14:$AV$968)) * (DATABASE!$AV$14:BZ$968='Résultats Projection'!$A31 ) * (DATABASE!$AW$14:$AW$968= AG$4))-ROW(DATABASE!$AV$14)+1,AG$5+3)),"")</f>
        <v/>
      </c>
      <c r="AH31" s="116">
        <f t="array" ref="AH31">IFERROR(_xlfn.SINGLE(INDEX(DATABASE!$AV$14:$BC$968,SUMPRODUCT((ROW(DATABASE!$AV$14:$AV$968)) * (DATABASE!$AV$14:CA$968='Résultats Projection'!$A31 ) * (DATABASE!$AW$14:$AW$968= AH$4))-ROW(DATABASE!$AV$14)+1,AH$5+3)),"")</f>
        <v/>
      </c>
      <c r="AI31" s="116">
        <f t="array" ref="AI31">IFERROR(_xlfn.SINGLE(INDEX(DATABASE!$AV$14:$BC$968,SUMPRODUCT((ROW(DATABASE!$AV$14:$AV$968)) * (DATABASE!$AV$14:CB$968='Résultats Projection'!$A31 ) * (DATABASE!$AW$14:$AW$968= AI$4))-ROW(DATABASE!$AV$14)+1,AI$5+3)),"")</f>
        <v/>
      </c>
      <c r="AJ31" s="116">
        <f t="array" ref="AJ31">IFERROR(_xlfn.SINGLE(INDEX(DATABASE!$AV$14:$BC$968,SUMPRODUCT((ROW(DATABASE!$AV$14:$AV$968)) * (DATABASE!$AV$14:CC$968='Résultats Projection'!$A31 ) * (DATABASE!$AW$14:$AW$968= AJ$4))-ROW(DATABASE!$AV$14)+1,AJ$5+3)),"")</f>
        <v/>
      </c>
      <c r="AK31" s="116">
        <f t="array" ref="AK31">IFERROR(_xlfn.SINGLE(INDEX(DATABASE!$AV$14:$BC$968,SUMPRODUCT((ROW(DATABASE!$AV$14:$AV$968)) * (DATABASE!$AV$14:CD$968='Résultats Projection'!$A31 ) * (DATABASE!$AW$14:$AW$968= AK$4))-ROW(DATABASE!$AV$14)+1,AK$5+3)),"")</f>
        <v/>
      </c>
      <c r="AL31" s="116">
        <f t="array" ref="AL31">IFERROR(_xlfn.SINGLE(INDEX(DATABASE!$AV$14:$BC$968,SUMPRODUCT((ROW(DATABASE!$AV$14:$AV$968)) * (DATABASE!$AV$14:CE$968='Résultats Projection'!$A31 ) * (DATABASE!$AW$14:$AW$968= AL$4))-ROW(DATABASE!$AV$14)+1,AL$5+3)),"")</f>
        <v/>
      </c>
      <c r="AM31" s="116">
        <f t="array" ref="AM31">IFERROR(_xlfn.SINGLE(INDEX(DATABASE!$AV$14:$BC$968,SUMPRODUCT((ROW(DATABASE!$AV$14:$AV$968)) * (DATABASE!$AV$14:CF$968='Résultats Projection'!$A31 ) * (DATABASE!$AW$14:$AW$968= AM$4))-ROW(DATABASE!$AV$14)+1,AM$5+3)),"")</f>
        <v/>
      </c>
      <c r="AN31" s="116">
        <f t="array" ref="AN31">IFERROR(_xlfn.SINGLE(INDEX(DATABASE!$AV$14:$BC$968,SUMPRODUCT((ROW(DATABASE!$AV$14:$AV$968)) * (DATABASE!$AV$14:CG$968='Résultats Projection'!$A31 ) * (DATABASE!$AW$14:$AW$968= AN$4))-ROW(DATABASE!$AV$14)+1,AN$5+3)),"")</f>
        <v/>
      </c>
      <c r="AO31" s="116">
        <f t="array" ref="AO31">IFERROR(_xlfn.SINGLE(INDEX(DATABASE!$AV$14:$BC$968,SUMPRODUCT((ROW(DATABASE!$AV$14:$AV$968)) * (DATABASE!$AV$14:CH$968='Résultats Projection'!$A31 ) * (DATABASE!$AW$14:$AW$968= AO$4))-ROW(DATABASE!$AV$14)+1,AO$5+3)),"")</f>
        <v/>
      </c>
      <c r="AP31" s="116">
        <f t="array" ref="AP31">IFERROR(_xlfn.SINGLE(INDEX(DATABASE!$AV$14:$BC$968,SUMPRODUCT((ROW(DATABASE!$AV$14:$AV$968)) * (DATABASE!$AV$14:CI$968='Résultats Projection'!$A31 ) * (DATABASE!$AW$14:$AW$968= AP$4))-ROW(DATABASE!$AV$14)+1,AP$5+3)),"")</f>
        <v/>
      </c>
      <c r="AQ31" s="116">
        <f t="array" ref="AQ31">IFERROR(_xlfn.SINGLE(INDEX(DATABASE!$AV$14:$BC$968,SUMPRODUCT((ROW(DATABASE!$AV$14:$AV$968)) * (DATABASE!$AV$14:CJ$968='Résultats Projection'!$A31 ) * (DATABASE!$AW$14:$AW$968= AQ$4))-ROW(DATABASE!$AV$14)+1,AQ$5+3)),"")</f>
        <v/>
      </c>
      <c r="AR31" s="116">
        <f t="array" ref="AR31">IFERROR(_xlfn.SINGLE(INDEX(DATABASE!$AV$14:$BC$968,SUMPRODUCT((ROW(DATABASE!$AV$14:$AV$968)) * (DATABASE!$AV$14:CK$968='Résultats Projection'!$A31 ) * (DATABASE!$AW$14:$AW$968= AR$4))-ROW(DATABASE!$AV$14)+1,AR$5+3)),"")</f>
        <v/>
      </c>
      <c r="AS31" s="116">
        <f t="array" ref="AS31">IFERROR(_xlfn.SINGLE(INDEX(DATABASE!$AV$14:$BC$968,SUMPRODUCT((ROW(DATABASE!$AV$14:$AV$968)) * (DATABASE!$AV$14:CL$968='Résultats Projection'!$A31 ) * (DATABASE!$AW$14:$AW$968= AS$4))-ROW(DATABASE!$AV$14)+1,AS$5+3)),"")</f>
        <v/>
      </c>
      <c r="AT31" s="116">
        <f t="array" ref="AT31">IFERROR(_xlfn.SINGLE(INDEX(DATABASE!$AV$14:$BC$968,SUMPRODUCT((ROW(DATABASE!$AV$14:$AV$968)) * (DATABASE!$AV$14:CM$968='Résultats Projection'!$A31 ) * (DATABASE!$AW$14:$AW$968= AT$4))-ROW(DATABASE!$AV$14)+1,AT$5+3)),"")</f>
        <v/>
      </c>
      <c r="AU31" s="116">
        <f t="array" ref="AU31">IFERROR(_xlfn.SINGLE(INDEX(DATABASE!$AV$14:$BC$968,SUMPRODUCT((ROW(DATABASE!$AV$14:$AV$968)) * (DATABASE!$AV$14:CN$968='Résultats Projection'!$A31 ) * (DATABASE!$AW$14:$AW$968= AU$4))-ROW(DATABASE!$AV$14)+1,AU$5+3)),"")</f>
        <v/>
      </c>
      <c r="AV31" s="116">
        <f t="array" ref="AV31">IFERROR(_xlfn.SINGLE(INDEX(DATABASE!$AV$14:$BC$968,SUMPRODUCT((ROW(DATABASE!$AV$14:$AV$968)) * (DATABASE!$AV$14:CO$968='Résultats Projection'!$A31 ) * (DATABASE!$AW$14:$AW$968= AV$4))-ROW(DATABASE!$AV$14)+1,AV$5+3)),"")</f>
        <v/>
      </c>
      <c r="AW31" s="116">
        <f t="array" ref="AW31">IFERROR(_xlfn.SINGLE(INDEX(DATABASE!$AV$14:$BC$968,SUMPRODUCT((ROW(DATABASE!$AV$14:$AV$968)) * (DATABASE!$AV$14:CP$968='Résultats Projection'!$A31 ) * (DATABASE!$AW$14:$AW$968= AW$4))-ROW(DATABASE!$AV$14)+1,AW$5+3)),"")</f>
        <v/>
      </c>
      <c r="AX31" s="116">
        <f t="array" ref="AX31">IFERROR(_xlfn.SINGLE(INDEX(DATABASE!$AV$14:$BC$968,SUMPRODUCT((ROW(DATABASE!$AV$14:$AV$968)) * (DATABASE!$AV$14:CQ$968='Résultats Projection'!$A31 ) * (DATABASE!$AW$14:$AW$968= AX$4))-ROW(DATABASE!$AV$14)+1,AX$5+3)),"")</f>
        <v/>
      </c>
      <c r="AY31" s="116">
        <f t="array" ref="AY31">IFERROR(_xlfn.SINGLE(INDEX(DATABASE!$AV$14:$BC$968,SUMPRODUCT((ROW(DATABASE!$AV$14:$AV$968)) * (DATABASE!$AV$14:CR$968='Résultats Projection'!$A31 ) * (DATABASE!$AW$14:$AW$968= AY$4))-ROW(DATABASE!$AV$14)+1,AY$5+3)),"")</f>
        <v/>
      </c>
      <c r="AZ31" s="116">
        <f t="array" ref="AZ31">IFERROR(_xlfn.SINGLE(INDEX(DATABASE!$AV$14:$BC$968,SUMPRODUCT((ROW(DATABASE!$AV$14:$AV$968)) * (DATABASE!$AV$14:CS$968='Résultats Projection'!$A31 ) * (DATABASE!$AW$14:$AW$968= AZ$4))-ROW(DATABASE!$AV$14)+1,AZ$5+3)),"")</f>
        <v/>
      </c>
      <c r="BA31" s="116">
        <f t="array" ref="BA31">IFERROR(_xlfn.SINGLE(INDEX(DATABASE!$AV$14:$BC$968,SUMPRODUCT((ROW(DATABASE!$AV$14:$AV$968)) * (DATABASE!$AV$14:CT$968='Résultats Projection'!$A31 ) * (DATABASE!$AW$14:$AW$968= BA$4))-ROW(DATABASE!$AV$14)+1,BA$5+3)),"")</f>
        <v/>
      </c>
      <c r="BB31" s="116">
        <f t="array" ref="BB31">IFERROR(_xlfn.SINGLE(INDEX(DATABASE!$AV$14:$BC$968,SUMPRODUCT((ROW(DATABASE!$AV$14:$AV$968)) * (DATABASE!$AV$14:CU$968='Résultats Projection'!$A31 ) * (DATABASE!$AW$14:$AW$968= BB$4))-ROW(DATABASE!$AV$14)+1,BB$5+3)),"")</f>
        <v/>
      </c>
      <c r="BC31" s="116">
        <f t="array" ref="BC31">IFERROR(_xlfn.SINGLE(INDEX(DATABASE!$AV$14:$BC$968,SUMPRODUCT((ROW(DATABASE!$AV$14:$AV$968)) * (DATABASE!$AV$14:CV$968='Résultats Projection'!$A31 ) * (DATABASE!$AW$14:$AW$968= BC$4))-ROW(DATABASE!$AV$14)+1,BC$5+3)),"")</f>
        <v/>
      </c>
      <c r="BD31" s="116">
        <f t="array" ref="BD31">IFERROR(_xlfn.SINGLE(INDEX(DATABASE!$AV$14:$BC$968,SUMPRODUCT((ROW(DATABASE!$AV$14:$AV$968)) * (DATABASE!$AV$14:CW$968='Résultats Projection'!$A31 ) * (DATABASE!$AW$14:$AW$968= BD$4))-ROW(DATABASE!$AV$14)+1,BD$5+3)),"")</f>
        <v/>
      </c>
      <c r="BE31" s="116">
        <f t="array" ref="BE31">IFERROR(_xlfn.SINGLE(INDEX(DATABASE!$AV$14:$BC$968,SUMPRODUCT((ROW(DATABASE!$AV$14:$AV$968)) * (DATABASE!$AV$14:CX$968='Résultats Projection'!$A31 ) * (DATABASE!$AW$14:$AW$968= BE$4))-ROW(DATABASE!$AV$14)+1,BE$5+3)),"")</f>
        <v/>
      </c>
      <c r="BF31" s="116">
        <f t="array" ref="BF31">IFERROR(_xlfn.SINGLE(INDEX(DATABASE!$AV$14:$BC$968,SUMPRODUCT((ROW(DATABASE!$AV$14:$AV$968)) * (DATABASE!$AV$14:CY$968='Résultats Projection'!$A31 ) * (DATABASE!$AW$14:$AW$968= BF$4))-ROW(DATABASE!$AV$14)+1,BF$5+3)),"")</f>
        <v/>
      </c>
      <c r="BG31" s="116">
        <f t="array" ref="BG31">IFERROR(_xlfn.SINGLE(INDEX(DATABASE!$AV$14:$BC$968,SUMPRODUCT((ROW(DATABASE!$AV$14:$AV$968)) * (DATABASE!$AV$14:CZ$968='Résultats Projection'!$A31 ) * (DATABASE!$AW$14:$AW$968= BG$4))-ROW(DATABASE!$AV$14)+1,BG$5+3)),"")</f>
        <v/>
      </c>
      <c r="BH31" s="116">
        <f t="array" ref="BH31">IFERROR(_xlfn.SINGLE(INDEX(DATABASE!$AV$14:$BC$968,SUMPRODUCT((ROW(DATABASE!$AV$14:$AV$968)) * (DATABASE!$AV$14:DA$968='Résultats Projection'!$A31 ) * (DATABASE!$AW$14:$AW$968= BH$4))-ROW(DATABASE!$AV$14)+1,BH$5+3)),"")</f>
        <v/>
      </c>
      <c r="BI31" s="116">
        <f t="array" ref="BI31">IFERROR(_xlfn.SINGLE(INDEX(DATABASE!$AV$14:$BC$968,SUMPRODUCT((ROW(DATABASE!$AV$14:$AV$968)) * (DATABASE!$AV$14:DB$968='Résultats Projection'!$A31 ) * (DATABASE!$AW$14:$AW$968= BI$4))-ROW(DATABASE!$AV$14)+1,BI$5+3)),"")</f>
        <v/>
      </c>
      <c r="BJ31" s="116">
        <f t="array" ref="BJ31">IFERROR(_xlfn.SINGLE(INDEX(DATABASE!$AV$14:$BC$968,SUMPRODUCT((ROW(DATABASE!$AV$14:$AV$968)) * (DATABASE!$AV$14:DC$968='Résultats Projection'!$A31 ) * (DATABASE!$AW$14:$AW$968= BJ$4))-ROW(DATABASE!$AV$14)+1,BJ$5+3)),"")</f>
        <v/>
      </c>
    </row>
    <row r="32" ht="29.25" customFormat="1" customHeight="1" s="28">
      <c r="A32" s="124" t="n">
        <v>45644</v>
      </c>
      <c r="B32" s="8">
        <f>A32-A$10</f>
        <v/>
      </c>
      <c r="C32" s="116">
        <f t="array" ref="C32">IFERROR(_xlfn.SINGLE(INDEX(DATABASE!$AV$14:$BC$968,SUMPRODUCT((ROW(DATABASE!$AV$14:$AV$968)) * (DATABASE!AV$14:$AV$968='Résultats Projection'!$A32 ) * (DATABASE!$AW$14:$AW$968= C$4))-ROW(DATABASE!$AV$14)+1,C$5+3)),"")</f>
        <v/>
      </c>
      <c r="D32" s="116">
        <f t="array" ref="D32">IFERROR(_xlfn.SINGLE(INDEX(DATABASE!$AV$14:$BC$968,SUMPRODUCT((ROW(DATABASE!$AV$14:$AV$968)) * (DATABASE!$AV$14:AW$968='Résultats Projection'!$A32 ) * (DATABASE!$AW$14:$AW$968= D$4))-ROW(DATABASE!$AV$14)+1,D$5+3)),"")</f>
        <v/>
      </c>
      <c r="E32" s="116">
        <f t="array" ref="E32">IFERROR(_xlfn.SINGLE(INDEX(DATABASE!$AV$14:$BC$968,SUMPRODUCT((ROW(DATABASE!$AV$14:$AV$968)) * (DATABASE!$AV$14:AX$968='Résultats Projection'!$A32 ) * (DATABASE!$AW$14:$AW$968= E$4))-ROW(DATABASE!$AV$14)+1,E$5+3)),"")</f>
        <v/>
      </c>
      <c r="F32" s="116">
        <f t="array" ref="F32">IFERROR(_xlfn.SINGLE(INDEX(DATABASE!$AV$14:$BC$968,SUMPRODUCT((ROW(DATABASE!$AV$14:$AV$968)) * (DATABASE!$AV$14:AY$968='Résultats Projection'!$A32 ) * (DATABASE!$AW$14:$AW$968= F$4))-ROW(DATABASE!$AV$14)+1,F$5+3)),"")</f>
        <v/>
      </c>
      <c r="G32" s="116">
        <f t="array" ref="G32">IFERROR(_xlfn.SINGLE(INDEX(DATABASE!$AV$14:$BC$968,SUMPRODUCT((ROW(DATABASE!$AV$14:$AV$968)) * (DATABASE!$AV$14:AZ$968='Résultats Projection'!$A32 ) * (DATABASE!$AW$14:$AW$968= G$4))-ROW(DATABASE!$AV$14)+1,G$5+3)),"")</f>
        <v/>
      </c>
      <c r="H32" s="116">
        <f t="array" ref="H32">IFERROR(_xlfn.SINGLE(INDEX(DATABASE!$AV$14:$BC$968,SUMPRODUCT((ROW(DATABASE!$AV$14:$AV$968)) * (DATABASE!$AV$14:BA$968='Résultats Projection'!$A32 ) * (DATABASE!$AW$14:$AW$968= H$4))-ROW(DATABASE!$AV$14)+1,H$5+3)),"")</f>
        <v/>
      </c>
      <c r="I32" s="116">
        <f t="array" ref="I32">IFERROR(_xlfn.SINGLE(INDEX(DATABASE!$AV$14:$BC$968,SUMPRODUCT((ROW(DATABASE!$AV$14:$AV$968)) * (DATABASE!$AV$14:BB$968='Résultats Projection'!$A32 ) * (DATABASE!$AW$14:$AW$968= I$4))-ROW(DATABASE!$AV$14)+1,I$5+3)),"")</f>
        <v/>
      </c>
      <c r="J32" s="116">
        <f t="array" ref="J32">IFERROR(_xlfn.SINGLE(INDEX(DATABASE!$AV$14:$BC$968,SUMPRODUCT((ROW(DATABASE!$AV$14:$AV$968)) * (DATABASE!$AV$14:BC$968='Résultats Projection'!$A32 ) * (DATABASE!$AW$14:$AW$968= J$4))-ROW(DATABASE!$AV$14)+1,J$5+3)),"")</f>
        <v/>
      </c>
      <c r="K32" s="116">
        <f t="array" ref="K32">IFERROR(_xlfn.SINGLE(INDEX(DATABASE!$AV$14:$BC$968,SUMPRODUCT((ROW(DATABASE!$AV$14:$AV$968)) * (DATABASE!$AV$14:BD$968='Résultats Projection'!$A32 ) * (DATABASE!$AW$14:$AW$968= K$4))-ROW(DATABASE!$AV$14)+1,K$5+3)),"")</f>
        <v/>
      </c>
      <c r="L32" s="116">
        <f t="array" ref="L32">IFERROR(_xlfn.SINGLE(INDEX(DATABASE!$AV$14:$BC$968,SUMPRODUCT((ROW(DATABASE!$AV$14:$AV$968)) * (DATABASE!$AV$14:BE$968='Résultats Projection'!$A32 ) * (DATABASE!$AW$14:$AW$968= L$4))-ROW(DATABASE!$AV$14)+1,L$5+3)),"")</f>
        <v/>
      </c>
      <c r="M32" s="116">
        <f t="array" ref="M32">IFERROR(_xlfn.SINGLE(INDEX(DATABASE!$AV$14:$BC$968,SUMPRODUCT((ROW(DATABASE!$AV$14:$AV$968)) * (DATABASE!$AV$14:BF$968='Résultats Projection'!$A32 ) * (DATABASE!$AW$14:$AW$968= M$4))-ROW(DATABASE!$AV$14)+1,M$5+3)),"")</f>
        <v/>
      </c>
      <c r="N32" s="116">
        <f t="array" ref="N32">IFERROR(_xlfn.SINGLE(INDEX(DATABASE!$AV$14:$BC$968,SUMPRODUCT((ROW(DATABASE!$AV$14:$AV$968)) * (DATABASE!$AV$14:BG$968='Résultats Projection'!$A32 ) * (DATABASE!$AW$14:$AW$968= N$4))-ROW(DATABASE!$AV$14)+1,N$5+3)),"")</f>
        <v/>
      </c>
      <c r="O32" s="116">
        <f t="array" ref="O32">IFERROR(_xlfn.SINGLE(INDEX(DATABASE!$AV$14:$BC$968,SUMPRODUCT((ROW(DATABASE!$AV$14:$AV$968)) * (DATABASE!$AV$14:BH$968='Résultats Projection'!$A32 ) * (DATABASE!$AW$14:$AW$968= O$4))-ROW(DATABASE!$AV$14)+1,O$5+3)),"")</f>
        <v/>
      </c>
      <c r="P32" s="116">
        <f t="array" ref="P32">IFERROR(_xlfn.SINGLE(INDEX(DATABASE!$AV$14:$BC$968,SUMPRODUCT((ROW(DATABASE!$AV$14:$AV$968)) * (DATABASE!$AV$14:BI$968='Résultats Projection'!$A32 ) * (DATABASE!$AW$14:$AW$968= P$4))-ROW(DATABASE!$AV$14)+1,P$5+3)),"")</f>
        <v/>
      </c>
      <c r="Q32" s="116">
        <f t="array" ref="Q32">IFERROR(_xlfn.SINGLE(INDEX(DATABASE!$AV$14:$BC$968,SUMPRODUCT((ROW(DATABASE!$AV$14:$AV$968)) * (DATABASE!$AV$14:BJ$968='Résultats Projection'!$A32 ) * (DATABASE!$AW$14:$AW$968= Q$4))-ROW(DATABASE!$AV$14)+1,Q$5+3)),"")</f>
        <v/>
      </c>
      <c r="R32" s="116">
        <f t="array" ref="R32">IFERROR(_xlfn.SINGLE(INDEX(DATABASE!$AV$14:$BC$968,SUMPRODUCT((ROW(DATABASE!$AV$14:$AV$968)) * (DATABASE!$AV$14:BK$968='Résultats Projection'!$A32 ) * (DATABASE!$AW$14:$AW$968= R$4))-ROW(DATABASE!$AV$14)+1,R$5+3)),"")</f>
        <v/>
      </c>
      <c r="S32" s="116">
        <f t="array" ref="S32">IFERROR(_xlfn.SINGLE(INDEX(DATABASE!$AV$14:$BC$968,SUMPRODUCT((ROW(DATABASE!$AV$14:$AV$968)) * (DATABASE!$AV$14:BL$968='Résultats Projection'!$A32 ) * (DATABASE!$AW$14:$AW$968= S$4))-ROW(DATABASE!$AV$14)+1,S$5+3)),"")</f>
        <v/>
      </c>
      <c r="T32" s="116">
        <f t="array" ref="T32">IFERROR(_xlfn.SINGLE(INDEX(DATABASE!$AV$14:$BC$968,SUMPRODUCT((ROW(DATABASE!$AV$14:$AV$968)) * (DATABASE!$AV$14:BM$968='Résultats Projection'!$A32 ) * (DATABASE!$AW$14:$AW$968= T$4))-ROW(DATABASE!$AV$14)+1,T$5+3)),"")</f>
        <v/>
      </c>
      <c r="U32" s="116">
        <f t="array" ref="U32">IFERROR(_xlfn.SINGLE(INDEX(DATABASE!$AV$14:$BC$968,SUMPRODUCT((ROW(DATABASE!$AV$14:$AV$968)) * (DATABASE!$AV$14:BN$968='Résultats Projection'!$A32 ) * (DATABASE!$AW$14:$AW$968= U$4))-ROW(DATABASE!$AV$14)+1,U$5+3)),"")</f>
        <v/>
      </c>
      <c r="V32" s="116">
        <f t="array" ref="V32">IFERROR(_xlfn.SINGLE(INDEX(DATABASE!$AV$14:$BC$968,SUMPRODUCT((ROW(DATABASE!$AV$14:$AV$968)) * (DATABASE!$AV$14:BO$968='Résultats Projection'!$A32 ) * (DATABASE!$AW$14:$AW$968= V$4))-ROW(DATABASE!$AV$14)+1,V$5+3)),"")</f>
        <v/>
      </c>
      <c r="W32" s="116">
        <f t="array" ref="W32">IFERROR(_xlfn.SINGLE(INDEX(DATABASE!$AV$14:$BC$968,SUMPRODUCT((ROW(DATABASE!$AV$14:$AV$968)) * (DATABASE!$AV$14:BP$968='Résultats Projection'!$A32 ) * (DATABASE!$AW$14:$AW$968= W$4))-ROW(DATABASE!$AV$14)+1,W$5+3)),"")</f>
        <v/>
      </c>
      <c r="X32" s="116">
        <f t="array" ref="X32">IFERROR(_xlfn.SINGLE(INDEX(DATABASE!$AV$14:$BC$968,SUMPRODUCT((ROW(DATABASE!$AV$14:$AV$968)) * (DATABASE!$AV$14:BQ$968='Résultats Projection'!$A32 ) * (DATABASE!$AW$14:$AW$968= X$4))-ROW(DATABASE!$AV$14)+1,X$5+3)),"")</f>
        <v/>
      </c>
      <c r="Y32" s="116">
        <f t="array" ref="Y32">IFERROR(_xlfn.SINGLE(INDEX(DATABASE!$AV$14:$BC$968,SUMPRODUCT((ROW(DATABASE!$AV$14:$AV$968)) * (DATABASE!$AV$14:BR$968='Résultats Projection'!$A32 ) * (DATABASE!$AW$14:$AW$968= Y$4))-ROW(DATABASE!$AV$14)+1,Y$5+3)),"")</f>
        <v/>
      </c>
      <c r="Z32" s="116">
        <f t="array" ref="Z32">IFERROR(_xlfn.SINGLE(INDEX(DATABASE!$AV$14:$BC$968,SUMPRODUCT((ROW(DATABASE!$AV$14:$AV$968)) * (DATABASE!$AV$14:BS$968='Résultats Projection'!$A32 ) * (DATABASE!$AW$14:$AW$968= Z$4))-ROW(DATABASE!$AV$14)+1,Z$5+3)),"")</f>
        <v/>
      </c>
      <c r="AA32" s="116">
        <f t="array" ref="AA32">IFERROR(_xlfn.SINGLE(INDEX(DATABASE!$AV$14:$BC$968,SUMPRODUCT((ROW(DATABASE!$AV$14:$AV$968)) * (DATABASE!$AV$14:BT$968='Résultats Projection'!$A32 ) * (DATABASE!$AW$14:$AW$968= AA$4))-ROW(DATABASE!$AV$14)+1,AA$5+3)),"")</f>
        <v/>
      </c>
      <c r="AB32" s="116">
        <f t="array" ref="AB32">IFERROR(_xlfn.SINGLE(INDEX(DATABASE!$AV$14:$BC$968,SUMPRODUCT((ROW(DATABASE!$AV$14:$AV$968)) * (DATABASE!$AV$14:BU$968='Résultats Projection'!$A32 ) * (DATABASE!$AW$14:$AW$968= AB$4))-ROW(DATABASE!$AV$14)+1,AB$5+3)),"")</f>
        <v/>
      </c>
      <c r="AC32" s="116">
        <f t="array" ref="AC32">IFERROR(_xlfn.SINGLE(INDEX(DATABASE!$AV$14:$BC$968,SUMPRODUCT((ROW(DATABASE!$AV$14:$AV$968)) * (DATABASE!$AV$14:BV$968='Résultats Projection'!$A32 ) * (DATABASE!$AW$14:$AW$968= AC$4))-ROW(DATABASE!$AV$14)+1,AC$5+3)),"")</f>
        <v/>
      </c>
      <c r="AD32" s="116">
        <f t="array" ref="AD32">IFERROR(_xlfn.SINGLE(INDEX(DATABASE!$AV$14:$BC$968,SUMPRODUCT((ROW(DATABASE!$AV$14:$AV$968)) * (DATABASE!$AV$14:BW$968='Résultats Projection'!$A32 ) * (DATABASE!$AW$14:$AW$968= AD$4))-ROW(DATABASE!$AV$14)+1,AD$5+3)),"")</f>
        <v/>
      </c>
      <c r="AE32" s="116">
        <f t="array" ref="AE32">IFERROR(_xlfn.SINGLE(INDEX(DATABASE!$AV$14:$BC$968,SUMPRODUCT((ROW(DATABASE!$AV$14:$AV$968)) * (DATABASE!$AV$14:BX$968='Résultats Projection'!$A32 ) * (DATABASE!$AW$14:$AW$968= AE$4))-ROW(DATABASE!$AV$14)+1,AE$5+3)),"")</f>
        <v/>
      </c>
      <c r="AF32" s="116">
        <f t="array" ref="AF32">IFERROR(_xlfn.SINGLE(INDEX(DATABASE!$AV$14:$BC$968,SUMPRODUCT((ROW(DATABASE!$AV$14:$AV$968)) * (DATABASE!$AV$14:BY$968='Résultats Projection'!$A32 ) * (DATABASE!$AW$14:$AW$968= AF$4))-ROW(DATABASE!$AV$14)+1,AF$5+3)),"")</f>
        <v/>
      </c>
      <c r="AG32" s="116">
        <f t="array" ref="AG32">IFERROR(_xlfn.SINGLE(INDEX(DATABASE!$AV$14:$BC$968,SUMPRODUCT((ROW(DATABASE!$AV$14:$AV$968)) * (DATABASE!$AV$14:BZ$968='Résultats Projection'!$A32 ) * (DATABASE!$AW$14:$AW$968= AG$4))-ROW(DATABASE!$AV$14)+1,AG$5+3)),"")</f>
        <v/>
      </c>
      <c r="AH32" s="116">
        <f t="array" ref="AH32">IFERROR(_xlfn.SINGLE(INDEX(DATABASE!$AV$14:$BC$968,SUMPRODUCT((ROW(DATABASE!$AV$14:$AV$968)) * (DATABASE!$AV$14:CA$968='Résultats Projection'!$A32 ) * (DATABASE!$AW$14:$AW$968= AH$4))-ROW(DATABASE!$AV$14)+1,AH$5+3)),"")</f>
        <v/>
      </c>
      <c r="AI32" s="116">
        <f t="array" ref="AI32">IFERROR(_xlfn.SINGLE(INDEX(DATABASE!$AV$14:$BC$968,SUMPRODUCT((ROW(DATABASE!$AV$14:$AV$968)) * (DATABASE!$AV$14:CB$968='Résultats Projection'!$A32 ) * (DATABASE!$AW$14:$AW$968= AI$4))-ROW(DATABASE!$AV$14)+1,AI$5+3)),"")</f>
        <v/>
      </c>
      <c r="AJ32" s="116">
        <f t="array" ref="AJ32">IFERROR(_xlfn.SINGLE(INDEX(DATABASE!$AV$14:$BC$968,SUMPRODUCT((ROW(DATABASE!$AV$14:$AV$968)) * (DATABASE!$AV$14:CC$968='Résultats Projection'!$A32 ) * (DATABASE!$AW$14:$AW$968= AJ$4))-ROW(DATABASE!$AV$14)+1,AJ$5+3)),"")</f>
        <v/>
      </c>
      <c r="AK32" s="116">
        <f t="array" ref="AK32">IFERROR(_xlfn.SINGLE(INDEX(DATABASE!$AV$14:$BC$968,SUMPRODUCT((ROW(DATABASE!$AV$14:$AV$968)) * (DATABASE!$AV$14:CD$968='Résultats Projection'!$A32 ) * (DATABASE!$AW$14:$AW$968= AK$4))-ROW(DATABASE!$AV$14)+1,AK$5+3)),"")</f>
        <v/>
      </c>
      <c r="AL32" s="116">
        <f t="array" ref="AL32">IFERROR(_xlfn.SINGLE(INDEX(DATABASE!$AV$14:$BC$968,SUMPRODUCT((ROW(DATABASE!$AV$14:$AV$968)) * (DATABASE!$AV$14:CE$968='Résultats Projection'!$A32 ) * (DATABASE!$AW$14:$AW$968= AL$4))-ROW(DATABASE!$AV$14)+1,AL$5+3)),"")</f>
        <v/>
      </c>
      <c r="AM32" s="116">
        <f t="array" ref="AM32">IFERROR(_xlfn.SINGLE(INDEX(DATABASE!$AV$14:$BC$968,SUMPRODUCT((ROW(DATABASE!$AV$14:$AV$968)) * (DATABASE!$AV$14:CF$968='Résultats Projection'!$A32 ) * (DATABASE!$AW$14:$AW$968= AM$4))-ROW(DATABASE!$AV$14)+1,AM$5+3)),"")</f>
        <v/>
      </c>
      <c r="AN32" s="116">
        <f t="array" ref="AN32">IFERROR(_xlfn.SINGLE(INDEX(DATABASE!$AV$14:$BC$968,SUMPRODUCT((ROW(DATABASE!$AV$14:$AV$968)) * (DATABASE!$AV$14:CG$968='Résultats Projection'!$A32 ) * (DATABASE!$AW$14:$AW$968= AN$4))-ROW(DATABASE!$AV$14)+1,AN$5+3)),"")</f>
        <v/>
      </c>
      <c r="AO32" s="116">
        <f t="array" ref="AO32">IFERROR(_xlfn.SINGLE(INDEX(DATABASE!$AV$14:$BC$968,SUMPRODUCT((ROW(DATABASE!$AV$14:$AV$968)) * (DATABASE!$AV$14:CH$968='Résultats Projection'!$A32 ) * (DATABASE!$AW$14:$AW$968= AO$4))-ROW(DATABASE!$AV$14)+1,AO$5+3)),"")</f>
        <v/>
      </c>
      <c r="AP32" s="116">
        <f t="array" ref="AP32">IFERROR(_xlfn.SINGLE(INDEX(DATABASE!$AV$14:$BC$968,SUMPRODUCT((ROW(DATABASE!$AV$14:$AV$968)) * (DATABASE!$AV$14:CI$968='Résultats Projection'!$A32 ) * (DATABASE!$AW$14:$AW$968= AP$4))-ROW(DATABASE!$AV$14)+1,AP$5+3)),"")</f>
        <v/>
      </c>
      <c r="AQ32" s="116">
        <f t="array" ref="AQ32">IFERROR(_xlfn.SINGLE(INDEX(DATABASE!$AV$14:$BC$968,SUMPRODUCT((ROW(DATABASE!$AV$14:$AV$968)) * (DATABASE!$AV$14:CJ$968='Résultats Projection'!$A32 ) * (DATABASE!$AW$14:$AW$968= AQ$4))-ROW(DATABASE!$AV$14)+1,AQ$5+3)),"")</f>
        <v/>
      </c>
      <c r="AR32" s="116">
        <f t="array" ref="AR32">IFERROR(_xlfn.SINGLE(INDEX(DATABASE!$AV$14:$BC$968,SUMPRODUCT((ROW(DATABASE!$AV$14:$AV$968)) * (DATABASE!$AV$14:CK$968='Résultats Projection'!$A32 ) * (DATABASE!$AW$14:$AW$968= AR$4))-ROW(DATABASE!$AV$14)+1,AR$5+3)),"")</f>
        <v/>
      </c>
      <c r="AS32" s="116">
        <f t="array" ref="AS32">IFERROR(_xlfn.SINGLE(INDEX(DATABASE!$AV$14:$BC$968,SUMPRODUCT((ROW(DATABASE!$AV$14:$AV$968)) * (DATABASE!$AV$14:CL$968='Résultats Projection'!$A32 ) * (DATABASE!$AW$14:$AW$968= AS$4))-ROW(DATABASE!$AV$14)+1,AS$5+3)),"")</f>
        <v/>
      </c>
      <c r="AT32" s="116">
        <f t="array" ref="AT32">IFERROR(_xlfn.SINGLE(INDEX(DATABASE!$AV$14:$BC$968,SUMPRODUCT((ROW(DATABASE!$AV$14:$AV$968)) * (DATABASE!$AV$14:CM$968='Résultats Projection'!$A32 ) * (DATABASE!$AW$14:$AW$968= AT$4))-ROW(DATABASE!$AV$14)+1,AT$5+3)),"")</f>
        <v/>
      </c>
      <c r="AU32" s="116">
        <f t="array" ref="AU32">IFERROR(_xlfn.SINGLE(INDEX(DATABASE!$AV$14:$BC$968,SUMPRODUCT((ROW(DATABASE!$AV$14:$AV$968)) * (DATABASE!$AV$14:CN$968='Résultats Projection'!$A32 ) * (DATABASE!$AW$14:$AW$968= AU$4))-ROW(DATABASE!$AV$14)+1,AU$5+3)),"")</f>
        <v/>
      </c>
      <c r="AV32" s="116">
        <f t="array" ref="AV32">IFERROR(_xlfn.SINGLE(INDEX(DATABASE!$AV$14:$BC$968,SUMPRODUCT((ROW(DATABASE!$AV$14:$AV$968)) * (DATABASE!$AV$14:CO$968='Résultats Projection'!$A32 ) * (DATABASE!$AW$14:$AW$968= AV$4))-ROW(DATABASE!$AV$14)+1,AV$5+3)),"")</f>
        <v/>
      </c>
      <c r="AW32" s="116">
        <f t="array" ref="AW32">IFERROR(_xlfn.SINGLE(INDEX(DATABASE!$AV$14:$BC$968,SUMPRODUCT((ROW(DATABASE!$AV$14:$AV$968)) * (DATABASE!$AV$14:CP$968='Résultats Projection'!$A32 ) * (DATABASE!$AW$14:$AW$968= AW$4))-ROW(DATABASE!$AV$14)+1,AW$5+3)),"")</f>
        <v/>
      </c>
      <c r="AX32" s="116">
        <f t="array" ref="AX32">IFERROR(_xlfn.SINGLE(INDEX(DATABASE!$AV$14:$BC$968,SUMPRODUCT((ROW(DATABASE!$AV$14:$AV$968)) * (DATABASE!$AV$14:CQ$968='Résultats Projection'!$A32 ) * (DATABASE!$AW$14:$AW$968= AX$4))-ROW(DATABASE!$AV$14)+1,AX$5+3)),"")</f>
        <v/>
      </c>
      <c r="AY32" s="116">
        <f t="array" ref="AY32">IFERROR(_xlfn.SINGLE(INDEX(DATABASE!$AV$14:$BC$968,SUMPRODUCT((ROW(DATABASE!$AV$14:$AV$968)) * (DATABASE!$AV$14:CR$968='Résultats Projection'!$A32 ) * (DATABASE!$AW$14:$AW$968= AY$4))-ROW(DATABASE!$AV$14)+1,AY$5+3)),"")</f>
        <v/>
      </c>
      <c r="AZ32" s="116">
        <f t="array" ref="AZ32">IFERROR(_xlfn.SINGLE(INDEX(DATABASE!$AV$14:$BC$968,SUMPRODUCT((ROW(DATABASE!$AV$14:$AV$968)) * (DATABASE!$AV$14:CS$968='Résultats Projection'!$A32 ) * (DATABASE!$AW$14:$AW$968= AZ$4))-ROW(DATABASE!$AV$14)+1,AZ$5+3)),"")</f>
        <v/>
      </c>
      <c r="BA32" s="116">
        <f t="array" ref="BA32">IFERROR(_xlfn.SINGLE(INDEX(DATABASE!$AV$14:$BC$968,SUMPRODUCT((ROW(DATABASE!$AV$14:$AV$968)) * (DATABASE!$AV$14:CT$968='Résultats Projection'!$A32 ) * (DATABASE!$AW$14:$AW$968= BA$4))-ROW(DATABASE!$AV$14)+1,BA$5+3)),"")</f>
        <v/>
      </c>
      <c r="BB32" s="116">
        <f t="array" ref="BB32">IFERROR(_xlfn.SINGLE(INDEX(DATABASE!$AV$14:$BC$968,SUMPRODUCT((ROW(DATABASE!$AV$14:$AV$968)) * (DATABASE!$AV$14:CU$968='Résultats Projection'!$A32 ) * (DATABASE!$AW$14:$AW$968= BB$4))-ROW(DATABASE!$AV$14)+1,BB$5+3)),"")</f>
        <v/>
      </c>
      <c r="BC32" s="116">
        <f t="array" ref="BC32">IFERROR(_xlfn.SINGLE(INDEX(DATABASE!$AV$14:$BC$968,SUMPRODUCT((ROW(DATABASE!$AV$14:$AV$968)) * (DATABASE!$AV$14:CV$968='Résultats Projection'!$A32 ) * (DATABASE!$AW$14:$AW$968= BC$4))-ROW(DATABASE!$AV$14)+1,BC$5+3)),"")</f>
        <v/>
      </c>
      <c r="BD32" s="116">
        <f t="array" ref="BD32">IFERROR(_xlfn.SINGLE(INDEX(DATABASE!$AV$14:$BC$968,SUMPRODUCT((ROW(DATABASE!$AV$14:$AV$968)) * (DATABASE!$AV$14:CW$968='Résultats Projection'!$A32 ) * (DATABASE!$AW$14:$AW$968= BD$4))-ROW(DATABASE!$AV$14)+1,BD$5+3)),"")</f>
        <v/>
      </c>
      <c r="BE32" s="116">
        <f t="array" ref="BE32">IFERROR(_xlfn.SINGLE(INDEX(DATABASE!$AV$14:$BC$968,SUMPRODUCT((ROW(DATABASE!$AV$14:$AV$968)) * (DATABASE!$AV$14:CX$968='Résultats Projection'!$A32 ) * (DATABASE!$AW$14:$AW$968= BE$4))-ROW(DATABASE!$AV$14)+1,BE$5+3)),"")</f>
        <v/>
      </c>
      <c r="BF32" s="116">
        <f t="array" ref="BF32">IFERROR(_xlfn.SINGLE(INDEX(DATABASE!$AV$14:$BC$968,SUMPRODUCT((ROW(DATABASE!$AV$14:$AV$968)) * (DATABASE!$AV$14:CY$968='Résultats Projection'!$A32 ) * (DATABASE!$AW$14:$AW$968= BF$4))-ROW(DATABASE!$AV$14)+1,BF$5+3)),"")</f>
        <v/>
      </c>
      <c r="BG32" s="116">
        <f t="array" ref="BG32">IFERROR(_xlfn.SINGLE(INDEX(DATABASE!$AV$14:$BC$968,SUMPRODUCT((ROW(DATABASE!$AV$14:$AV$968)) * (DATABASE!$AV$14:CZ$968='Résultats Projection'!$A32 ) * (DATABASE!$AW$14:$AW$968= BG$4))-ROW(DATABASE!$AV$14)+1,BG$5+3)),"")</f>
        <v/>
      </c>
      <c r="BH32" s="116">
        <f t="array" ref="BH32">IFERROR(_xlfn.SINGLE(INDEX(DATABASE!$AV$14:$BC$968,SUMPRODUCT((ROW(DATABASE!$AV$14:$AV$968)) * (DATABASE!$AV$14:DA$968='Résultats Projection'!$A32 ) * (DATABASE!$AW$14:$AW$968= BH$4))-ROW(DATABASE!$AV$14)+1,BH$5+3)),"")</f>
        <v/>
      </c>
      <c r="BI32" s="116">
        <f t="array" ref="BI32">IFERROR(_xlfn.SINGLE(INDEX(DATABASE!$AV$14:$BC$968,SUMPRODUCT((ROW(DATABASE!$AV$14:$AV$968)) * (DATABASE!$AV$14:DB$968='Résultats Projection'!$A32 ) * (DATABASE!$AW$14:$AW$968= BI$4))-ROW(DATABASE!$AV$14)+1,BI$5+3)),"")</f>
        <v/>
      </c>
      <c r="BJ32" s="116">
        <f t="array" ref="BJ32">IFERROR(_xlfn.SINGLE(INDEX(DATABASE!$AV$14:$BC$968,SUMPRODUCT((ROW(DATABASE!$AV$14:$AV$968)) * (DATABASE!$AV$14:DC$968='Résultats Projection'!$A32 ) * (DATABASE!$AW$14:$AW$968= BJ$4))-ROW(DATABASE!$AV$14)+1,BJ$5+3)),"")</f>
        <v/>
      </c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(DATABASE!AV$14:$AV$968='Résultats Projection'!$A33 ) * (DATABASE!$AW$14:$AW$968= C$4))-ROW(DATABASE!$AV$14)+1,C$5+3)),"")</f>
        <v/>
      </c>
      <c r="D33" s="116">
        <f t="array" ref="D33">IFERROR(_xlfn.SINGLE(INDEX(DATABASE!$AV$14:$BC$968,SUMPRODUCT((ROW(DATABASE!$AV$14:$AV$968)) * (DATABASE!$AV$14:AW$968='Résultats Projection'!$A33 ) * (DATABASE!$AW$14:$AW$968= D$4))-ROW(DATABASE!$AV$14)+1,D$5+3)),"")</f>
        <v/>
      </c>
      <c r="E33" s="116">
        <f t="array" ref="E33">IFERROR(_xlfn.SINGLE(INDEX(DATABASE!$AV$14:$BC$968,SUMPRODUCT((ROW(DATABASE!$AV$14:$AV$968)) * (DATABASE!$AV$14:AX$968='Résultats Projection'!$A33 ) * (DATABASE!$AW$14:$AW$968= E$4))-ROW(DATABASE!$AV$14)+1,E$5+3)),"")</f>
        <v/>
      </c>
      <c r="F33" s="116">
        <f t="array" ref="F33">IFERROR(_xlfn.SINGLE(INDEX(DATABASE!$AV$14:$BC$968,SUMPRODUCT((ROW(DATABASE!$AV$14:$AV$968)) * (DATABASE!$AV$14:AY$968='Résultats Projection'!$A33 ) * (DATABASE!$AW$14:$AW$968= F$4))-ROW(DATABASE!$AV$14)+1,F$5+3)),"")</f>
        <v/>
      </c>
      <c r="G33" s="116">
        <f t="array" ref="G33">IFERROR(_xlfn.SINGLE(INDEX(DATABASE!$AV$14:$BC$968,SUMPRODUCT((ROW(DATABASE!$AV$14:$AV$968)) * (DATABASE!$AV$14:AZ$968='Résultats Projection'!$A33 ) * (DATABASE!$AW$14:$AW$968= G$4))-ROW(DATABASE!$AV$14)+1,G$5+3)),"")</f>
        <v/>
      </c>
      <c r="H33" s="116">
        <f t="array" ref="H33">IFERROR(_xlfn.SINGLE(INDEX(DATABASE!$AV$14:$BC$968,SUMPRODUCT((ROW(DATABASE!$AV$14:$AV$968)) * (DATABASE!$AV$14:BA$968='Résultats Projection'!$A33 ) * (DATABASE!$AW$14:$AW$968= H$4))-ROW(DATABASE!$AV$14)+1,H$5+3)),"")</f>
        <v/>
      </c>
      <c r="I33" s="116">
        <f t="array" ref="I33">IFERROR(_xlfn.SINGLE(INDEX(DATABASE!$AV$14:$BC$968,SUMPRODUCT((ROW(DATABASE!$AV$14:$AV$968)) * (DATABASE!$AV$14:BB$968='Résultats Projection'!$A33 ) * (DATABASE!$AW$14:$AW$968= I$4))-ROW(DATABASE!$AV$14)+1,I$5+3)),"")</f>
        <v/>
      </c>
      <c r="J33" s="116">
        <f t="array" ref="J33">IFERROR(_xlfn.SINGLE(INDEX(DATABASE!$AV$14:$BC$968,SUMPRODUCT((ROW(DATABASE!$AV$14:$AV$968)) * (DATABASE!$AV$14:BC$968='Résultats Projection'!$A33 ) * (DATABASE!$AW$14:$AW$968= J$4))-ROW(DATABASE!$AV$14)+1,J$5+3)),"")</f>
        <v/>
      </c>
      <c r="K33" s="116">
        <f t="array" ref="K33">IFERROR(_xlfn.SINGLE(INDEX(DATABASE!$AV$14:$BC$968,SUMPRODUCT((ROW(DATABASE!$AV$14:$AV$968)) * (DATABASE!$AV$14:BD$968='Résultats Projection'!$A33 ) * (DATABASE!$AW$14:$AW$968= K$4))-ROW(DATABASE!$AV$14)+1,K$5+3)),"")</f>
        <v/>
      </c>
      <c r="L33" s="116">
        <f t="array" ref="L33">IFERROR(_xlfn.SINGLE(INDEX(DATABASE!$AV$14:$BC$968,SUMPRODUCT((ROW(DATABASE!$AV$14:$AV$968)) * (DATABASE!$AV$14:BE$968='Résultats Projection'!$A33 ) * (DATABASE!$AW$14:$AW$968= L$4))-ROW(DATABASE!$AV$14)+1,L$5+3)),"")</f>
        <v/>
      </c>
      <c r="M33" s="116">
        <f t="array" ref="M33">IFERROR(_xlfn.SINGLE(INDEX(DATABASE!$AV$14:$BC$968,SUMPRODUCT((ROW(DATABASE!$AV$14:$AV$968)) * (DATABASE!$AV$14:BF$968='Résultats Projection'!$A33 ) * (DATABASE!$AW$14:$AW$968= M$4))-ROW(DATABASE!$AV$14)+1,M$5+3)),"")</f>
        <v/>
      </c>
      <c r="N33" s="116">
        <f t="array" ref="N33">IFERROR(_xlfn.SINGLE(INDEX(DATABASE!$AV$14:$BC$968,SUMPRODUCT((ROW(DATABASE!$AV$14:$AV$968)) * (DATABASE!$AV$14:BG$968='Résultats Projection'!$A33 ) * (DATABASE!$AW$14:$AW$968= N$4))-ROW(DATABASE!$AV$14)+1,N$5+3)),"")</f>
        <v/>
      </c>
      <c r="O33" s="116">
        <f t="array" ref="O33">IFERROR(_xlfn.SINGLE(INDEX(DATABASE!$AV$14:$BC$968,SUMPRODUCT((ROW(DATABASE!$AV$14:$AV$968)) * (DATABASE!$AV$14:BH$968='Résultats Projection'!$A33 ) * (DATABASE!$AW$14:$AW$968= O$4))-ROW(DATABASE!$AV$14)+1,O$5+3)),"")</f>
        <v/>
      </c>
      <c r="P33" s="116">
        <f t="array" ref="P33">IFERROR(_xlfn.SINGLE(INDEX(DATABASE!$AV$14:$BC$968,SUMPRODUCT((ROW(DATABASE!$AV$14:$AV$968)) * (DATABASE!$AV$14:BI$968='Résultats Projection'!$A33 ) * (DATABASE!$AW$14:$AW$968= P$4))-ROW(DATABASE!$AV$14)+1,P$5+3)),"")</f>
        <v/>
      </c>
      <c r="Q33" s="116">
        <f t="array" ref="Q33">IFERROR(_xlfn.SINGLE(INDEX(DATABASE!$AV$14:$BC$968,SUMPRODUCT((ROW(DATABASE!$AV$14:$AV$968)) * (DATABASE!$AV$14:BJ$968='Résultats Projection'!$A33 ) * (DATABASE!$AW$14:$AW$968= Q$4))-ROW(DATABASE!$AV$14)+1,Q$5+3)),"")</f>
        <v/>
      </c>
      <c r="R33" s="116">
        <f t="array" ref="R33">IFERROR(_xlfn.SINGLE(INDEX(DATABASE!$AV$14:$BC$968,SUMPRODUCT((ROW(DATABASE!$AV$14:$AV$968)) * (DATABASE!$AV$14:BK$968='Résultats Projection'!$A33 ) * (DATABASE!$AW$14:$AW$968= R$4))-ROW(DATABASE!$AV$14)+1,R$5+3)),"")</f>
        <v/>
      </c>
      <c r="S33" s="116">
        <f t="array" ref="S33">IFERROR(_xlfn.SINGLE(INDEX(DATABASE!$AV$14:$BC$968,SUMPRODUCT((ROW(DATABASE!$AV$14:$AV$968)) * (DATABASE!$AV$14:BL$968='Résultats Projection'!$A33 ) * (DATABASE!$AW$14:$AW$968= S$4))-ROW(DATABASE!$AV$14)+1,S$5+3)),"")</f>
        <v/>
      </c>
      <c r="T33" s="116">
        <f t="array" ref="T33">IFERROR(_xlfn.SINGLE(INDEX(DATABASE!$AV$14:$BC$968,SUMPRODUCT((ROW(DATABASE!$AV$14:$AV$968)) * (DATABASE!$AV$14:BM$968='Résultats Projection'!$A33 ) * (DATABASE!$AW$14:$AW$968= T$4))-ROW(DATABASE!$AV$14)+1,T$5+3)),"")</f>
        <v/>
      </c>
      <c r="U33" s="116">
        <f t="array" ref="U33">IFERROR(_xlfn.SINGLE(INDEX(DATABASE!$AV$14:$BC$968,SUMPRODUCT((ROW(DATABASE!$AV$14:$AV$968)) * (DATABASE!$AV$14:BN$968='Résultats Projection'!$A33 ) * (DATABASE!$AW$14:$AW$968= U$4))-ROW(DATABASE!$AV$14)+1,U$5+3)),"")</f>
        <v/>
      </c>
      <c r="V33" s="116">
        <f t="array" ref="V33">IFERROR(_xlfn.SINGLE(INDEX(DATABASE!$AV$14:$BC$968,SUMPRODUCT((ROW(DATABASE!$AV$14:$AV$968)) * (DATABASE!$AV$14:BO$968='Résultats Projection'!$A33 ) * (DATABASE!$AW$14:$AW$968= V$4))-ROW(DATABASE!$AV$14)+1,V$5+3)),"")</f>
        <v/>
      </c>
      <c r="W33" s="116">
        <f t="array" ref="W33">IFERROR(_xlfn.SINGLE(INDEX(DATABASE!$AV$14:$BC$968,SUMPRODUCT((ROW(DATABASE!$AV$14:$AV$968)) * (DATABASE!$AV$14:BP$968='Résultats Projection'!$A33 ) * (DATABASE!$AW$14:$AW$968= W$4))-ROW(DATABASE!$AV$14)+1,W$5+3)),"")</f>
        <v/>
      </c>
      <c r="X33" s="116">
        <f t="array" ref="X33">IFERROR(_xlfn.SINGLE(INDEX(DATABASE!$AV$14:$BC$968,SUMPRODUCT((ROW(DATABASE!$AV$14:$AV$968)) * (DATABASE!$AV$14:BQ$968='Résultats Projection'!$A33 ) * (DATABASE!$AW$14:$AW$968= X$4))-ROW(DATABASE!$AV$14)+1,X$5+3)),"")</f>
        <v/>
      </c>
      <c r="Y33" s="116">
        <f t="array" ref="Y33">IFERROR(_xlfn.SINGLE(INDEX(DATABASE!$AV$14:$BC$968,SUMPRODUCT((ROW(DATABASE!$AV$14:$AV$968)) * (DATABASE!$AV$14:BR$968='Résultats Projection'!$A33 ) * (DATABASE!$AW$14:$AW$968= Y$4))-ROW(DATABASE!$AV$14)+1,Y$5+3)),"")</f>
        <v/>
      </c>
      <c r="Z33" s="116">
        <f t="array" ref="Z33">IFERROR(_xlfn.SINGLE(INDEX(DATABASE!$AV$14:$BC$968,SUMPRODUCT((ROW(DATABASE!$AV$14:$AV$968)) * (DATABASE!$AV$14:BS$968='Résultats Projection'!$A33 ) * (DATABASE!$AW$14:$AW$968= Z$4))-ROW(DATABASE!$AV$14)+1,Z$5+3)),"")</f>
        <v/>
      </c>
      <c r="AA33" s="116">
        <f t="array" ref="AA33">IFERROR(_xlfn.SINGLE(INDEX(DATABASE!$AV$14:$BC$968,SUMPRODUCT((ROW(DATABASE!$AV$14:$AV$968)) * (DATABASE!$AV$14:BT$968='Résultats Projection'!$A33 ) * (DATABASE!$AW$14:$AW$968= AA$4))-ROW(DATABASE!$AV$14)+1,AA$5+3)),"")</f>
        <v/>
      </c>
      <c r="AB33" s="116">
        <f t="array" ref="AB33">IFERROR(_xlfn.SINGLE(INDEX(DATABASE!$AV$14:$BC$968,SUMPRODUCT((ROW(DATABASE!$AV$14:$AV$968)) * (DATABASE!$AV$14:BU$968='Résultats Projection'!$A33 ) * (DATABASE!$AW$14:$AW$968= AB$4))-ROW(DATABASE!$AV$14)+1,AB$5+3)),"")</f>
        <v/>
      </c>
      <c r="AC33" s="116">
        <f t="array" ref="AC33">IFERROR(_xlfn.SINGLE(INDEX(DATABASE!$AV$14:$BC$968,SUMPRODUCT((ROW(DATABASE!$AV$14:$AV$968)) * (DATABASE!$AV$14:BV$968='Résultats Projection'!$A33 ) * (DATABASE!$AW$14:$AW$968= AC$4))-ROW(DATABASE!$AV$14)+1,AC$5+3)),"")</f>
        <v/>
      </c>
      <c r="AD33" s="116">
        <f t="array" ref="AD33">IFERROR(_xlfn.SINGLE(INDEX(DATABASE!$AV$14:$BC$968,SUMPRODUCT((ROW(DATABASE!$AV$14:$AV$968)) * (DATABASE!$AV$14:BW$968='Résultats Projection'!$A33 ) * (DATABASE!$AW$14:$AW$968= AD$4))-ROW(DATABASE!$AV$14)+1,AD$5+3)),"")</f>
        <v/>
      </c>
      <c r="AE33" s="116">
        <f t="array" ref="AE33">IFERROR(_xlfn.SINGLE(INDEX(DATABASE!$AV$14:$BC$968,SUMPRODUCT((ROW(DATABASE!$AV$14:$AV$968)) * (DATABASE!$AV$14:BX$968='Résultats Projection'!$A33 ) * (DATABASE!$AW$14:$AW$968= AE$4))-ROW(DATABASE!$AV$14)+1,AE$5+3)),"")</f>
        <v/>
      </c>
      <c r="AF33" s="116">
        <f t="array" ref="AF33">IFERROR(_xlfn.SINGLE(INDEX(DATABASE!$AV$14:$BC$968,SUMPRODUCT((ROW(DATABASE!$AV$14:$AV$968)) * (DATABASE!$AV$14:BY$968='Résultats Projection'!$A33 ) * (DATABASE!$AW$14:$AW$968= AF$4))-ROW(DATABASE!$AV$14)+1,AF$5+3)),"")</f>
        <v/>
      </c>
      <c r="AG33" s="116">
        <f t="array" ref="AG33">IFERROR(_xlfn.SINGLE(INDEX(DATABASE!$AV$14:$BC$968,SUMPRODUCT((ROW(DATABASE!$AV$14:$AV$968)) * (DATABASE!$AV$14:BZ$968='Résultats Projection'!$A33 ) * (DATABASE!$AW$14:$AW$968= AG$4))-ROW(DATABASE!$AV$14)+1,AG$5+3)),"")</f>
        <v/>
      </c>
      <c r="AH33" s="116">
        <f t="array" ref="AH33">IFERROR(_xlfn.SINGLE(INDEX(DATABASE!$AV$14:$BC$968,SUMPRODUCT((ROW(DATABASE!$AV$14:$AV$968)) * (DATABASE!$AV$14:CA$968='Résultats Projection'!$A33 ) * (DATABASE!$AW$14:$AW$968= AH$4))-ROW(DATABASE!$AV$14)+1,AH$5+3)),"")</f>
        <v/>
      </c>
      <c r="AI33" s="116">
        <f t="array" ref="AI33">IFERROR(_xlfn.SINGLE(INDEX(DATABASE!$AV$14:$BC$968,SUMPRODUCT((ROW(DATABASE!$AV$14:$AV$968)) * (DATABASE!$AV$14:CB$968='Résultats Projection'!$A33 ) * (DATABASE!$AW$14:$AW$968= AI$4))-ROW(DATABASE!$AV$14)+1,AI$5+3)),"")</f>
        <v/>
      </c>
      <c r="AJ33" s="116">
        <f t="array" ref="AJ33">IFERROR(_xlfn.SINGLE(INDEX(DATABASE!$AV$14:$BC$968,SUMPRODUCT((ROW(DATABASE!$AV$14:$AV$968)) * (DATABASE!$AV$14:CC$968='Résultats Projection'!$A33 ) * (DATABASE!$AW$14:$AW$968= AJ$4))-ROW(DATABASE!$AV$14)+1,AJ$5+3)),"")</f>
        <v/>
      </c>
      <c r="AK33" s="116">
        <f t="array" ref="AK33">IFERROR(_xlfn.SINGLE(INDEX(DATABASE!$AV$14:$BC$968,SUMPRODUCT((ROW(DATABASE!$AV$14:$AV$968)) * (DATABASE!$AV$14:CD$968='Résultats Projection'!$A33 ) * (DATABASE!$AW$14:$AW$968= AK$4))-ROW(DATABASE!$AV$14)+1,AK$5+3)),"")</f>
        <v/>
      </c>
      <c r="AL33" s="116">
        <f t="array" ref="AL33">IFERROR(_xlfn.SINGLE(INDEX(DATABASE!$AV$14:$BC$968,SUMPRODUCT((ROW(DATABASE!$AV$14:$AV$968)) * (DATABASE!$AV$14:CE$968='Résultats Projection'!$A33 ) * (DATABASE!$AW$14:$AW$968= AL$4))-ROW(DATABASE!$AV$14)+1,AL$5+3)),"")</f>
        <v/>
      </c>
      <c r="AM33" s="116">
        <f t="array" ref="AM33">IFERROR(_xlfn.SINGLE(INDEX(DATABASE!$AV$14:$BC$968,SUMPRODUCT((ROW(DATABASE!$AV$14:$AV$968)) * (DATABASE!$AV$14:CF$968='Résultats Projection'!$A33 ) * (DATABASE!$AW$14:$AW$968= AM$4))-ROW(DATABASE!$AV$14)+1,AM$5+3)),"")</f>
        <v/>
      </c>
      <c r="AN33" s="116">
        <f t="array" ref="AN33">IFERROR(_xlfn.SINGLE(INDEX(DATABASE!$AV$14:$BC$968,SUMPRODUCT((ROW(DATABASE!$AV$14:$AV$968)) * (DATABASE!$AV$14:CG$968='Résultats Projection'!$A33 ) * (DATABASE!$AW$14:$AW$968= AN$4))-ROW(DATABASE!$AV$14)+1,AN$5+3)),"")</f>
        <v/>
      </c>
      <c r="AO33" s="116">
        <f t="array" ref="AO33">IFERROR(_xlfn.SINGLE(INDEX(DATABASE!$AV$14:$BC$968,SUMPRODUCT((ROW(DATABASE!$AV$14:$AV$968)) * (DATABASE!$AV$14:CH$968='Résultats Projection'!$A33 ) * (DATABASE!$AW$14:$AW$968= AO$4))-ROW(DATABASE!$AV$14)+1,AO$5+3)),"")</f>
        <v/>
      </c>
      <c r="AP33" s="116">
        <f t="array" ref="AP33">IFERROR(_xlfn.SINGLE(INDEX(DATABASE!$AV$14:$BC$968,SUMPRODUCT((ROW(DATABASE!$AV$14:$AV$968)) * (DATABASE!$AV$14:CI$968='Résultats Projection'!$A33 ) * (DATABASE!$AW$14:$AW$968= AP$4))-ROW(DATABASE!$AV$14)+1,AP$5+3)),"")</f>
        <v/>
      </c>
      <c r="AQ33" s="116">
        <f t="array" ref="AQ33">IFERROR(_xlfn.SINGLE(INDEX(DATABASE!$AV$14:$BC$968,SUMPRODUCT((ROW(DATABASE!$AV$14:$AV$968)) * (DATABASE!$AV$14:CJ$968='Résultats Projection'!$A33 ) * (DATABASE!$AW$14:$AW$968= AQ$4))-ROW(DATABASE!$AV$14)+1,AQ$5+3)),"")</f>
        <v/>
      </c>
      <c r="AR33" s="116">
        <f t="array" ref="AR33">IFERROR(_xlfn.SINGLE(INDEX(DATABASE!$AV$14:$BC$968,SUMPRODUCT((ROW(DATABASE!$AV$14:$AV$968)) * (DATABASE!$AV$14:CK$968='Résultats Projection'!$A33 ) * (DATABASE!$AW$14:$AW$968= AR$4))-ROW(DATABASE!$AV$14)+1,AR$5+3)),"")</f>
        <v/>
      </c>
      <c r="AS33" s="116">
        <f t="array" ref="AS33">IFERROR(_xlfn.SINGLE(INDEX(DATABASE!$AV$14:$BC$968,SUMPRODUCT((ROW(DATABASE!$AV$14:$AV$968)) * (DATABASE!$AV$14:CL$968='Résultats Projection'!$A33 ) * (DATABASE!$AW$14:$AW$968= AS$4))-ROW(DATABASE!$AV$14)+1,AS$5+3)),"")</f>
        <v/>
      </c>
      <c r="AT33" s="116">
        <f t="array" ref="AT33">IFERROR(_xlfn.SINGLE(INDEX(DATABASE!$AV$14:$BC$968,SUMPRODUCT((ROW(DATABASE!$AV$14:$AV$968)) * (DATABASE!$AV$14:CM$968='Résultats Projection'!$A33 ) * (DATABASE!$AW$14:$AW$968= AT$4))-ROW(DATABASE!$AV$14)+1,AT$5+3)),"")</f>
        <v/>
      </c>
      <c r="AU33" s="116">
        <f t="array" ref="AU33">IFERROR(_xlfn.SINGLE(INDEX(DATABASE!$AV$14:$BC$968,SUMPRODUCT((ROW(DATABASE!$AV$14:$AV$968)) * (DATABASE!$AV$14:CN$968='Résultats Projection'!$A33 ) * (DATABASE!$AW$14:$AW$968= AU$4))-ROW(DATABASE!$AV$14)+1,AU$5+3)),"")</f>
        <v/>
      </c>
      <c r="AV33" s="116">
        <f t="array" ref="AV33">IFERROR(_xlfn.SINGLE(INDEX(DATABASE!$AV$14:$BC$968,SUMPRODUCT((ROW(DATABASE!$AV$14:$AV$968)) * (DATABASE!$AV$14:CO$968='Résultats Projection'!$A33 ) * (DATABASE!$AW$14:$AW$968= AV$4))-ROW(DATABASE!$AV$14)+1,AV$5+3)),"")</f>
        <v/>
      </c>
      <c r="AW33" s="116">
        <f t="array" ref="AW33">IFERROR(_xlfn.SINGLE(INDEX(DATABASE!$AV$14:$BC$968,SUMPRODUCT((ROW(DATABASE!$AV$14:$AV$968)) * (DATABASE!$AV$14:CP$968='Résultats Projection'!$A33 ) * (DATABASE!$AW$14:$AW$968= AW$4))-ROW(DATABASE!$AV$14)+1,AW$5+3)),"")</f>
        <v/>
      </c>
      <c r="AX33" s="116">
        <f t="array" ref="AX33">IFERROR(_xlfn.SINGLE(INDEX(DATABASE!$AV$14:$BC$968,SUMPRODUCT((ROW(DATABASE!$AV$14:$AV$968)) * (DATABASE!$AV$14:CQ$968='Résultats Projection'!$A33 ) * (DATABASE!$AW$14:$AW$968= AX$4))-ROW(DATABASE!$AV$14)+1,AX$5+3)),"")</f>
        <v/>
      </c>
      <c r="AY33" s="116">
        <f t="array" ref="AY33">IFERROR(_xlfn.SINGLE(INDEX(DATABASE!$AV$14:$BC$968,SUMPRODUCT((ROW(DATABASE!$AV$14:$AV$968)) * (DATABASE!$AV$14:CR$968='Résultats Projection'!$A33 ) * (DATABASE!$AW$14:$AW$968= AY$4))-ROW(DATABASE!$AV$14)+1,AY$5+3)),"")</f>
        <v/>
      </c>
      <c r="AZ33" s="116">
        <f t="array" ref="AZ33">IFERROR(_xlfn.SINGLE(INDEX(DATABASE!$AV$14:$BC$968,SUMPRODUCT((ROW(DATABASE!$AV$14:$AV$968)) * (DATABASE!$AV$14:CS$968='Résultats Projection'!$A33 ) * (DATABASE!$AW$14:$AW$968= AZ$4))-ROW(DATABASE!$AV$14)+1,AZ$5+3)),"")</f>
        <v/>
      </c>
      <c r="BA33" s="116">
        <f t="array" ref="BA33">IFERROR(_xlfn.SINGLE(INDEX(DATABASE!$AV$14:$BC$968,SUMPRODUCT((ROW(DATABASE!$AV$14:$AV$968)) * (DATABASE!$AV$14:CT$968='Résultats Projection'!$A33 ) * (DATABASE!$AW$14:$AW$968= BA$4))-ROW(DATABASE!$AV$14)+1,BA$5+3)),"")</f>
        <v/>
      </c>
      <c r="BB33" s="116">
        <f t="array" ref="BB33">IFERROR(_xlfn.SINGLE(INDEX(DATABASE!$AV$14:$BC$968,SUMPRODUCT((ROW(DATABASE!$AV$14:$AV$968)) * (DATABASE!$AV$14:CU$968='Résultats Projection'!$A33 ) * (DATABASE!$AW$14:$AW$968= BB$4))-ROW(DATABASE!$AV$14)+1,BB$5+3)),"")</f>
        <v/>
      </c>
      <c r="BC33" s="116">
        <f t="array" ref="BC33">IFERROR(_xlfn.SINGLE(INDEX(DATABASE!$AV$14:$BC$968,SUMPRODUCT((ROW(DATABASE!$AV$14:$AV$968)) * (DATABASE!$AV$14:CV$968='Résultats Projection'!$A33 ) * (DATABASE!$AW$14:$AW$968= BC$4))-ROW(DATABASE!$AV$14)+1,BC$5+3)),"")</f>
        <v/>
      </c>
      <c r="BD33" s="116">
        <f t="array" ref="BD33">IFERROR(_xlfn.SINGLE(INDEX(DATABASE!$AV$14:$BC$968,SUMPRODUCT((ROW(DATABASE!$AV$14:$AV$968)) * (DATABASE!$AV$14:CW$968='Résultats Projection'!$A33 ) * (DATABASE!$AW$14:$AW$968= BD$4))-ROW(DATABASE!$AV$14)+1,BD$5+3)),"")</f>
        <v/>
      </c>
      <c r="BE33" s="116">
        <f t="array" ref="BE33">IFERROR(_xlfn.SINGLE(INDEX(DATABASE!$AV$14:$BC$968,SUMPRODUCT((ROW(DATABASE!$AV$14:$AV$968)) * (DATABASE!$AV$14:CX$968='Résultats Projection'!$A33 ) * (DATABASE!$AW$14:$AW$968= BE$4))-ROW(DATABASE!$AV$14)+1,BE$5+3)),"")</f>
        <v/>
      </c>
      <c r="BF33" s="116">
        <f t="array" ref="BF33">IFERROR(_xlfn.SINGLE(INDEX(DATABASE!$AV$14:$BC$968,SUMPRODUCT((ROW(DATABASE!$AV$14:$AV$968)) * (DATABASE!$AV$14:CY$968='Résultats Projection'!$A33 ) * (DATABASE!$AW$14:$AW$968= BF$4))-ROW(DATABASE!$AV$14)+1,BF$5+3)),"")</f>
        <v/>
      </c>
      <c r="BG33" s="116">
        <f t="array" ref="BG33">IFERROR(_xlfn.SINGLE(INDEX(DATABASE!$AV$14:$BC$968,SUMPRODUCT((ROW(DATABASE!$AV$14:$AV$968)) * (DATABASE!$AV$14:CZ$968='Résultats Projection'!$A33 ) * (DATABASE!$AW$14:$AW$968= BG$4))-ROW(DATABASE!$AV$14)+1,BG$5+3)),"")</f>
        <v/>
      </c>
      <c r="BH33" s="116">
        <f t="array" ref="BH33">IFERROR(_xlfn.SINGLE(INDEX(DATABASE!$AV$14:$BC$968,SUMPRODUCT((ROW(DATABASE!$AV$14:$AV$968)) * (DATABASE!$AV$14:DA$968='Résultats Projection'!$A33 ) * (DATABASE!$AW$14:$AW$968= BH$4))-ROW(DATABASE!$AV$14)+1,BH$5+3)),"")</f>
        <v/>
      </c>
      <c r="BI33" s="116">
        <f t="array" ref="BI33">IFERROR(_xlfn.SINGLE(INDEX(DATABASE!$AV$14:$BC$968,SUMPRODUCT((ROW(DATABASE!$AV$14:$AV$968)) * (DATABASE!$AV$14:DB$968='Résultats Projection'!$A33 ) * (DATABASE!$AW$14:$AW$968= BI$4))-ROW(DATABASE!$AV$14)+1,BI$5+3)),"")</f>
        <v/>
      </c>
      <c r="BJ33" s="116">
        <f t="array" ref="BJ33">IFERROR(_xlfn.SINGLE(INDEX(DATABASE!$AV$14:$BC$968,SUMPRODUCT((ROW(DATABASE!$AV$14:$AV$968)) * (DATABASE!$AV$14:DC$968='Résultats Projection'!$A33 ) * (DATABASE!$AW$14:$AW$968= BJ$4))-ROW(DATABASE!$AV$14)+1,BJ$5+3)),"")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(DATABASE!AV$14:$AV$968='Résultats Projection'!$A34 ) * (DATABASE!$AW$14:$AW$968= C$4))-ROW(DATABASE!$AV$14)+1,C$5+3)),"")</f>
        <v/>
      </c>
      <c r="D34" s="116">
        <f t="array" ref="D34">IFERROR(_xlfn.SINGLE(INDEX(DATABASE!$AV$14:$BC$968,SUMPRODUCT((ROW(DATABASE!$AV$14:$AV$968)) * (DATABASE!$AV$14:AW$968='Résultats Projection'!$A34 ) * (DATABASE!$AW$14:$AW$968= D$4))-ROW(DATABASE!$AV$14)+1,D$5+3)),"")</f>
        <v/>
      </c>
      <c r="E34" s="116">
        <f t="array" ref="E34">IFERROR(_xlfn.SINGLE(INDEX(DATABASE!$AV$14:$BC$968,SUMPRODUCT((ROW(DATABASE!$AV$14:$AV$968)) * (DATABASE!$AV$14:AX$968='Résultats Projection'!$A34 ) * (DATABASE!$AW$14:$AW$968= E$4))-ROW(DATABASE!$AV$14)+1,E$5+3)),"")</f>
        <v/>
      </c>
      <c r="F34" s="116">
        <f t="array" ref="F34">IFERROR(_xlfn.SINGLE(INDEX(DATABASE!$AV$14:$BC$968,SUMPRODUCT((ROW(DATABASE!$AV$14:$AV$968)) * (DATABASE!$AV$14:AY$968='Résultats Projection'!$A34 ) * (DATABASE!$AW$14:$AW$968= F$4))-ROW(DATABASE!$AV$14)+1,F$5+3)),"")</f>
        <v/>
      </c>
      <c r="G34" s="116">
        <f t="array" ref="G34">IFERROR(_xlfn.SINGLE(INDEX(DATABASE!$AV$14:$BC$968,SUMPRODUCT((ROW(DATABASE!$AV$14:$AV$968)) * (DATABASE!$AV$14:AZ$968='Résultats Projection'!$A34 ) * (DATABASE!$AW$14:$AW$968= G$4))-ROW(DATABASE!$AV$14)+1,G$5+3)),"")</f>
        <v/>
      </c>
      <c r="H34" s="116">
        <f t="array" ref="H34">IFERROR(_xlfn.SINGLE(INDEX(DATABASE!$AV$14:$BC$968,SUMPRODUCT((ROW(DATABASE!$AV$14:$AV$968)) * (DATABASE!$AV$14:BA$968='Résultats Projection'!$A34 ) * (DATABASE!$AW$14:$AW$968= H$4))-ROW(DATABASE!$AV$14)+1,H$5+3)),"")</f>
        <v/>
      </c>
      <c r="I34" s="116">
        <f t="array" ref="I34">IFERROR(_xlfn.SINGLE(INDEX(DATABASE!$AV$14:$BC$968,SUMPRODUCT((ROW(DATABASE!$AV$14:$AV$968)) * (DATABASE!$AV$14:BB$968='Résultats Projection'!$A34 ) * (DATABASE!$AW$14:$AW$968= I$4))-ROW(DATABASE!$AV$14)+1,I$5+3)),"")</f>
        <v/>
      </c>
      <c r="J34" s="116">
        <f t="array" ref="J34">IFERROR(_xlfn.SINGLE(INDEX(DATABASE!$AV$14:$BC$968,SUMPRODUCT((ROW(DATABASE!$AV$14:$AV$968)) * (DATABASE!$AV$14:BC$968='Résultats Projection'!$A34 ) * (DATABASE!$AW$14:$AW$968= J$4))-ROW(DATABASE!$AV$14)+1,J$5+3)),"")</f>
        <v/>
      </c>
      <c r="K34" s="116">
        <f t="array" ref="K34">IFERROR(_xlfn.SINGLE(INDEX(DATABASE!$AV$14:$BC$968,SUMPRODUCT((ROW(DATABASE!$AV$14:$AV$968)) * (DATABASE!$AV$14:BD$968='Résultats Projection'!$A34 ) * (DATABASE!$AW$14:$AW$968= K$4))-ROW(DATABASE!$AV$14)+1,K$5+3)),"")</f>
        <v/>
      </c>
      <c r="L34" s="116">
        <f t="array" ref="L34">IFERROR(_xlfn.SINGLE(INDEX(DATABASE!$AV$14:$BC$968,SUMPRODUCT((ROW(DATABASE!$AV$14:$AV$968)) * (DATABASE!$AV$14:BE$968='Résultats Projection'!$A34 ) * (DATABASE!$AW$14:$AW$968= L$4))-ROW(DATABASE!$AV$14)+1,L$5+3)),"")</f>
        <v/>
      </c>
      <c r="M34" s="116">
        <f t="array" ref="M34">IFERROR(_xlfn.SINGLE(INDEX(DATABASE!$AV$14:$BC$968,SUMPRODUCT((ROW(DATABASE!$AV$14:$AV$968)) * (DATABASE!$AV$14:BF$968='Résultats Projection'!$A34 ) * (DATABASE!$AW$14:$AW$968= M$4))-ROW(DATABASE!$AV$14)+1,M$5+3)),"")</f>
        <v/>
      </c>
      <c r="N34" s="116">
        <f t="array" ref="N34">IFERROR(_xlfn.SINGLE(INDEX(DATABASE!$AV$14:$BC$968,SUMPRODUCT((ROW(DATABASE!$AV$14:$AV$968)) * (DATABASE!$AV$14:BG$968='Résultats Projection'!$A34 ) * (DATABASE!$AW$14:$AW$968= N$4))-ROW(DATABASE!$AV$14)+1,N$5+3)),"")</f>
        <v/>
      </c>
      <c r="O34" s="116">
        <f t="array" ref="O34">IFERROR(_xlfn.SINGLE(INDEX(DATABASE!$AV$14:$BC$968,SUMPRODUCT((ROW(DATABASE!$AV$14:$AV$968)) * (DATABASE!$AV$14:BH$968='Résultats Projection'!$A34 ) * (DATABASE!$AW$14:$AW$968= O$4))-ROW(DATABASE!$AV$14)+1,O$5+3)),"")</f>
        <v/>
      </c>
      <c r="P34" s="116">
        <f t="array" ref="P34">IFERROR(_xlfn.SINGLE(INDEX(DATABASE!$AV$14:$BC$968,SUMPRODUCT((ROW(DATABASE!$AV$14:$AV$968)) * (DATABASE!$AV$14:BI$968='Résultats Projection'!$A34 ) * (DATABASE!$AW$14:$AW$968= P$4))-ROW(DATABASE!$AV$14)+1,P$5+3)),"")</f>
        <v/>
      </c>
      <c r="Q34" s="116">
        <f t="array" ref="Q34">IFERROR(_xlfn.SINGLE(INDEX(DATABASE!$AV$14:$BC$968,SUMPRODUCT((ROW(DATABASE!$AV$14:$AV$968)) * (DATABASE!$AV$14:BJ$968='Résultats Projection'!$A34 ) * (DATABASE!$AW$14:$AW$968= Q$4))-ROW(DATABASE!$AV$14)+1,Q$5+3)),"")</f>
        <v/>
      </c>
      <c r="R34" s="116">
        <f t="array" ref="R34">IFERROR(_xlfn.SINGLE(INDEX(DATABASE!$AV$14:$BC$968,SUMPRODUCT((ROW(DATABASE!$AV$14:$AV$968)) * (DATABASE!$AV$14:BK$968='Résultats Projection'!$A34 ) * (DATABASE!$AW$14:$AW$968= R$4))-ROW(DATABASE!$AV$14)+1,R$5+3)),"")</f>
        <v/>
      </c>
      <c r="S34" s="116">
        <f t="array" ref="S34">IFERROR(_xlfn.SINGLE(INDEX(DATABASE!$AV$14:$BC$968,SUMPRODUCT((ROW(DATABASE!$AV$14:$AV$968)) * (DATABASE!$AV$14:BL$968='Résultats Projection'!$A34 ) * (DATABASE!$AW$14:$AW$968= S$4))-ROW(DATABASE!$AV$14)+1,S$5+3)),"")</f>
        <v/>
      </c>
      <c r="T34" s="116">
        <f t="array" ref="T34">IFERROR(_xlfn.SINGLE(INDEX(DATABASE!$AV$14:$BC$968,SUMPRODUCT((ROW(DATABASE!$AV$14:$AV$968)) * (DATABASE!$AV$14:BM$968='Résultats Projection'!$A34 ) * (DATABASE!$AW$14:$AW$968= T$4))-ROW(DATABASE!$AV$14)+1,T$5+3)),"")</f>
        <v/>
      </c>
      <c r="U34" s="116">
        <f t="array" ref="U34">IFERROR(_xlfn.SINGLE(INDEX(DATABASE!$AV$14:$BC$968,SUMPRODUCT((ROW(DATABASE!$AV$14:$AV$968)) * (DATABASE!$AV$14:BN$968='Résultats Projection'!$A34 ) * (DATABASE!$AW$14:$AW$968= U$4))-ROW(DATABASE!$AV$14)+1,U$5+3)),"")</f>
        <v/>
      </c>
      <c r="V34" s="116">
        <f t="array" ref="V34">IFERROR(_xlfn.SINGLE(INDEX(DATABASE!$AV$14:$BC$968,SUMPRODUCT((ROW(DATABASE!$AV$14:$AV$968)) * (DATABASE!$AV$14:BO$968='Résultats Projection'!$A34 ) * (DATABASE!$AW$14:$AW$968= V$4))-ROW(DATABASE!$AV$14)+1,V$5+3)),"")</f>
        <v/>
      </c>
      <c r="W34" s="116">
        <f t="array" ref="W34">IFERROR(_xlfn.SINGLE(INDEX(DATABASE!$AV$14:$BC$968,SUMPRODUCT((ROW(DATABASE!$AV$14:$AV$968)) * (DATABASE!$AV$14:BP$968='Résultats Projection'!$A34 ) * (DATABASE!$AW$14:$AW$968= W$4))-ROW(DATABASE!$AV$14)+1,W$5+3)),"")</f>
        <v/>
      </c>
      <c r="X34" s="116">
        <f t="array" ref="X34">IFERROR(_xlfn.SINGLE(INDEX(DATABASE!$AV$14:$BC$968,SUMPRODUCT((ROW(DATABASE!$AV$14:$AV$968)) * (DATABASE!$AV$14:BQ$968='Résultats Projection'!$A34 ) * (DATABASE!$AW$14:$AW$968= X$4))-ROW(DATABASE!$AV$14)+1,X$5+3)),"")</f>
        <v/>
      </c>
      <c r="Y34" s="116">
        <f t="array" ref="Y34">IFERROR(_xlfn.SINGLE(INDEX(DATABASE!$AV$14:$BC$968,SUMPRODUCT((ROW(DATABASE!$AV$14:$AV$968)) * (DATABASE!$AV$14:BR$968='Résultats Projection'!$A34 ) * (DATABASE!$AW$14:$AW$968= Y$4))-ROW(DATABASE!$AV$14)+1,Y$5+3)),"")</f>
        <v/>
      </c>
      <c r="Z34" s="116">
        <f t="array" ref="Z34">IFERROR(_xlfn.SINGLE(INDEX(DATABASE!$AV$14:$BC$968,SUMPRODUCT((ROW(DATABASE!$AV$14:$AV$968)) * (DATABASE!$AV$14:BS$968='Résultats Projection'!$A34 ) * (DATABASE!$AW$14:$AW$968= Z$4))-ROW(DATABASE!$AV$14)+1,Z$5+3)),"")</f>
        <v/>
      </c>
      <c r="AA34" s="116">
        <f t="array" ref="AA34">IFERROR(_xlfn.SINGLE(INDEX(DATABASE!$AV$14:$BC$968,SUMPRODUCT((ROW(DATABASE!$AV$14:$AV$968)) * (DATABASE!$AV$14:BT$968='Résultats Projection'!$A34 ) * (DATABASE!$AW$14:$AW$968= AA$4))-ROW(DATABASE!$AV$14)+1,AA$5+3)),"")</f>
        <v/>
      </c>
      <c r="AB34" s="116">
        <f t="array" ref="AB34">IFERROR(_xlfn.SINGLE(INDEX(DATABASE!$AV$14:$BC$968,SUMPRODUCT((ROW(DATABASE!$AV$14:$AV$968)) * (DATABASE!$AV$14:BU$968='Résultats Projection'!$A34 ) * (DATABASE!$AW$14:$AW$968= AB$4))-ROW(DATABASE!$AV$14)+1,AB$5+3)),"")</f>
        <v/>
      </c>
      <c r="AC34" s="116">
        <f t="array" ref="AC34">IFERROR(_xlfn.SINGLE(INDEX(DATABASE!$AV$14:$BC$968,SUMPRODUCT((ROW(DATABASE!$AV$14:$AV$968)) * (DATABASE!$AV$14:BV$968='Résultats Projection'!$A34 ) * (DATABASE!$AW$14:$AW$968= AC$4))-ROW(DATABASE!$AV$14)+1,AC$5+3)),"")</f>
        <v/>
      </c>
      <c r="AD34" s="116">
        <f t="array" ref="AD34">IFERROR(_xlfn.SINGLE(INDEX(DATABASE!$AV$14:$BC$968,SUMPRODUCT((ROW(DATABASE!$AV$14:$AV$968)) * (DATABASE!$AV$14:BW$968='Résultats Projection'!$A34 ) * (DATABASE!$AW$14:$AW$968= AD$4))-ROW(DATABASE!$AV$14)+1,AD$5+3)),"")</f>
        <v/>
      </c>
      <c r="AE34" s="116">
        <f t="array" ref="AE34">IFERROR(_xlfn.SINGLE(INDEX(DATABASE!$AV$14:$BC$968,SUMPRODUCT((ROW(DATABASE!$AV$14:$AV$968)) * (DATABASE!$AV$14:BX$968='Résultats Projection'!$A34 ) * (DATABASE!$AW$14:$AW$968= AE$4))-ROW(DATABASE!$AV$14)+1,AE$5+3)),"")</f>
        <v/>
      </c>
      <c r="AF34" s="116">
        <f t="array" ref="AF34">IFERROR(_xlfn.SINGLE(INDEX(DATABASE!$AV$14:$BC$968,SUMPRODUCT((ROW(DATABASE!$AV$14:$AV$968)) * (DATABASE!$AV$14:BY$968='Résultats Projection'!$A34 ) * (DATABASE!$AW$14:$AW$968= AF$4))-ROW(DATABASE!$AV$14)+1,AF$5+3)),"")</f>
        <v/>
      </c>
      <c r="AG34" s="116">
        <f t="array" ref="AG34">IFERROR(_xlfn.SINGLE(INDEX(DATABASE!$AV$14:$BC$968,SUMPRODUCT((ROW(DATABASE!$AV$14:$AV$968)) * (DATABASE!$AV$14:BZ$968='Résultats Projection'!$A34 ) * (DATABASE!$AW$14:$AW$968= AG$4))-ROW(DATABASE!$AV$14)+1,AG$5+3)),"")</f>
        <v/>
      </c>
      <c r="AH34" s="116">
        <f t="array" ref="AH34">IFERROR(_xlfn.SINGLE(INDEX(DATABASE!$AV$14:$BC$968,SUMPRODUCT((ROW(DATABASE!$AV$14:$AV$968)) * (DATABASE!$AV$14:CA$968='Résultats Projection'!$A34 ) * (DATABASE!$AW$14:$AW$968= AH$4))-ROW(DATABASE!$AV$14)+1,AH$5+3)),"")</f>
        <v/>
      </c>
      <c r="AI34" s="116">
        <f t="array" ref="AI34">IFERROR(_xlfn.SINGLE(INDEX(DATABASE!$AV$14:$BC$968,SUMPRODUCT((ROW(DATABASE!$AV$14:$AV$968)) * (DATABASE!$AV$14:CB$968='Résultats Projection'!$A34 ) * (DATABASE!$AW$14:$AW$968= AI$4))-ROW(DATABASE!$AV$14)+1,AI$5+3)),"")</f>
        <v/>
      </c>
      <c r="AJ34" s="116">
        <f t="array" ref="AJ34">IFERROR(_xlfn.SINGLE(INDEX(DATABASE!$AV$14:$BC$968,SUMPRODUCT((ROW(DATABASE!$AV$14:$AV$968)) * (DATABASE!$AV$14:CC$968='Résultats Projection'!$A34 ) * (DATABASE!$AW$14:$AW$968= AJ$4))-ROW(DATABASE!$AV$14)+1,AJ$5+3)),"")</f>
        <v/>
      </c>
      <c r="AK34" s="116">
        <f t="array" ref="AK34">IFERROR(_xlfn.SINGLE(INDEX(DATABASE!$AV$14:$BC$968,SUMPRODUCT((ROW(DATABASE!$AV$14:$AV$968)) * (DATABASE!$AV$14:CD$968='Résultats Projection'!$A34 ) * (DATABASE!$AW$14:$AW$968= AK$4))-ROW(DATABASE!$AV$14)+1,AK$5+3)),"")</f>
        <v/>
      </c>
      <c r="AL34" s="116">
        <f t="array" ref="AL34">IFERROR(_xlfn.SINGLE(INDEX(DATABASE!$AV$14:$BC$968,SUMPRODUCT((ROW(DATABASE!$AV$14:$AV$968)) * (DATABASE!$AV$14:CE$968='Résultats Projection'!$A34 ) * (DATABASE!$AW$14:$AW$968= AL$4))-ROW(DATABASE!$AV$14)+1,AL$5+3)),"")</f>
        <v/>
      </c>
      <c r="AM34" s="116">
        <f t="array" ref="AM34">IFERROR(_xlfn.SINGLE(INDEX(DATABASE!$AV$14:$BC$968,SUMPRODUCT((ROW(DATABASE!$AV$14:$AV$968)) * (DATABASE!$AV$14:CF$968='Résultats Projection'!$A34 ) * (DATABASE!$AW$14:$AW$968= AM$4))-ROW(DATABASE!$AV$14)+1,AM$5+3)),"")</f>
        <v/>
      </c>
      <c r="AN34" s="116">
        <f t="array" ref="AN34">IFERROR(_xlfn.SINGLE(INDEX(DATABASE!$AV$14:$BC$968,SUMPRODUCT((ROW(DATABASE!$AV$14:$AV$968)) * (DATABASE!$AV$14:CG$968='Résultats Projection'!$A34 ) * (DATABASE!$AW$14:$AW$968= AN$4))-ROW(DATABASE!$AV$14)+1,AN$5+3)),"")</f>
        <v/>
      </c>
      <c r="AO34" s="116">
        <f t="array" ref="AO34">IFERROR(_xlfn.SINGLE(INDEX(DATABASE!$AV$14:$BC$968,SUMPRODUCT((ROW(DATABASE!$AV$14:$AV$968)) * (DATABASE!$AV$14:CH$968='Résultats Projection'!$A34 ) * (DATABASE!$AW$14:$AW$968= AO$4))-ROW(DATABASE!$AV$14)+1,AO$5+3)),"")</f>
        <v/>
      </c>
      <c r="AP34" s="116">
        <f t="array" ref="AP34">IFERROR(_xlfn.SINGLE(INDEX(DATABASE!$AV$14:$BC$968,SUMPRODUCT((ROW(DATABASE!$AV$14:$AV$968)) * (DATABASE!$AV$14:CI$968='Résultats Projection'!$A34 ) * (DATABASE!$AW$14:$AW$968= AP$4))-ROW(DATABASE!$AV$14)+1,AP$5+3)),"")</f>
        <v/>
      </c>
      <c r="AQ34" s="116">
        <f t="array" ref="AQ34">IFERROR(_xlfn.SINGLE(INDEX(DATABASE!$AV$14:$BC$968,SUMPRODUCT((ROW(DATABASE!$AV$14:$AV$968)) * (DATABASE!$AV$14:CJ$968='Résultats Projection'!$A34 ) * (DATABASE!$AW$14:$AW$968= AQ$4))-ROW(DATABASE!$AV$14)+1,AQ$5+3)),"")</f>
        <v/>
      </c>
      <c r="AR34" s="116">
        <f t="array" ref="AR34">IFERROR(_xlfn.SINGLE(INDEX(DATABASE!$AV$14:$BC$968,SUMPRODUCT((ROW(DATABASE!$AV$14:$AV$968)) * (DATABASE!$AV$14:CK$968='Résultats Projection'!$A34 ) * (DATABASE!$AW$14:$AW$968= AR$4))-ROW(DATABASE!$AV$14)+1,AR$5+3)),"")</f>
        <v/>
      </c>
      <c r="AS34" s="116">
        <f t="array" ref="AS34">IFERROR(_xlfn.SINGLE(INDEX(DATABASE!$AV$14:$BC$968,SUMPRODUCT((ROW(DATABASE!$AV$14:$AV$968)) * (DATABASE!$AV$14:CL$968='Résultats Projection'!$A34 ) * (DATABASE!$AW$14:$AW$968= AS$4))-ROW(DATABASE!$AV$14)+1,AS$5+3)),"")</f>
        <v/>
      </c>
      <c r="AT34" s="116">
        <f t="array" ref="AT34">IFERROR(_xlfn.SINGLE(INDEX(DATABASE!$AV$14:$BC$968,SUMPRODUCT((ROW(DATABASE!$AV$14:$AV$968)) * (DATABASE!$AV$14:CM$968='Résultats Projection'!$A34 ) * (DATABASE!$AW$14:$AW$968= AT$4))-ROW(DATABASE!$AV$14)+1,AT$5+3)),"")</f>
        <v/>
      </c>
      <c r="AU34" s="116">
        <f t="array" ref="AU34">IFERROR(_xlfn.SINGLE(INDEX(DATABASE!$AV$14:$BC$968,SUMPRODUCT((ROW(DATABASE!$AV$14:$AV$968)) * (DATABASE!$AV$14:CN$968='Résultats Projection'!$A34 ) * (DATABASE!$AW$14:$AW$968= AU$4))-ROW(DATABASE!$AV$14)+1,AU$5+3)),"")</f>
        <v/>
      </c>
      <c r="AV34" s="116">
        <f t="array" ref="AV34">IFERROR(_xlfn.SINGLE(INDEX(DATABASE!$AV$14:$BC$968,SUMPRODUCT((ROW(DATABASE!$AV$14:$AV$968)) * (DATABASE!$AV$14:CO$968='Résultats Projection'!$A34 ) * (DATABASE!$AW$14:$AW$968= AV$4))-ROW(DATABASE!$AV$14)+1,AV$5+3)),"")</f>
        <v/>
      </c>
      <c r="AW34" s="116">
        <f t="array" ref="AW34">IFERROR(_xlfn.SINGLE(INDEX(DATABASE!$AV$14:$BC$968,SUMPRODUCT((ROW(DATABASE!$AV$14:$AV$968)) * (DATABASE!$AV$14:CP$968='Résultats Projection'!$A34 ) * (DATABASE!$AW$14:$AW$968= AW$4))-ROW(DATABASE!$AV$14)+1,AW$5+3)),"")</f>
        <v/>
      </c>
      <c r="AX34" s="116">
        <f t="array" ref="AX34">IFERROR(_xlfn.SINGLE(INDEX(DATABASE!$AV$14:$BC$968,SUMPRODUCT((ROW(DATABASE!$AV$14:$AV$968)) * (DATABASE!$AV$14:CQ$968='Résultats Projection'!$A34 ) * (DATABASE!$AW$14:$AW$968= AX$4))-ROW(DATABASE!$AV$14)+1,AX$5+3)),"")</f>
        <v/>
      </c>
      <c r="AY34" s="116">
        <f t="array" ref="AY34">IFERROR(_xlfn.SINGLE(INDEX(DATABASE!$AV$14:$BC$968,SUMPRODUCT((ROW(DATABASE!$AV$14:$AV$968)) * (DATABASE!$AV$14:CR$968='Résultats Projection'!$A34 ) * (DATABASE!$AW$14:$AW$968= AY$4))-ROW(DATABASE!$AV$14)+1,AY$5+3)),"")</f>
        <v/>
      </c>
      <c r="AZ34" s="116">
        <f t="array" ref="AZ34">IFERROR(_xlfn.SINGLE(INDEX(DATABASE!$AV$14:$BC$968,SUMPRODUCT((ROW(DATABASE!$AV$14:$AV$968)) * (DATABASE!$AV$14:CS$968='Résultats Projection'!$A34 ) * (DATABASE!$AW$14:$AW$968= AZ$4))-ROW(DATABASE!$AV$14)+1,AZ$5+3)),"")</f>
        <v/>
      </c>
      <c r="BA34" s="116">
        <f t="array" ref="BA34">IFERROR(_xlfn.SINGLE(INDEX(DATABASE!$AV$14:$BC$968,SUMPRODUCT((ROW(DATABASE!$AV$14:$AV$968)) * (DATABASE!$AV$14:CT$968='Résultats Projection'!$A34 ) * (DATABASE!$AW$14:$AW$968= BA$4))-ROW(DATABASE!$AV$14)+1,BA$5+3)),"")</f>
        <v/>
      </c>
      <c r="BB34" s="116">
        <f t="array" ref="BB34">IFERROR(_xlfn.SINGLE(INDEX(DATABASE!$AV$14:$BC$968,SUMPRODUCT((ROW(DATABASE!$AV$14:$AV$968)) * (DATABASE!$AV$14:CU$968='Résultats Projection'!$A34 ) * (DATABASE!$AW$14:$AW$968= BB$4))-ROW(DATABASE!$AV$14)+1,BB$5+3)),"")</f>
        <v/>
      </c>
      <c r="BC34" s="116">
        <f t="array" ref="BC34">IFERROR(_xlfn.SINGLE(INDEX(DATABASE!$AV$14:$BC$968,SUMPRODUCT((ROW(DATABASE!$AV$14:$AV$968)) * (DATABASE!$AV$14:CV$968='Résultats Projection'!$A34 ) * (DATABASE!$AW$14:$AW$968= BC$4))-ROW(DATABASE!$AV$14)+1,BC$5+3)),"")</f>
        <v/>
      </c>
      <c r="BD34" s="116">
        <f t="array" ref="BD34">IFERROR(_xlfn.SINGLE(INDEX(DATABASE!$AV$14:$BC$968,SUMPRODUCT((ROW(DATABASE!$AV$14:$AV$968)) * (DATABASE!$AV$14:CW$968='Résultats Projection'!$A34 ) * (DATABASE!$AW$14:$AW$968= BD$4))-ROW(DATABASE!$AV$14)+1,BD$5+3)),"")</f>
        <v/>
      </c>
      <c r="BE34" s="116">
        <f t="array" ref="BE34">IFERROR(_xlfn.SINGLE(INDEX(DATABASE!$AV$14:$BC$968,SUMPRODUCT((ROW(DATABASE!$AV$14:$AV$968)) * (DATABASE!$AV$14:CX$968='Résultats Projection'!$A34 ) * (DATABASE!$AW$14:$AW$968= BE$4))-ROW(DATABASE!$AV$14)+1,BE$5+3)),"")</f>
        <v/>
      </c>
      <c r="BF34" s="116">
        <f t="array" ref="BF34">IFERROR(_xlfn.SINGLE(INDEX(DATABASE!$AV$14:$BC$968,SUMPRODUCT((ROW(DATABASE!$AV$14:$AV$968)) * (DATABASE!$AV$14:CY$968='Résultats Projection'!$A34 ) * (DATABASE!$AW$14:$AW$968= BF$4))-ROW(DATABASE!$AV$14)+1,BF$5+3)),"")</f>
        <v/>
      </c>
      <c r="BG34" s="116">
        <f t="array" ref="BG34">IFERROR(_xlfn.SINGLE(INDEX(DATABASE!$AV$14:$BC$968,SUMPRODUCT((ROW(DATABASE!$AV$14:$AV$968)) * (DATABASE!$AV$14:CZ$968='Résultats Projection'!$A34 ) * (DATABASE!$AW$14:$AW$968= BG$4))-ROW(DATABASE!$AV$14)+1,BG$5+3)),"")</f>
        <v/>
      </c>
      <c r="BH34" s="116">
        <f t="array" ref="BH34">IFERROR(_xlfn.SINGLE(INDEX(DATABASE!$AV$14:$BC$968,SUMPRODUCT((ROW(DATABASE!$AV$14:$AV$968)) * (DATABASE!$AV$14:DA$968='Résultats Projection'!$A34 ) * (DATABASE!$AW$14:$AW$968= BH$4))-ROW(DATABASE!$AV$14)+1,BH$5+3)),"")</f>
        <v/>
      </c>
      <c r="BI34" s="116">
        <f t="array" ref="BI34">IFERROR(_xlfn.SINGLE(INDEX(DATABASE!$AV$14:$BC$968,SUMPRODUCT((ROW(DATABASE!$AV$14:$AV$968)) * (DATABASE!$AV$14:DB$968='Résultats Projection'!$A34 ) * (DATABASE!$AW$14:$AW$968= BI$4))-ROW(DATABASE!$AV$14)+1,BI$5+3)),"")</f>
        <v/>
      </c>
      <c r="BJ34" s="116">
        <f t="array" ref="BJ34">IFERROR(_xlfn.SINGLE(INDEX(DATABASE!$AV$14:$BC$968,SUMPRODUCT((ROW(DATABASE!$AV$14:$AV$968)) * (DATABASE!$AV$14:DC$968='Résultats Projection'!$A34 ) * (DATABASE!$AW$14:$AW$968= BJ$4))-ROW(DATABASE!$AV$14)+1,BJ$5+3)),"")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(DATABASE!AV$14:$AV$968='Résultats Projection'!$A35 ) * (DATABASE!$AW$14:$AW$968= C$4))-ROW(DATABASE!$AV$14)+1,C$5+3)),"")</f>
        <v/>
      </c>
      <c r="D35" s="116">
        <f t="array" ref="D35">IFERROR(_xlfn.SINGLE(INDEX(DATABASE!$AV$14:$BC$968,SUMPRODUCT((ROW(DATABASE!$AV$14:$AV$968)) * (DATABASE!$AV$14:AW$968='Résultats Projection'!$A35 ) * (DATABASE!$AW$14:$AW$968= D$4))-ROW(DATABASE!$AV$14)+1,D$5+3)),"")</f>
        <v/>
      </c>
      <c r="E35" s="116">
        <f t="array" ref="E35">IFERROR(_xlfn.SINGLE(INDEX(DATABASE!$AV$14:$BC$968,SUMPRODUCT((ROW(DATABASE!$AV$14:$AV$968)) * (DATABASE!$AV$14:AX$968='Résultats Projection'!$A35 ) * (DATABASE!$AW$14:$AW$968= E$4))-ROW(DATABASE!$AV$14)+1,E$5+3)),"")</f>
        <v/>
      </c>
      <c r="F35" s="116">
        <f t="array" ref="F35">IFERROR(_xlfn.SINGLE(INDEX(DATABASE!$AV$14:$BC$968,SUMPRODUCT((ROW(DATABASE!$AV$14:$AV$968)) * (DATABASE!$AV$14:AY$968='Résultats Projection'!$A35 ) * (DATABASE!$AW$14:$AW$968= F$4))-ROW(DATABASE!$AV$14)+1,F$5+3)),"")</f>
        <v/>
      </c>
      <c r="G35" s="116">
        <f t="array" ref="G35">IFERROR(_xlfn.SINGLE(INDEX(DATABASE!$AV$14:$BC$968,SUMPRODUCT((ROW(DATABASE!$AV$14:$AV$968)) * (DATABASE!$AV$14:AZ$968='Résultats Projection'!$A35 ) * (DATABASE!$AW$14:$AW$968= G$4))-ROW(DATABASE!$AV$14)+1,G$5+3)),"")</f>
        <v/>
      </c>
      <c r="H35" s="116">
        <f t="array" ref="H35">IFERROR(_xlfn.SINGLE(INDEX(DATABASE!$AV$14:$BC$968,SUMPRODUCT((ROW(DATABASE!$AV$14:$AV$968)) * (DATABASE!$AV$14:BA$968='Résultats Projection'!$A35 ) * (DATABASE!$AW$14:$AW$968= H$4))-ROW(DATABASE!$AV$14)+1,H$5+3)),"")</f>
        <v/>
      </c>
      <c r="I35" s="116">
        <f t="array" ref="I35">IFERROR(_xlfn.SINGLE(INDEX(DATABASE!$AV$14:$BC$968,SUMPRODUCT((ROW(DATABASE!$AV$14:$AV$968)) * (DATABASE!$AV$14:BB$968='Résultats Projection'!$A35 ) * (DATABASE!$AW$14:$AW$968= I$4))-ROW(DATABASE!$AV$14)+1,I$5+3)),"")</f>
        <v/>
      </c>
      <c r="J35" s="116">
        <f t="array" ref="J35">IFERROR(_xlfn.SINGLE(INDEX(DATABASE!$AV$14:$BC$968,SUMPRODUCT((ROW(DATABASE!$AV$14:$AV$968)) * (DATABASE!$AV$14:BC$968='Résultats Projection'!$A35 ) * (DATABASE!$AW$14:$AW$968= J$4))-ROW(DATABASE!$AV$14)+1,J$5+3)),"")</f>
        <v/>
      </c>
      <c r="K35" s="116">
        <f t="array" ref="K35">IFERROR(_xlfn.SINGLE(INDEX(DATABASE!$AV$14:$BC$968,SUMPRODUCT((ROW(DATABASE!$AV$14:$AV$968)) * (DATABASE!$AV$14:BD$968='Résultats Projection'!$A35 ) * (DATABASE!$AW$14:$AW$968= K$4))-ROW(DATABASE!$AV$14)+1,K$5+3)),"")</f>
        <v/>
      </c>
      <c r="L35" s="116">
        <f t="array" ref="L35">IFERROR(_xlfn.SINGLE(INDEX(DATABASE!$AV$14:$BC$968,SUMPRODUCT((ROW(DATABASE!$AV$14:$AV$968)) * (DATABASE!$AV$14:BE$968='Résultats Projection'!$A35 ) * (DATABASE!$AW$14:$AW$968= L$4))-ROW(DATABASE!$AV$14)+1,L$5+3)),"")</f>
        <v/>
      </c>
      <c r="M35" s="116">
        <f t="array" ref="M35">IFERROR(_xlfn.SINGLE(INDEX(DATABASE!$AV$14:$BC$968,SUMPRODUCT((ROW(DATABASE!$AV$14:$AV$968)) * (DATABASE!$AV$14:BF$968='Résultats Projection'!$A35 ) * (DATABASE!$AW$14:$AW$968= M$4))-ROW(DATABASE!$AV$14)+1,M$5+3)),"")</f>
        <v/>
      </c>
      <c r="N35" s="116">
        <f t="array" ref="N35">IFERROR(_xlfn.SINGLE(INDEX(DATABASE!$AV$14:$BC$968,SUMPRODUCT((ROW(DATABASE!$AV$14:$AV$968)) * (DATABASE!$AV$14:BG$968='Résultats Projection'!$A35 ) * (DATABASE!$AW$14:$AW$968= N$4))-ROW(DATABASE!$AV$14)+1,N$5+3)),"")</f>
        <v/>
      </c>
      <c r="O35" s="116">
        <f t="array" ref="O35">IFERROR(_xlfn.SINGLE(INDEX(DATABASE!$AV$14:$BC$968,SUMPRODUCT((ROW(DATABASE!$AV$14:$AV$968)) * (DATABASE!$AV$14:BH$968='Résultats Projection'!$A35 ) * (DATABASE!$AW$14:$AW$968= O$4))-ROW(DATABASE!$AV$14)+1,O$5+3)),"")</f>
        <v/>
      </c>
      <c r="P35" s="116">
        <f t="array" ref="P35">IFERROR(_xlfn.SINGLE(INDEX(DATABASE!$AV$14:$BC$968,SUMPRODUCT((ROW(DATABASE!$AV$14:$AV$968)) * (DATABASE!$AV$14:BI$968='Résultats Projection'!$A35 ) * (DATABASE!$AW$14:$AW$968= P$4))-ROW(DATABASE!$AV$14)+1,P$5+3)),"")</f>
        <v/>
      </c>
      <c r="Q35" s="116">
        <f t="array" ref="Q35">IFERROR(_xlfn.SINGLE(INDEX(DATABASE!$AV$14:$BC$968,SUMPRODUCT((ROW(DATABASE!$AV$14:$AV$968)) * (DATABASE!$AV$14:BJ$968='Résultats Projection'!$A35 ) * (DATABASE!$AW$14:$AW$968= Q$4))-ROW(DATABASE!$AV$14)+1,Q$5+3)),"")</f>
        <v/>
      </c>
      <c r="R35" s="116">
        <f t="array" ref="R35">IFERROR(_xlfn.SINGLE(INDEX(DATABASE!$AV$14:$BC$968,SUMPRODUCT((ROW(DATABASE!$AV$14:$AV$968)) * (DATABASE!$AV$14:BK$968='Résultats Projection'!$A35 ) * (DATABASE!$AW$14:$AW$968= R$4))-ROW(DATABASE!$AV$14)+1,R$5+3)),"")</f>
        <v/>
      </c>
      <c r="S35" s="116">
        <f t="array" ref="S35">IFERROR(_xlfn.SINGLE(INDEX(DATABASE!$AV$14:$BC$968,SUMPRODUCT((ROW(DATABASE!$AV$14:$AV$968)) * (DATABASE!$AV$14:BL$968='Résultats Projection'!$A35 ) * (DATABASE!$AW$14:$AW$968= S$4))-ROW(DATABASE!$AV$14)+1,S$5+3)),"")</f>
        <v/>
      </c>
      <c r="T35" s="116">
        <f t="array" ref="T35">IFERROR(_xlfn.SINGLE(INDEX(DATABASE!$AV$14:$BC$968,SUMPRODUCT((ROW(DATABASE!$AV$14:$AV$968)) * (DATABASE!$AV$14:BM$968='Résultats Projection'!$A35 ) * (DATABASE!$AW$14:$AW$968= T$4))-ROW(DATABASE!$AV$14)+1,T$5+3)),"")</f>
        <v/>
      </c>
      <c r="U35" s="116">
        <f t="array" ref="U35">IFERROR(_xlfn.SINGLE(INDEX(DATABASE!$AV$14:$BC$968,SUMPRODUCT((ROW(DATABASE!$AV$14:$AV$968)) * (DATABASE!$AV$14:BN$968='Résultats Projection'!$A35 ) * (DATABASE!$AW$14:$AW$968= U$4))-ROW(DATABASE!$AV$14)+1,U$5+3)),"")</f>
        <v/>
      </c>
      <c r="V35" s="116">
        <f t="array" ref="V35">IFERROR(_xlfn.SINGLE(INDEX(DATABASE!$AV$14:$BC$968,SUMPRODUCT((ROW(DATABASE!$AV$14:$AV$968)) * (DATABASE!$AV$14:BO$968='Résultats Projection'!$A35 ) * (DATABASE!$AW$14:$AW$968= V$4))-ROW(DATABASE!$AV$14)+1,V$5+3)),"")</f>
        <v/>
      </c>
      <c r="W35" s="116">
        <f t="array" ref="W35">IFERROR(_xlfn.SINGLE(INDEX(DATABASE!$AV$14:$BC$968,SUMPRODUCT((ROW(DATABASE!$AV$14:$AV$968)) * (DATABASE!$AV$14:BP$968='Résultats Projection'!$A35 ) * (DATABASE!$AW$14:$AW$968= W$4))-ROW(DATABASE!$AV$14)+1,W$5+3)),"")</f>
        <v/>
      </c>
      <c r="X35" s="116">
        <f t="array" ref="X35">IFERROR(_xlfn.SINGLE(INDEX(DATABASE!$AV$14:$BC$968,SUMPRODUCT((ROW(DATABASE!$AV$14:$AV$968)) * (DATABASE!$AV$14:BQ$968='Résultats Projection'!$A35 ) * (DATABASE!$AW$14:$AW$968= X$4))-ROW(DATABASE!$AV$14)+1,X$5+3)),"")</f>
        <v/>
      </c>
      <c r="Y35" s="116">
        <f t="array" ref="Y35">IFERROR(_xlfn.SINGLE(INDEX(DATABASE!$AV$14:$BC$968,SUMPRODUCT((ROW(DATABASE!$AV$14:$AV$968)) * (DATABASE!$AV$14:BR$968='Résultats Projection'!$A35 ) * (DATABASE!$AW$14:$AW$968= Y$4))-ROW(DATABASE!$AV$14)+1,Y$5+3)),"")</f>
        <v/>
      </c>
      <c r="Z35" s="116">
        <f t="array" ref="Z35">IFERROR(_xlfn.SINGLE(INDEX(DATABASE!$AV$14:$BC$968,SUMPRODUCT((ROW(DATABASE!$AV$14:$AV$968)) * (DATABASE!$AV$14:BS$968='Résultats Projection'!$A35 ) * (DATABASE!$AW$14:$AW$968= Z$4))-ROW(DATABASE!$AV$14)+1,Z$5+3)),"")</f>
        <v/>
      </c>
      <c r="AA35" s="116">
        <f t="array" ref="AA35">IFERROR(_xlfn.SINGLE(INDEX(DATABASE!$AV$14:$BC$968,SUMPRODUCT((ROW(DATABASE!$AV$14:$AV$968)) * (DATABASE!$AV$14:BT$968='Résultats Projection'!$A35 ) * (DATABASE!$AW$14:$AW$968= AA$4))-ROW(DATABASE!$AV$14)+1,AA$5+3)),"")</f>
        <v/>
      </c>
      <c r="AB35" s="116">
        <f t="array" ref="AB35">IFERROR(_xlfn.SINGLE(INDEX(DATABASE!$AV$14:$BC$968,SUMPRODUCT((ROW(DATABASE!$AV$14:$AV$968)) * (DATABASE!$AV$14:BU$968='Résultats Projection'!$A35 ) * (DATABASE!$AW$14:$AW$968= AB$4))-ROW(DATABASE!$AV$14)+1,AB$5+3)),"")</f>
        <v/>
      </c>
      <c r="AC35" s="116">
        <f t="array" ref="AC35">IFERROR(_xlfn.SINGLE(INDEX(DATABASE!$AV$14:$BC$968,SUMPRODUCT((ROW(DATABASE!$AV$14:$AV$968)) * (DATABASE!$AV$14:BV$968='Résultats Projection'!$A35 ) * (DATABASE!$AW$14:$AW$968= AC$4))-ROW(DATABASE!$AV$14)+1,AC$5+3)),"")</f>
        <v/>
      </c>
      <c r="AD35" s="116">
        <f t="array" ref="AD35">IFERROR(_xlfn.SINGLE(INDEX(DATABASE!$AV$14:$BC$968,SUMPRODUCT((ROW(DATABASE!$AV$14:$AV$968)) * (DATABASE!$AV$14:BW$968='Résultats Projection'!$A35 ) * (DATABASE!$AW$14:$AW$968= AD$4))-ROW(DATABASE!$AV$14)+1,AD$5+3)),"")</f>
        <v/>
      </c>
      <c r="AE35" s="116">
        <f t="array" ref="AE35">IFERROR(_xlfn.SINGLE(INDEX(DATABASE!$AV$14:$BC$968,SUMPRODUCT((ROW(DATABASE!$AV$14:$AV$968)) * (DATABASE!$AV$14:BX$968='Résultats Projection'!$A35 ) * (DATABASE!$AW$14:$AW$968= AE$4))-ROW(DATABASE!$AV$14)+1,AE$5+3)),"")</f>
        <v/>
      </c>
      <c r="AF35" s="116">
        <f t="array" ref="AF35">IFERROR(_xlfn.SINGLE(INDEX(DATABASE!$AV$14:$BC$968,SUMPRODUCT((ROW(DATABASE!$AV$14:$AV$968)) * (DATABASE!$AV$14:BY$968='Résultats Projection'!$A35 ) * (DATABASE!$AW$14:$AW$968= AF$4))-ROW(DATABASE!$AV$14)+1,AF$5+3)),"")</f>
        <v/>
      </c>
      <c r="AG35" s="116">
        <f t="array" ref="AG35">IFERROR(_xlfn.SINGLE(INDEX(DATABASE!$AV$14:$BC$968,SUMPRODUCT((ROW(DATABASE!$AV$14:$AV$968)) * (DATABASE!$AV$14:BZ$968='Résultats Projection'!$A35 ) * (DATABASE!$AW$14:$AW$968= AG$4))-ROW(DATABASE!$AV$14)+1,AG$5+3)),"")</f>
        <v/>
      </c>
      <c r="AH35" s="116">
        <f t="array" ref="AH35">IFERROR(_xlfn.SINGLE(INDEX(DATABASE!$AV$14:$BC$968,SUMPRODUCT((ROW(DATABASE!$AV$14:$AV$968)) * (DATABASE!$AV$14:CA$968='Résultats Projection'!$A35 ) * (DATABASE!$AW$14:$AW$968= AH$4))-ROW(DATABASE!$AV$14)+1,AH$5+3)),"")</f>
        <v/>
      </c>
      <c r="AI35" s="116">
        <f t="array" ref="AI35">IFERROR(_xlfn.SINGLE(INDEX(DATABASE!$AV$14:$BC$968,SUMPRODUCT((ROW(DATABASE!$AV$14:$AV$968)) * (DATABASE!$AV$14:CB$968='Résultats Projection'!$A35 ) * (DATABASE!$AW$14:$AW$968= AI$4))-ROW(DATABASE!$AV$14)+1,AI$5+3)),"")</f>
        <v/>
      </c>
      <c r="AJ35" s="116">
        <f t="array" ref="AJ35">IFERROR(_xlfn.SINGLE(INDEX(DATABASE!$AV$14:$BC$968,SUMPRODUCT((ROW(DATABASE!$AV$14:$AV$968)) * (DATABASE!$AV$14:CC$968='Résultats Projection'!$A35 ) * (DATABASE!$AW$14:$AW$968= AJ$4))-ROW(DATABASE!$AV$14)+1,AJ$5+3)),"")</f>
        <v/>
      </c>
      <c r="AK35" s="116">
        <f t="array" ref="AK35">IFERROR(_xlfn.SINGLE(INDEX(DATABASE!$AV$14:$BC$968,SUMPRODUCT((ROW(DATABASE!$AV$14:$AV$968)) * (DATABASE!$AV$14:CD$968='Résultats Projection'!$A35 ) * (DATABASE!$AW$14:$AW$968= AK$4))-ROW(DATABASE!$AV$14)+1,AK$5+3)),"")</f>
        <v/>
      </c>
      <c r="AL35" s="116">
        <f t="array" ref="AL35">IFERROR(_xlfn.SINGLE(INDEX(DATABASE!$AV$14:$BC$968,SUMPRODUCT((ROW(DATABASE!$AV$14:$AV$968)) * (DATABASE!$AV$14:CE$968='Résultats Projection'!$A35 ) * (DATABASE!$AW$14:$AW$968= AL$4))-ROW(DATABASE!$AV$14)+1,AL$5+3)),"")</f>
        <v/>
      </c>
      <c r="AM35" s="116">
        <f t="array" ref="AM35">IFERROR(_xlfn.SINGLE(INDEX(DATABASE!$AV$14:$BC$968,SUMPRODUCT((ROW(DATABASE!$AV$14:$AV$968)) * (DATABASE!$AV$14:CF$968='Résultats Projection'!$A35 ) * (DATABASE!$AW$14:$AW$968= AM$4))-ROW(DATABASE!$AV$14)+1,AM$5+3)),"")</f>
        <v/>
      </c>
      <c r="AN35" s="116">
        <f t="array" ref="AN35">IFERROR(_xlfn.SINGLE(INDEX(DATABASE!$AV$14:$BC$968,SUMPRODUCT((ROW(DATABASE!$AV$14:$AV$968)) * (DATABASE!$AV$14:CG$968='Résultats Projection'!$A35 ) * (DATABASE!$AW$14:$AW$968= AN$4))-ROW(DATABASE!$AV$14)+1,AN$5+3)),"")</f>
        <v/>
      </c>
      <c r="AO35" s="116">
        <f t="array" ref="AO35">IFERROR(_xlfn.SINGLE(INDEX(DATABASE!$AV$14:$BC$968,SUMPRODUCT((ROW(DATABASE!$AV$14:$AV$968)) * (DATABASE!$AV$14:CH$968='Résultats Projection'!$A35 ) * (DATABASE!$AW$14:$AW$968= AO$4))-ROW(DATABASE!$AV$14)+1,AO$5+3)),"")</f>
        <v/>
      </c>
      <c r="AP35" s="116">
        <f t="array" ref="AP35">IFERROR(_xlfn.SINGLE(INDEX(DATABASE!$AV$14:$BC$968,SUMPRODUCT((ROW(DATABASE!$AV$14:$AV$968)) * (DATABASE!$AV$14:CI$968='Résultats Projection'!$A35 ) * (DATABASE!$AW$14:$AW$968= AP$4))-ROW(DATABASE!$AV$14)+1,AP$5+3)),"")</f>
        <v/>
      </c>
      <c r="AQ35" s="116">
        <f t="array" ref="AQ35">IFERROR(_xlfn.SINGLE(INDEX(DATABASE!$AV$14:$BC$968,SUMPRODUCT((ROW(DATABASE!$AV$14:$AV$968)) * (DATABASE!$AV$14:CJ$968='Résultats Projection'!$A35 ) * (DATABASE!$AW$14:$AW$968= AQ$4))-ROW(DATABASE!$AV$14)+1,AQ$5+3)),"")</f>
        <v/>
      </c>
      <c r="AR35" s="116">
        <f t="array" ref="AR35">IFERROR(_xlfn.SINGLE(INDEX(DATABASE!$AV$14:$BC$968,SUMPRODUCT((ROW(DATABASE!$AV$14:$AV$968)) * (DATABASE!$AV$14:CK$968='Résultats Projection'!$A35 ) * (DATABASE!$AW$14:$AW$968= AR$4))-ROW(DATABASE!$AV$14)+1,AR$5+3)),"")</f>
        <v/>
      </c>
      <c r="AS35" s="116">
        <f t="array" ref="AS35">IFERROR(_xlfn.SINGLE(INDEX(DATABASE!$AV$14:$BC$968,SUMPRODUCT((ROW(DATABASE!$AV$14:$AV$968)) * (DATABASE!$AV$14:CL$968='Résultats Projection'!$A35 ) * (DATABASE!$AW$14:$AW$968= AS$4))-ROW(DATABASE!$AV$14)+1,AS$5+3)),"")</f>
        <v/>
      </c>
      <c r="AT35" s="116">
        <f t="array" ref="AT35">IFERROR(_xlfn.SINGLE(INDEX(DATABASE!$AV$14:$BC$968,SUMPRODUCT((ROW(DATABASE!$AV$14:$AV$968)) * (DATABASE!$AV$14:CM$968='Résultats Projection'!$A35 ) * (DATABASE!$AW$14:$AW$968= AT$4))-ROW(DATABASE!$AV$14)+1,AT$5+3)),"")</f>
        <v/>
      </c>
      <c r="AU35" s="116">
        <f t="array" ref="AU35">IFERROR(_xlfn.SINGLE(INDEX(DATABASE!$AV$14:$BC$968,SUMPRODUCT((ROW(DATABASE!$AV$14:$AV$968)) * (DATABASE!$AV$14:CN$968='Résultats Projection'!$A35 ) * (DATABASE!$AW$14:$AW$968= AU$4))-ROW(DATABASE!$AV$14)+1,AU$5+3)),"")</f>
        <v/>
      </c>
      <c r="AV35" s="116">
        <f t="array" ref="AV35">IFERROR(_xlfn.SINGLE(INDEX(DATABASE!$AV$14:$BC$968,SUMPRODUCT((ROW(DATABASE!$AV$14:$AV$968)) * (DATABASE!$AV$14:CO$968='Résultats Projection'!$A35 ) * (DATABASE!$AW$14:$AW$968= AV$4))-ROW(DATABASE!$AV$14)+1,AV$5+3)),"")</f>
        <v/>
      </c>
      <c r="AW35" s="116">
        <f t="array" ref="AW35">IFERROR(_xlfn.SINGLE(INDEX(DATABASE!$AV$14:$BC$968,SUMPRODUCT((ROW(DATABASE!$AV$14:$AV$968)) * (DATABASE!$AV$14:CP$968='Résultats Projection'!$A35 ) * (DATABASE!$AW$14:$AW$968= AW$4))-ROW(DATABASE!$AV$14)+1,AW$5+3)),"")</f>
        <v/>
      </c>
      <c r="AX35" s="116">
        <f t="array" ref="AX35">IFERROR(_xlfn.SINGLE(INDEX(DATABASE!$AV$14:$BC$968,SUMPRODUCT((ROW(DATABASE!$AV$14:$AV$968)) * (DATABASE!$AV$14:CQ$968='Résultats Projection'!$A35 ) * (DATABASE!$AW$14:$AW$968= AX$4))-ROW(DATABASE!$AV$14)+1,AX$5+3)),"")</f>
        <v/>
      </c>
      <c r="AY35" s="116">
        <f t="array" ref="AY35">IFERROR(_xlfn.SINGLE(INDEX(DATABASE!$AV$14:$BC$968,SUMPRODUCT((ROW(DATABASE!$AV$14:$AV$968)) * (DATABASE!$AV$14:CR$968='Résultats Projection'!$A35 ) * (DATABASE!$AW$14:$AW$968= AY$4))-ROW(DATABASE!$AV$14)+1,AY$5+3)),"")</f>
        <v/>
      </c>
      <c r="AZ35" s="116">
        <f t="array" ref="AZ35">IFERROR(_xlfn.SINGLE(INDEX(DATABASE!$AV$14:$BC$968,SUMPRODUCT((ROW(DATABASE!$AV$14:$AV$968)) * (DATABASE!$AV$14:CS$968='Résultats Projection'!$A35 ) * (DATABASE!$AW$14:$AW$968= AZ$4))-ROW(DATABASE!$AV$14)+1,AZ$5+3)),"")</f>
        <v/>
      </c>
      <c r="BA35" s="116">
        <f t="array" ref="BA35">IFERROR(_xlfn.SINGLE(INDEX(DATABASE!$AV$14:$BC$968,SUMPRODUCT((ROW(DATABASE!$AV$14:$AV$968)) * (DATABASE!$AV$14:CT$968='Résultats Projection'!$A35 ) * (DATABASE!$AW$14:$AW$968= BA$4))-ROW(DATABASE!$AV$14)+1,BA$5+3)),"")</f>
        <v/>
      </c>
      <c r="BB35" s="116">
        <f t="array" ref="BB35">IFERROR(_xlfn.SINGLE(INDEX(DATABASE!$AV$14:$BC$968,SUMPRODUCT((ROW(DATABASE!$AV$14:$AV$968)) * (DATABASE!$AV$14:CU$968='Résultats Projection'!$A35 ) * (DATABASE!$AW$14:$AW$968= BB$4))-ROW(DATABASE!$AV$14)+1,BB$5+3)),"")</f>
        <v/>
      </c>
      <c r="BC35" s="116">
        <f t="array" ref="BC35">IFERROR(_xlfn.SINGLE(INDEX(DATABASE!$AV$14:$BC$968,SUMPRODUCT((ROW(DATABASE!$AV$14:$AV$968)) * (DATABASE!$AV$14:CV$968='Résultats Projection'!$A35 ) * (DATABASE!$AW$14:$AW$968= BC$4))-ROW(DATABASE!$AV$14)+1,BC$5+3)),"")</f>
        <v/>
      </c>
      <c r="BD35" s="116">
        <f t="array" ref="BD35">IFERROR(_xlfn.SINGLE(INDEX(DATABASE!$AV$14:$BC$968,SUMPRODUCT((ROW(DATABASE!$AV$14:$AV$968)) * (DATABASE!$AV$14:CW$968='Résultats Projection'!$A35 ) * (DATABASE!$AW$14:$AW$968= BD$4))-ROW(DATABASE!$AV$14)+1,BD$5+3)),"")</f>
        <v/>
      </c>
      <c r="BE35" s="116">
        <f t="array" ref="BE35">IFERROR(_xlfn.SINGLE(INDEX(DATABASE!$AV$14:$BC$968,SUMPRODUCT((ROW(DATABASE!$AV$14:$AV$968)) * (DATABASE!$AV$14:CX$968='Résultats Projection'!$A35 ) * (DATABASE!$AW$14:$AW$968= BE$4))-ROW(DATABASE!$AV$14)+1,BE$5+3)),"")</f>
        <v/>
      </c>
      <c r="BF35" s="116">
        <f t="array" ref="BF35">IFERROR(_xlfn.SINGLE(INDEX(DATABASE!$AV$14:$BC$968,SUMPRODUCT((ROW(DATABASE!$AV$14:$AV$968)) * (DATABASE!$AV$14:CY$968='Résultats Projection'!$A35 ) * (DATABASE!$AW$14:$AW$968= BF$4))-ROW(DATABASE!$AV$14)+1,BF$5+3)),"")</f>
        <v/>
      </c>
      <c r="BG35" s="116">
        <f t="array" ref="BG35">IFERROR(_xlfn.SINGLE(INDEX(DATABASE!$AV$14:$BC$968,SUMPRODUCT((ROW(DATABASE!$AV$14:$AV$968)) * (DATABASE!$AV$14:CZ$968='Résultats Projection'!$A35 ) * (DATABASE!$AW$14:$AW$968= BG$4))-ROW(DATABASE!$AV$14)+1,BG$5+3)),"")</f>
        <v/>
      </c>
      <c r="BH35" s="116">
        <f t="array" ref="BH35">IFERROR(_xlfn.SINGLE(INDEX(DATABASE!$AV$14:$BC$968,SUMPRODUCT((ROW(DATABASE!$AV$14:$AV$968)) * (DATABASE!$AV$14:DA$968='Résultats Projection'!$A35 ) * (DATABASE!$AW$14:$AW$968= BH$4))-ROW(DATABASE!$AV$14)+1,BH$5+3)),"")</f>
        <v/>
      </c>
      <c r="BI35" s="116">
        <f t="array" ref="BI35">IFERROR(_xlfn.SINGLE(INDEX(DATABASE!$AV$14:$BC$968,SUMPRODUCT((ROW(DATABASE!$AV$14:$AV$968)) * (DATABASE!$AV$14:DB$968='Résultats Projection'!$A35 ) * (DATABASE!$AW$14:$AW$968= BI$4))-ROW(DATABASE!$AV$14)+1,BI$5+3)),"")</f>
        <v/>
      </c>
      <c r="BJ35" s="116">
        <f t="array" ref="BJ35">IFERROR(_xlfn.SINGLE(INDEX(DATABASE!$AV$14:$BC$968,SUMPRODUCT((ROW(DATABASE!$AV$14:$AV$968)) * (DATABASE!$AV$14:DC$968='Résultats Projection'!$A35 ) * (DATABASE!$AW$14:$AW$968= BJ$4))-ROW(DATABASE!$AV$14)+1,BJ$5+3)),"")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(DATABASE!AV$14:$AV$968='Résultats Projection'!$A36 ) * (DATABASE!$AW$14:$AW$968= C$4))-ROW(DATABASE!$AV$14)+1,C$5+3)),"")</f>
        <v/>
      </c>
      <c r="D36" s="116">
        <f t="array" ref="D36">IFERROR(_xlfn.SINGLE(INDEX(DATABASE!$AV$14:$BC$968,SUMPRODUCT((ROW(DATABASE!$AV$14:$AV$968)) * (DATABASE!$AV$14:AW$968='Résultats Projection'!$A36 ) * (DATABASE!$AW$14:$AW$968= D$4))-ROW(DATABASE!$AV$14)+1,D$5+3)),"")</f>
        <v/>
      </c>
      <c r="E36" s="116">
        <f t="array" ref="E36">IFERROR(_xlfn.SINGLE(INDEX(DATABASE!$AV$14:$BC$968,SUMPRODUCT((ROW(DATABASE!$AV$14:$AV$968)) * (DATABASE!$AV$14:AX$968='Résultats Projection'!$A36 ) * (DATABASE!$AW$14:$AW$968= E$4))-ROW(DATABASE!$AV$14)+1,E$5+3)),"")</f>
        <v/>
      </c>
      <c r="F36" s="116">
        <f t="array" ref="F36">IFERROR(_xlfn.SINGLE(INDEX(DATABASE!$AV$14:$BC$968,SUMPRODUCT((ROW(DATABASE!$AV$14:$AV$968)) * (DATABASE!$AV$14:AY$968='Résultats Projection'!$A36 ) * (DATABASE!$AW$14:$AW$968= F$4))-ROW(DATABASE!$AV$14)+1,F$5+3)),"")</f>
        <v/>
      </c>
      <c r="G36" s="116">
        <f t="array" ref="G36">IFERROR(_xlfn.SINGLE(INDEX(DATABASE!$AV$14:$BC$968,SUMPRODUCT((ROW(DATABASE!$AV$14:$AV$968)) * (DATABASE!$AV$14:AZ$968='Résultats Projection'!$A36 ) * (DATABASE!$AW$14:$AW$968= G$4))-ROW(DATABASE!$AV$14)+1,G$5+3)),"")</f>
        <v/>
      </c>
      <c r="H36" s="116">
        <f t="array" ref="H36">IFERROR(_xlfn.SINGLE(INDEX(DATABASE!$AV$14:$BC$968,SUMPRODUCT((ROW(DATABASE!$AV$14:$AV$968)) * (DATABASE!$AV$14:BA$968='Résultats Projection'!$A36 ) * (DATABASE!$AW$14:$AW$968= H$4))-ROW(DATABASE!$AV$14)+1,H$5+3)),"")</f>
        <v/>
      </c>
      <c r="I36" s="116">
        <f t="array" ref="I36">IFERROR(_xlfn.SINGLE(INDEX(DATABASE!$AV$14:$BC$968,SUMPRODUCT((ROW(DATABASE!$AV$14:$AV$968)) * (DATABASE!$AV$14:BB$968='Résultats Projection'!$A36 ) * (DATABASE!$AW$14:$AW$968= I$4))-ROW(DATABASE!$AV$14)+1,I$5+3)),"")</f>
        <v/>
      </c>
      <c r="J36" s="116">
        <f t="array" ref="J36">IFERROR(_xlfn.SINGLE(INDEX(DATABASE!$AV$14:$BC$968,SUMPRODUCT((ROW(DATABASE!$AV$14:$AV$968)) * (DATABASE!$AV$14:BC$968='Résultats Projection'!$A36 ) * (DATABASE!$AW$14:$AW$968= J$4))-ROW(DATABASE!$AV$14)+1,J$5+3)),"")</f>
        <v/>
      </c>
      <c r="K36" s="116">
        <f t="array" ref="K36">IFERROR(_xlfn.SINGLE(INDEX(DATABASE!$AV$14:$BC$968,SUMPRODUCT((ROW(DATABASE!$AV$14:$AV$968)) * (DATABASE!$AV$14:BD$968='Résultats Projection'!$A36 ) * (DATABASE!$AW$14:$AW$968= K$4))-ROW(DATABASE!$AV$14)+1,K$5+3)),"")</f>
        <v/>
      </c>
      <c r="L36" s="116">
        <f t="array" ref="L36">IFERROR(_xlfn.SINGLE(INDEX(DATABASE!$AV$14:$BC$968,SUMPRODUCT((ROW(DATABASE!$AV$14:$AV$968)) * (DATABASE!$AV$14:BE$968='Résultats Projection'!$A36 ) * (DATABASE!$AW$14:$AW$968= L$4))-ROW(DATABASE!$AV$14)+1,L$5+3)),"")</f>
        <v/>
      </c>
      <c r="M36" s="116">
        <f t="array" ref="M36">IFERROR(_xlfn.SINGLE(INDEX(DATABASE!$AV$14:$BC$968,SUMPRODUCT((ROW(DATABASE!$AV$14:$AV$968)) * (DATABASE!$AV$14:BF$968='Résultats Projection'!$A36 ) * (DATABASE!$AW$14:$AW$968= M$4))-ROW(DATABASE!$AV$14)+1,M$5+3)),"")</f>
        <v/>
      </c>
      <c r="N36" s="116">
        <f t="array" ref="N36">IFERROR(_xlfn.SINGLE(INDEX(DATABASE!$AV$14:$BC$968,SUMPRODUCT((ROW(DATABASE!$AV$14:$AV$968)) * (DATABASE!$AV$14:BG$968='Résultats Projection'!$A36 ) * (DATABASE!$AW$14:$AW$968= N$4))-ROW(DATABASE!$AV$14)+1,N$5+3)),"")</f>
        <v/>
      </c>
      <c r="O36" s="116">
        <f t="array" ref="O36">IFERROR(_xlfn.SINGLE(INDEX(DATABASE!$AV$14:$BC$968,SUMPRODUCT((ROW(DATABASE!$AV$14:$AV$968)) * (DATABASE!$AV$14:BH$968='Résultats Projection'!$A36 ) * (DATABASE!$AW$14:$AW$968= O$4))-ROW(DATABASE!$AV$14)+1,O$5+3)),"")</f>
        <v/>
      </c>
      <c r="P36" s="116">
        <f t="array" ref="P36">IFERROR(_xlfn.SINGLE(INDEX(DATABASE!$AV$14:$BC$968,SUMPRODUCT((ROW(DATABASE!$AV$14:$AV$968)) * (DATABASE!$AV$14:BI$968='Résultats Projection'!$A36 ) * (DATABASE!$AW$14:$AW$968= P$4))-ROW(DATABASE!$AV$14)+1,P$5+3)),"")</f>
        <v/>
      </c>
      <c r="Q36" s="116">
        <f t="array" ref="Q36">IFERROR(_xlfn.SINGLE(INDEX(DATABASE!$AV$14:$BC$968,SUMPRODUCT((ROW(DATABASE!$AV$14:$AV$968)) * (DATABASE!$AV$14:BJ$968='Résultats Projection'!$A36 ) * (DATABASE!$AW$14:$AW$968= Q$4))-ROW(DATABASE!$AV$14)+1,Q$5+3)),"")</f>
        <v/>
      </c>
      <c r="R36" s="116">
        <f t="array" ref="R36">IFERROR(_xlfn.SINGLE(INDEX(DATABASE!$AV$14:$BC$968,SUMPRODUCT((ROW(DATABASE!$AV$14:$AV$968)) * (DATABASE!$AV$14:BK$968='Résultats Projection'!$A36 ) * (DATABASE!$AW$14:$AW$968= R$4))-ROW(DATABASE!$AV$14)+1,R$5+3)),"")</f>
        <v/>
      </c>
      <c r="S36" s="116">
        <f t="array" ref="S36">IFERROR(_xlfn.SINGLE(INDEX(DATABASE!$AV$14:$BC$968,SUMPRODUCT((ROW(DATABASE!$AV$14:$AV$968)) * (DATABASE!$AV$14:BL$968='Résultats Projection'!$A36 ) * (DATABASE!$AW$14:$AW$968= S$4))-ROW(DATABASE!$AV$14)+1,S$5+3)),"")</f>
        <v/>
      </c>
      <c r="T36" s="116">
        <f t="array" ref="T36">IFERROR(_xlfn.SINGLE(INDEX(DATABASE!$AV$14:$BC$968,SUMPRODUCT((ROW(DATABASE!$AV$14:$AV$968)) * (DATABASE!$AV$14:BM$968='Résultats Projection'!$A36 ) * (DATABASE!$AW$14:$AW$968= T$4))-ROW(DATABASE!$AV$14)+1,T$5+3)),"")</f>
        <v/>
      </c>
      <c r="U36" s="116">
        <f t="array" ref="U36">IFERROR(_xlfn.SINGLE(INDEX(DATABASE!$AV$14:$BC$968,SUMPRODUCT((ROW(DATABASE!$AV$14:$AV$968)) * (DATABASE!$AV$14:BN$968='Résultats Projection'!$A36 ) * (DATABASE!$AW$14:$AW$968= U$4))-ROW(DATABASE!$AV$14)+1,U$5+3)),"")</f>
        <v/>
      </c>
      <c r="V36" s="116">
        <f t="array" ref="V36">IFERROR(_xlfn.SINGLE(INDEX(DATABASE!$AV$14:$BC$968,SUMPRODUCT((ROW(DATABASE!$AV$14:$AV$968)) * (DATABASE!$AV$14:BO$968='Résultats Projection'!$A36 ) * (DATABASE!$AW$14:$AW$968= V$4))-ROW(DATABASE!$AV$14)+1,V$5+3)),"")</f>
        <v/>
      </c>
      <c r="W36" s="116">
        <f t="array" ref="W36">IFERROR(_xlfn.SINGLE(INDEX(DATABASE!$AV$14:$BC$968,SUMPRODUCT((ROW(DATABASE!$AV$14:$AV$968)) * (DATABASE!$AV$14:BP$968='Résultats Projection'!$A36 ) * (DATABASE!$AW$14:$AW$968= W$4))-ROW(DATABASE!$AV$14)+1,W$5+3)),"")</f>
        <v/>
      </c>
      <c r="X36" s="116">
        <f t="array" ref="X36">IFERROR(_xlfn.SINGLE(INDEX(DATABASE!$AV$14:$BC$968,SUMPRODUCT((ROW(DATABASE!$AV$14:$AV$968)) * (DATABASE!$AV$14:BQ$968='Résultats Projection'!$A36 ) * (DATABASE!$AW$14:$AW$968= X$4))-ROW(DATABASE!$AV$14)+1,X$5+3)),"")</f>
        <v/>
      </c>
      <c r="Y36" s="116">
        <f t="array" ref="Y36">IFERROR(_xlfn.SINGLE(INDEX(DATABASE!$AV$14:$BC$968,SUMPRODUCT((ROW(DATABASE!$AV$14:$AV$968)) * (DATABASE!$AV$14:BR$968='Résultats Projection'!$A36 ) * (DATABASE!$AW$14:$AW$968= Y$4))-ROW(DATABASE!$AV$14)+1,Y$5+3)),"")</f>
        <v/>
      </c>
      <c r="Z36" s="116">
        <f t="array" ref="Z36">IFERROR(_xlfn.SINGLE(INDEX(DATABASE!$AV$14:$BC$968,SUMPRODUCT((ROW(DATABASE!$AV$14:$AV$968)) * (DATABASE!$AV$14:BS$968='Résultats Projection'!$A36 ) * (DATABASE!$AW$14:$AW$968= Z$4))-ROW(DATABASE!$AV$14)+1,Z$5+3)),"")</f>
        <v/>
      </c>
      <c r="AA36" s="116">
        <f t="array" ref="AA36">IFERROR(_xlfn.SINGLE(INDEX(DATABASE!$AV$14:$BC$968,SUMPRODUCT((ROW(DATABASE!$AV$14:$AV$968)) * (DATABASE!$AV$14:BT$968='Résultats Projection'!$A36 ) * (DATABASE!$AW$14:$AW$968= AA$4))-ROW(DATABASE!$AV$14)+1,AA$5+3)),"")</f>
        <v/>
      </c>
      <c r="AB36" s="116">
        <f t="array" ref="AB36">IFERROR(_xlfn.SINGLE(INDEX(DATABASE!$AV$14:$BC$968,SUMPRODUCT((ROW(DATABASE!$AV$14:$AV$968)) * (DATABASE!$AV$14:BU$968='Résultats Projection'!$A36 ) * (DATABASE!$AW$14:$AW$968= AB$4))-ROW(DATABASE!$AV$14)+1,AB$5+3)),"")</f>
        <v/>
      </c>
      <c r="AC36" s="116">
        <f t="array" ref="AC36">IFERROR(_xlfn.SINGLE(INDEX(DATABASE!$AV$14:$BC$968,SUMPRODUCT((ROW(DATABASE!$AV$14:$AV$968)) * (DATABASE!$AV$14:BV$968='Résultats Projection'!$A36 ) * (DATABASE!$AW$14:$AW$968= AC$4))-ROW(DATABASE!$AV$14)+1,AC$5+3)),"")</f>
        <v/>
      </c>
      <c r="AD36" s="116">
        <f t="array" ref="AD36">IFERROR(_xlfn.SINGLE(INDEX(DATABASE!$AV$14:$BC$968,SUMPRODUCT((ROW(DATABASE!$AV$14:$AV$968)) * (DATABASE!$AV$14:BW$968='Résultats Projection'!$A36 ) * (DATABASE!$AW$14:$AW$968= AD$4))-ROW(DATABASE!$AV$14)+1,AD$5+3)),"")</f>
        <v/>
      </c>
      <c r="AE36" s="116">
        <f t="array" ref="AE36">IFERROR(_xlfn.SINGLE(INDEX(DATABASE!$AV$14:$BC$968,SUMPRODUCT((ROW(DATABASE!$AV$14:$AV$968)) * (DATABASE!$AV$14:BX$968='Résultats Projection'!$A36 ) * (DATABASE!$AW$14:$AW$968= AE$4))-ROW(DATABASE!$AV$14)+1,AE$5+3)),"")</f>
        <v/>
      </c>
      <c r="AF36" s="116">
        <f t="array" ref="AF36">IFERROR(_xlfn.SINGLE(INDEX(DATABASE!$AV$14:$BC$968,SUMPRODUCT((ROW(DATABASE!$AV$14:$AV$968)) * (DATABASE!$AV$14:BY$968='Résultats Projection'!$A36 ) * (DATABASE!$AW$14:$AW$968= AF$4))-ROW(DATABASE!$AV$14)+1,AF$5+3)),"")</f>
        <v/>
      </c>
      <c r="AG36" s="116">
        <f t="array" ref="AG36">IFERROR(_xlfn.SINGLE(INDEX(DATABASE!$AV$14:$BC$968,SUMPRODUCT((ROW(DATABASE!$AV$14:$AV$968)) * (DATABASE!$AV$14:BZ$968='Résultats Projection'!$A36 ) * (DATABASE!$AW$14:$AW$968= AG$4))-ROW(DATABASE!$AV$14)+1,AG$5+3)),"")</f>
        <v/>
      </c>
      <c r="AH36" s="116">
        <f t="array" ref="AH36">IFERROR(_xlfn.SINGLE(INDEX(DATABASE!$AV$14:$BC$968,SUMPRODUCT((ROW(DATABASE!$AV$14:$AV$968)) * (DATABASE!$AV$14:CA$968='Résultats Projection'!$A36 ) * (DATABASE!$AW$14:$AW$968= AH$4))-ROW(DATABASE!$AV$14)+1,AH$5+3)),"")</f>
        <v/>
      </c>
      <c r="AI36" s="116">
        <f t="array" ref="AI36">IFERROR(_xlfn.SINGLE(INDEX(DATABASE!$AV$14:$BC$968,SUMPRODUCT((ROW(DATABASE!$AV$14:$AV$968)) * (DATABASE!$AV$14:CB$968='Résultats Projection'!$A36 ) * (DATABASE!$AW$14:$AW$968= AI$4))-ROW(DATABASE!$AV$14)+1,AI$5+3)),"")</f>
        <v/>
      </c>
      <c r="AJ36" s="116">
        <f t="array" ref="AJ36">IFERROR(_xlfn.SINGLE(INDEX(DATABASE!$AV$14:$BC$968,SUMPRODUCT((ROW(DATABASE!$AV$14:$AV$968)) * (DATABASE!$AV$14:CC$968='Résultats Projection'!$A36 ) * (DATABASE!$AW$14:$AW$968= AJ$4))-ROW(DATABASE!$AV$14)+1,AJ$5+3)),"")</f>
        <v/>
      </c>
      <c r="AK36" s="116">
        <f t="array" ref="AK36">IFERROR(_xlfn.SINGLE(INDEX(DATABASE!$AV$14:$BC$968,SUMPRODUCT((ROW(DATABASE!$AV$14:$AV$968)) * (DATABASE!$AV$14:CD$968='Résultats Projection'!$A36 ) * (DATABASE!$AW$14:$AW$968= AK$4))-ROW(DATABASE!$AV$14)+1,AK$5+3)),"")</f>
        <v/>
      </c>
      <c r="AL36" s="116">
        <f t="array" ref="AL36">IFERROR(_xlfn.SINGLE(INDEX(DATABASE!$AV$14:$BC$968,SUMPRODUCT((ROW(DATABASE!$AV$14:$AV$968)) * (DATABASE!$AV$14:CE$968='Résultats Projection'!$A36 ) * (DATABASE!$AW$14:$AW$968= AL$4))-ROW(DATABASE!$AV$14)+1,AL$5+3)),"")</f>
        <v/>
      </c>
      <c r="AM36" s="116">
        <f t="array" ref="AM36">IFERROR(_xlfn.SINGLE(INDEX(DATABASE!$AV$14:$BC$968,SUMPRODUCT((ROW(DATABASE!$AV$14:$AV$968)) * (DATABASE!$AV$14:CF$968='Résultats Projection'!$A36 ) * (DATABASE!$AW$14:$AW$968= AM$4))-ROW(DATABASE!$AV$14)+1,AM$5+3)),"")</f>
        <v/>
      </c>
      <c r="AN36" s="116">
        <f t="array" ref="AN36">IFERROR(_xlfn.SINGLE(INDEX(DATABASE!$AV$14:$BC$968,SUMPRODUCT((ROW(DATABASE!$AV$14:$AV$968)) * (DATABASE!$AV$14:CG$968='Résultats Projection'!$A36 ) * (DATABASE!$AW$14:$AW$968= AN$4))-ROW(DATABASE!$AV$14)+1,AN$5+3)),"")</f>
        <v/>
      </c>
      <c r="AO36" s="116">
        <f t="array" ref="AO36">IFERROR(_xlfn.SINGLE(INDEX(DATABASE!$AV$14:$BC$968,SUMPRODUCT((ROW(DATABASE!$AV$14:$AV$968)) * (DATABASE!$AV$14:CH$968='Résultats Projection'!$A36 ) * (DATABASE!$AW$14:$AW$968= AO$4))-ROW(DATABASE!$AV$14)+1,AO$5+3)),"")</f>
        <v/>
      </c>
      <c r="AP36" s="116">
        <f t="array" ref="AP36">IFERROR(_xlfn.SINGLE(INDEX(DATABASE!$AV$14:$BC$968,SUMPRODUCT((ROW(DATABASE!$AV$14:$AV$968)) * (DATABASE!$AV$14:CI$968='Résultats Projection'!$A36 ) * (DATABASE!$AW$14:$AW$968= AP$4))-ROW(DATABASE!$AV$14)+1,AP$5+3)),"")</f>
        <v/>
      </c>
      <c r="AQ36" s="116">
        <f t="array" ref="AQ36">IFERROR(_xlfn.SINGLE(INDEX(DATABASE!$AV$14:$BC$968,SUMPRODUCT((ROW(DATABASE!$AV$14:$AV$968)) * (DATABASE!$AV$14:CJ$968='Résultats Projection'!$A36 ) * (DATABASE!$AW$14:$AW$968= AQ$4))-ROW(DATABASE!$AV$14)+1,AQ$5+3)),"")</f>
        <v/>
      </c>
      <c r="AR36" s="116">
        <f t="array" ref="AR36">IFERROR(_xlfn.SINGLE(INDEX(DATABASE!$AV$14:$BC$968,SUMPRODUCT((ROW(DATABASE!$AV$14:$AV$968)) * (DATABASE!$AV$14:CK$968='Résultats Projection'!$A36 ) * (DATABASE!$AW$14:$AW$968= AR$4))-ROW(DATABASE!$AV$14)+1,AR$5+3)),"")</f>
        <v/>
      </c>
      <c r="AS36" s="116">
        <f t="array" ref="AS36">IFERROR(_xlfn.SINGLE(INDEX(DATABASE!$AV$14:$BC$968,SUMPRODUCT((ROW(DATABASE!$AV$14:$AV$968)) * (DATABASE!$AV$14:CL$968='Résultats Projection'!$A36 ) * (DATABASE!$AW$14:$AW$968= AS$4))-ROW(DATABASE!$AV$14)+1,AS$5+3)),"")</f>
        <v/>
      </c>
      <c r="AT36" s="116">
        <f t="array" ref="AT36">IFERROR(_xlfn.SINGLE(INDEX(DATABASE!$AV$14:$BC$968,SUMPRODUCT((ROW(DATABASE!$AV$14:$AV$968)) * (DATABASE!$AV$14:CM$968='Résultats Projection'!$A36 ) * (DATABASE!$AW$14:$AW$968= AT$4))-ROW(DATABASE!$AV$14)+1,AT$5+3)),"")</f>
        <v/>
      </c>
      <c r="AU36" s="116">
        <f t="array" ref="AU36">IFERROR(_xlfn.SINGLE(INDEX(DATABASE!$AV$14:$BC$968,SUMPRODUCT((ROW(DATABASE!$AV$14:$AV$968)) * (DATABASE!$AV$14:CN$968='Résultats Projection'!$A36 ) * (DATABASE!$AW$14:$AW$968= AU$4))-ROW(DATABASE!$AV$14)+1,AU$5+3)),"")</f>
        <v/>
      </c>
      <c r="AV36" s="116">
        <f t="array" ref="AV36">IFERROR(_xlfn.SINGLE(INDEX(DATABASE!$AV$14:$BC$968,SUMPRODUCT((ROW(DATABASE!$AV$14:$AV$968)) * (DATABASE!$AV$14:CO$968='Résultats Projection'!$A36 ) * (DATABASE!$AW$14:$AW$968= AV$4))-ROW(DATABASE!$AV$14)+1,AV$5+3)),"")</f>
        <v/>
      </c>
      <c r="AW36" s="116">
        <f t="array" ref="AW36">IFERROR(_xlfn.SINGLE(INDEX(DATABASE!$AV$14:$BC$968,SUMPRODUCT((ROW(DATABASE!$AV$14:$AV$968)) * (DATABASE!$AV$14:CP$968='Résultats Projection'!$A36 ) * (DATABASE!$AW$14:$AW$968= AW$4))-ROW(DATABASE!$AV$14)+1,AW$5+3)),"")</f>
        <v/>
      </c>
      <c r="AX36" s="116">
        <f t="array" ref="AX36">IFERROR(_xlfn.SINGLE(INDEX(DATABASE!$AV$14:$BC$968,SUMPRODUCT((ROW(DATABASE!$AV$14:$AV$968)) * (DATABASE!$AV$14:CQ$968='Résultats Projection'!$A36 ) * (DATABASE!$AW$14:$AW$968= AX$4))-ROW(DATABASE!$AV$14)+1,AX$5+3)),"")</f>
        <v/>
      </c>
      <c r="AY36" s="116">
        <f t="array" ref="AY36">IFERROR(_xlfn.SINGLE(INDEX(DATABASE!$AV$14:$BC$968,SUMPRODUCT((ROW(DATABASE!$AV$14:$AV$968)) * (DATABASE!$AV$14:CR$968='Résultats Projection'!$A36 ) * (DATABASE!$AW$14:$AW$968= AY$4))-ROW(DATABASE!$AV$14)+1,AY$5+3)),"")</f>
        <v/>
      </c>
      <c r="AZ36" s="116">
        <f t="array" ref="AZ36">IFERROR(_xlfn.SINGLE(INDEX(DATABASE!$AV$14:$BC$968,SUMPRODUCT((ROW(DATABASE!$AV$14:$AV$968)) * (DATABASE!$AV$14:CS$968='Résultats Projection'!$A36 ) * (DATABASE!$AW$14:$AW$968= AZ$4))-ROW(DATABASE!$AV$14)+1,AZ$5+3)),"")</f>
        <v/>
      </c>
      <c r="BA36" s="116">
        <f t="array" ref="BA36">IFERROR(_xlfn.SINGLE(INDEX(DATABASE!$AV$14:$BC$968,SUMPRODUCT((ROW(DATABASE!$AV$14:$AV$968)) * (DATABASE!$AV$14:CT$968='Résultats Projection'!$A36 ) * (DATABASE!$AW$14:$AW$968= BA$4))-ROW(DATABASE!$AV$14)+1,BA$5+3)),"")</f>
        <v/>
      </c>
      <c r="BB36" s="116">
        <f t="array" ref="BB36">IFERROR(_xlfn.SINGLE(INDEX(DATABASE!$AV$14:$BC$968,SUMPRODUCT((ROW(DATABASE!$AV$14:$AV$968)) * (DATABASE!$AV$14:CU$968='Résultats Projection'!$A36 ) * (DATABASE!$AW$14:$AW$968= BB$4))-ROW(DATABASE!$AV$14)+1,BB$5+3)),"")</f>
        <v/>
      </c>
      <c r="BC36" s="116">
        <f t="array" ref="BC36">IFERROR(_xlfn.SINGLE(INDEX(DATABASE!$AV$14:$BC$968,SUMPRODUCT((ROW(DATABASE!$AV$14:$AV$968)) * (DATABASE!$AV$14:CV$968='Résultats Projection'!$A36 ) * (DATABASE!$AW$14:$AW$968= BC$4))-ROW(DATABASE!$AV$14)+1,BC$5+3)),"")</f>
        <v/>
      </c>
      <c r="BD36" s="116">
        <f t="array" ref="BD36">IFERROR(_xlfn.SINGLE(INDEX(DATABASE!$AV$14:$BC$968,SUMPRODUCT((ROW(DATABASE!$AV$14:$AV$968)) * (DATABASE!$AV$14:CW$968='Résultats Projection'!$A36 ) * (DATABASE!$AW$14:$AW$968= BD$4))-ROW(DATABASE!$AV$14)+1,BD$5+3)),"")</f>
        <v/>
      </c>
      <c r="BE36" s="116">
        <f t="array" ref="BE36">IFERROR(_xlfn.SINGLE(INDEX(DATABASE!$AV$14:$BC$968,SUMPRODUCT((ROW(DATABASE!$AV$14:$AV$968)) * (DATABASE!$AV$14:CX$968='Résultats Projection'!$A36 ) * (DATABASE!$AW$14:$AW$968= BE$4))-ROW(DATABASE!$AV$14)+1,BE$5+3)),"")</f>
        <v/>
      </c>
      <c r="BF36" s="116">
        <f t="array" ref="BF36">IFERROR(_xlfn.SINGLE(INDEX(DATABASE!$AV$14:$BC$968,SUMPRODUCT((ROW(DATABASE!$AV$14:$AV$968)) * (DATABASE!$AV$14:CY$968='Résultats Projection'!$A36 ) * (DATABASE!$AW$14:$AW$968= BF$4))-ROW(DATABASE!$AV$14)+1,BF$5+3)),"")</f>
        <v/>
      </c>
      <c r="BG36" s="116">
        <f t="array" ref="BG36">IFERROR(_xlfn.SINGLE(INDEX(DATABASE!$AV$14:$BC$968,SUMPRODUCT((ROW(DATABASE!$AV$14:$AV$968)) * (DATABASE!$AV$14:CZ$968='Résultats Projection'!$A36 ) * (DATABASE!$AW$14:$AW$968= BG$4))-ROW(DATABASE!$AV$14)+1,BG$5+3)),"")</f>
        <v/>
      </c>
      <c r="BH36" s="116">
        <f t="array" ref="BH36">IFERROR(_xlfn.SINGLE(INDEX(DATABASE!$AV$14:$BC$968,SUMPRODUCT((ROW(DATABASE!$AV$14:$AV$968)) * (DATABASE!$AV$14:DA$968='Résultats Projection'!$A36 ) * (DATABASE!$AW$14:$AW$968= BH$4))-ROW(DATABASE!$AV$14)+1,BH$5+3)),"")</f>
        <v/>
      </c>
      <c r="BI36" s="116">
        <f t="array" ref="BI36">IFERROR(_xlfn.SINGLE(INDEX(DATABASE!$AV$14:$BC$968,SUMPRODUCT((ROW(DATABASE!$AV$14:$AV$968)) * (DATABASE!$AV$14:DB$968='Résultats Projection'!$A36 ) * (DATABASE!$AW$14:$AW$968= BI$4))-ROW(DATABASE!$AV$14)+1,BI$5+3)),"")</f>
        <v/>
      </c>
      <c r="BJ36" s="116">
        <f t="array" ref="BJ36">IFERROR(_xlfn.SINGLE(INDEX(DATABASE!$AV$14:$BC$968,SUMPRODUCT((ROW(DATABASE!$AV$14:$AV$968)) * (DATABASE!$AV$14:DC$968='Résultats Projection'!$A36 ) * (DATABASE!$AW$14:$AW$968= BJ$4))-ROW(DATABASE!$AV$14)+1,BJ$5+3)),"")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(DATABASE!AV$14:$AV$968='Résultats Projection'!$A37 ) * (DATABASE!$AW$14:$AW$968= C$4))-ROW(DATABASE!$AV$14)+1,C$5+3)),"")</f>
        <v/>
      </c>
      <c r="D37" s="116">
        <f t="array" ref="D37">IFERROR(_xlfn.SINGLE(INDEX(DATABASE!$AV$14:$BC$968,SUMPRODUCT((ROW(DATABASE!$AV$14:$AV$968)) * (DATABASE!$AV$14:AW$968='Résultats Projection'!$A37 ) * (DATABASE!$AW$14:$AW$968= D$4))-ROW(DATABASE!$AV$14)+1,D$5+3)),"")</f>
        <v/>
      </c>
      <c r="E37" s="116">
        <f t="array" ref="E37">IFERROR(_xlfn.SINGLE(INDEX(DATABASE!$AV$14:$BC$968,SUMPRODUCT((ROW(DATABASE!$AV$14:$AV$968)) * (DATABASE!$AV$14:AX$968='Résultats Projection'!$A37 ) * (DATABASE!$AW$14:$AW$968= E$4))-ROW(DATABASE!$AV$14)+1,E$5+3)),"")</f>
        <v/>
      </c>
      <c r="F37" s="116">
        <f t="array" ref="F37">IFERROR(_xlfn.SINGLE(INDEX(DATABASE!$AV$14:$BC$968,SUMPRODUCT((ROW(DATABASE!$AV$14:$AV$968)) * (DATABASE!$AV$14:AY$968='Résultats Projection'!$A37 ) * (DATABASE!$AW$14:$AW$968= F$4))-ROW(DATABASE!$AV$14)+1,F$5+3)),"")</f>
        <v/>
      </c>
      <c r="G37" s="116">
        <f t="array" ref="G37">IFERROR(_xlfn.SINGLE(INDEX(DATABASE!$AV$14:$BC$968,SUMPRODUCT((ROW(DATABASE!$AV$14:$AV$968)) * (DATABASE!$AV$14:AZ$968='Résultats Projection'!$A37 ) * (DATABASE!$AW$14:$AW$968= G$4))-ROW(DATABASE!$AV$14)+1,G$5+3)),"")</f>
        <v/>
      </c>
      <c r="H37" s="116">
        <f t="array" ref="H37">IFERROR(_xlfn.SINGLE(INDEX(DATABASE!$AV$14:$BC$968,SUMPRODUCT((ROW(DATABASE!$AV$14:$AV$968)) * (DATABASE!$AV$14:BA$968='Résultats Projection'!$A37 ) * (DATABASE!$AW$14:$AW$968= H$4))-ROW(DATABASE!$AV$14)+1,H$5+3)),"")</f>
        <v/>
      </c>
      <c r="I37" s="116">
        <f t="array" ref="I37">IFERROR(_xlfn.SINGLE(INDEX(DATABASE!$AV$14:$BC$968,SUMPRODUCT((ROW(DATABASE!$AV$14:$AV$968)) * (DATABASE!$AV$14:BB$968='Résultats Projection'!$A37 ) * (DATABASE!$AW$14:$AW$968= I$4))-ROW(DATABASE!$AV$14)+1,I$5+3)),"")</f>
        <v/>
      </c>
      <c r="J37" s="116">
        <f t="array" ref="J37">IFERROR(_xlfn.SINGLE(INDEX(DATABASE!$AV$14:$BC$968,SUMPRODUCT((ROW(DATABASE!$AV$14:$AV$968)) * (DATABASE!$AV$14:BC$968='Résultats Projection'!$A37 ) * (DATABASE!$AW$14:$AW$968= J$4))-ROW(DATABASE!$AV$14)+1,J$5+3)),"")</f>
        <v/>
      </c>
      <c r="K37" s="116">
        <f t="array" ref="K37">IFERROR(_xlfn.SINGLE(INDEX(DATABASE!$AV$14:$BC$968,SUMPRODUCT((ROW(DATABASE!$AV$14:$AV$968)) * (DATABASE!$AV$14:BD$968='Résultats Projection'!$A37 ) * (DATABASE!$AW$14:$AW$968= K$4))-ROW(DATABASE!$AV$14)+1,K$5+3)),"")</f>
        <v/>
      </c>
      <c r="L37" s="116">
        <f t="array" ref="L37">IFERROR(_xlfn.SINGLE(INDEX(DATABASE!$AV$14:$BC$968,SUMPRODUCT((ROW(DATABASE!$AV$14:$AV$968)) * (DATABASE!$AV$14:BE$968='Résultats Projection'!$A37 ) * (DATABASE!$AW$14:$AW$968= L$4))-ROW(DATABASE!$AV$14)+1,L$5+3)),"")</f>
        <v/>
      </c>
      <c r="M37" s="116">
        <f t="array" ref="M37">IFERROR(_xlfn.SINGLE(INDEX(DATABASE!$AV$14:$BC$968,SUMPRODUCT((ROW(DATABASE!$AV$14:$AV$968)) * (DATABASE!$AV$14:BF$968='Résultats Projection'!$A37 ) * (DATABASE!$AW$14:$AW$968= M$4))-ROW(DATABASE!$AV$14)+1,M$5+3)),"")</f>
        <v/>
      </c>
      <c r="N37" s="116">
        <f t="array" ref="N37">IFERROR(_xlfn.SINGLE(INDEX(DATABASE!$AV$14:$BC$968,SUMPRODUCT((ROW(DATABASE!$AV$14:$AV$968)) * (DATABASE!$AV$14:BG$968='Résultats Projection'!$A37 ) * (DATABASE!$AW$14:$AW$968= N$4))-ROW(DATABASE!$AV$14)+1,N$5+3)),"")</f>
        <v/>
      </c>
      <c r="O37" s="116">
        <f t="array" ref="O37">IFERROR(_xlfn.SINGLE(INDEX(DATABASE!$AV$14:$BC$968,SUMPRODUCT((ROW(DATABASE!$AV$14:$AV$968)) * (DATABASE!$AV$14:BH$968='Résultats Projection'!$A37 ) * (DATABASE!$AW$14:$AW$968= O$4))-ROW(DATABASE!$AV$14)+1,O$5+3)),"")</f>
        <v/>
      </c>
      <c r="P37" s="116">
        <f t="array" ref="P37">IFERROR(_xlfn.SINGLE(INDEX(DATABASE!$AV$14:$BC$968,SUMPRODUCT((ROW(DATABASE!$AV$14:$AV$968)) * (DATABASE!$AV$14:BI$968='Résultats Projection'!$A37 ) * (DATABASE!$AW$14:$AW$968= P$4))-ROW(DATABASE!$AV$14)+1,P$5+3)),"")</f>
        <v/>
      </c>
      <c r="Q37" s="116">
        <f t="array" ref="Q37">IFERROR(_xlfn.SINGLE(INDEX(DATABASE!$AV$14:$BC$968,SUMPRODUCT((ROW(DATABASE!$AV$14:$AV$968)) * (DATABASE!$AV$14:BJ$968='Résultats Projection'!$A37 ) * (DATABASE!$AW$14:$AW$968= Q$4))-ROW(DATABASE!$AV$14)+1,Q$5+3)),"")</f>
        <v/>
      </c>
      <c r="R37" s="116">
        <f t="array" ref="R37">IFERROR(_xlfn.SINGLE(INDEX(DATABASE!$AV$14:$BC$968,SUMPRODUCT((ROW(DATABASE!$AV$14:$AV$968)) * (DATABASE!$AV$14:BK$968='Résultats Projection'!$A37 ) * (DATABASE!$AW$14:$AW$968= R$4))-ROW(DATABASE!$AV$14)+1,R$5+3)),"")</f>
        <v/>
      </c>
      <c r="S37" s="116">
        <f t="array" ref="S37">IFERROR(_xlfn.SINGLE(INDEX(DATABASE!$AV$14:$BC$968,SUMPRODUCT((ROW(DATABASE!$AV$14:$AV$968)) * (DATABASE!$AV$14:BL$968='Résultats Projection'!$A37 ) * (DATABASE!$AW$14:$AW$968= S$4))-ROW(DATABASE!$AV$14)+1,S$5+3)),"")</f>
        <v/>
      </c>
      <c r="T37" s="116">
        <f t="array" ref="T37">IFERROR(_xlfn.SINGLE(INDEX(DATABASE!$AV$14:$BC$968,SUMPRODUCT((ROW(DATABASE!$AV$14:$AV$968)) * (DATABASE!$AV$14:BM$968='Résultats Projection'!$A37 ) * (DATABASE!$AW$14:$AW$968= T$4))-ROW(DATABASE!$AV$14)+1,T$5+3)),"")</f>
        <v/>
      </c>
      <c r="U37" s="116">
        <f t="array" ref="U37">IFERROR(_xlfn.SINGLE(INDEX(DATABASE!$AV$14:$BC$968,SUMPRODUCT((ROW(DATABASE!$AV$14:$AV$968)) * (DATABASE!$AV$14:BN$968='Résultats Projection'!$A37 ) * (DATABASE!$AW$14:$AW$968= U$4))-ROW(DATABASE!$AV$14)+1,U$5+3)),"")</f>
        <v/>
      </c>
      <c r="V37" s="116">
        <f t="array" ref="V37">IFERROR(_xlfn.SINGLE(INDEX(DATABASE!$AV$14:$BC$968,SUMPRODUCT((ROW(DATABASE!$AV$14:$AV$968)) * (DATABASE!$AV$14:BO$968='Résultats Projection'!$A37 ) * (DATABASE!$AW$14:$AW$968= V$4))-ROW(DATABASE!$AV$14)+1,V$5+3)),"")</f>
        <v/>
      </c>
      <c r="W37" s="116">
        <f t="array" ref="W37">IFERROR(_xlfn.SINGLE(INDEX(DATABASE!$AV$14:$BC$968,SUMPRODUCT((ROW(DATABASE!$AV$14:$AV$968)) * (DATABASE!$AV$14:BP$968='Résultats Projection'!$A37 ) * (DATABASE!$AW$14:$AW$968= W$4))-ROW(DATABASE!$AV$14)+1,W$5+3)),"")</f>
        <v/>
      </c>
      <c r="X37" s="116">
        <f t="array" ref="X37">IFERROR(_xlfn.SINGLE(INDEX(DATABASE!$AV$14:$BC$968,SUMPRODUCT((ROW(DATABASE!$AV$14:$AV$968)) * (DATABASE!$AV$14:BQ$968='Résultats Projection'!$A37 ) * (DATABASE!$AW$14:$AW$968= X$4))-ROW(DATABASE!$AV$14)+1,X$5+3)),"")</f>
        <v/>
      </c>
      <c r="Y37" s="116">
        <f t="array" ref="Y37">IFERROR(_xlfn.SINGLE(INDEX(DATABASE!$AV$14:$BC$968,SUMPRODUCT((ROW(DATABASE!$AV$14:$AV$968)) * (DATABASE!$AV$14:BR$968='Résultats Projection'!$A37 ) * (DATABASE!$AW$14:$AW$968= Y$4))-ROW(DATABASE!$AV$14)+1,Y$5+3)),"")</f>
        <v/>
      </c>
      <c r="Z37" s="116">
        <f t="array" ref="Z37">IFERROR(_xlfn.SINGLE(INDEX(DATABASE!$AV$14:$BC$968,SUMPRODUCT((ROW(DATABASE!$AV$14:$AV$968)) * (DATABASE!$AV$14:BS$968='Résultats Projection'!$A37 ) * (DATABASE!$AW$14:$AW$968= Z$4))-ROW(DATABASE!$AV$14)+1,Z$5+3)),"")</f>
        <v/>
      </c>
      <c r="AA37" s="116">
        <f t="array" ref="AA37">IFERROR(_xlfn.SINGLE(INDEX(DATABASE!$AV$14:$BC$968,SUMPRODUCT((ROW(DATABASE!$AV$14:$AV$968)) * (DATABASE!$AV$14:BT$968='Résultats Projection'!$A37 ) * (DATABASE!$AW$14:$AW$968= AA$4))-ROW(DATABASE!$AV$14)+1,AA$5+3)),"")</f>
        <v/>
      </c>
      <c r="AB37" s="116">
        <f t="array" ref="AB37">IFERROR(_xlfn.SINGLE(INDEX(DATABASE!$AV$14:$BC$968,SUMPRODUCT((ROW(DATABASE!$AV$14:$AV$968)) * (DATABASE!$AV$14:BU$968='Résultats Projection'!$A37 ) * (DATABASE!$AW$14:$AW$968= AB$4))-ROW(DATABASE!$AV$14)+1,AB$5+3)),"")</f>
        <v/>
      </c>
      <c r="AC37" s="116">
        <f t="array" ref="AC37">IFERROR(_xlfn.SINGLE(INDEX(DATABASE!$AV$14:$BC$968,SUMPRODUCT((ROW(DATABASE!$AV$14:$AV$968)) * (DATABASE!$AV$14:BV$968='Résultats Projection'!$A37 ) * (DATABASE!$AW$14:$AW$968= AC$4))-ROW(DATABASE!$AV$14)+1,AC$5+3)),"")</f>
        <v/>
      </c>
      <c r="AD37" s="116">
        <f t="array" ref="AD37">IFERROR(_xlfn.SINGLE(INDEX(DATABASE!$AV$14:$BC$968,SUMPRODUCT((ROW(DATABASE!$AV$14:$AV$968)) * (DATABASE!$AV$14:BW$968='Résultats Projection'!$A37 ) * (DATABASE!$AW$14:$AW$968= AD$4))-ROW(DATABASE!$AV$14)+1,AD$5+3)),"")</f>
        <v/>
      </c>
      <c r="AE37" s="116">
        <f t="array" ref="AE37">IFERROR(_xlfn.SINGLE(INDEX(DATABASE!$AV$14:$BC$968,SUMPRODUCT((ROW(DATABASE!$AV$14:$AV$968)) * (DATABASE!$AV$14:BX$968='Résultats Projection'!$A37 ) * (DATABASE!$AW$14:$AW$968= AE$4))-ROW(DATABASE!$AV$14)+1,AE$5+3)),"")</f>
        <v/>
      </c>
      <c r="AF37" s="116">
        <f t="array" ref="AF37">IFERROR(_xlfn.SINGLE(INDEX(DATABASE!$AV$14:$BC$968,SUMPRODUCT((ROW(DATABASE!$AV$14:$AV$968)) * (DATABASE!$AV$14:BY$968='Résultats Projection'!$A37 ) * (DATABASE!$AW$14:$AW$968= AF$4))-ROW(DATABASE!$AV$14)+1,AF$5+3)),"")</f>
        <v/>
      </c>
      <c r="AG37" s="116">
        <f t="array" ref="AG37">IFERROR(_xlfn.SINGLE(INDEX(DATABASE!$AV$14:$BC$968,SUMPRODUCT((ROW(DATABASE!$AV$14:$AV$968)) * (DATABASE!$AV$14:BZ$968='Résultats Projection'!$A37 ) * (DATABASE!$AW$14:$AW$968= AG$4))-ROW(DATABASE!$AV$14)+1,AG$5+3)),"")</f>
        <v/>
      </c>
      <c r="AH37" s="116">
        <f t="array" ref="AH37">IFERROR(_xlfn.SINGLE(INDEX(DATABASE!$AV$14:$BC$968,SUMPRODUCT((ROW(DATABASE!$AV$14:$AV$968)) * (DATABASE!$AV$14:CA$968='Résultats Projection'!$A37 ) * (DATABASE!$AW$14:$AW$968= AH$4))-ROW(DATABASE!$AV$14)+1,AH$5+3)),"")</f>
        <v/>
      </c>
      <c r="AI37" s="116">
        <f t="array" ref="AI37">IFERROR(_xlfn.SINGLE(INDEX(DATABASE!$AV$14:$BC$968,SUMPRODUCT((ROW(DATABASE!$AV$14:$AV$968)) * (DATABASE!$AV$14:CB$968='Résultats Projection'!$A37 ) * (DATABASE!$AW$14:$AW$968= AI$4))-ROW(DATABASE!$AV$14)+1,AI$5+3)),"")</f>
        <v/>
      </c>
      <c r="AJ37" s="116">
        <f t="array" ref="AJ37">IFERROR(_xlfn.SINGLE(INDEX(DATABASE!$AV$14:$BC$968,SUMPRODUCT((ROW(DATABASE!$AV$14:$AV$968)) * (DATABASE!$AV$14:CC$968='Résultats Projection'!$A37 ) * (DATABASE!$AW$14:$AW$968= AJ$4))-ROW(DATABASE!$AV$14)+1,AJ$5+3)),"")</f>
        <v/>
      </c>
      <c r="AK37" s="116">
        <f t="array" ref="AK37">IFERROR(_xlfn.SINGLE(INDEX(DATABASE!$AV$14:$BC$968,SUMPRODUCT((ROW(DATABASE!$AV$14:$AV$968)) * (DATABASE!$AV$14:CD$968='Résultats Projection'!$A37 ) * (DATABASE!$AW$14:$AW$968= AK$4))-ROW(DATABASE!$AV$14)+1,AK$5+3)),"")</f>
        <v/>
      </c>
      <c r="AL37" s="116">
        <f t="array" ref="AL37">IFERROR(_xlfn.SINGLE(INDEX(DATABASE!$AV$14:$BC$968,SUMPRODUCT((ROW(DATABASE!$AV$14:$AV$968)) * (DATABASE!$AV$14:CE$968='Résultats Projection'!$A37 ) * (DATABASE!$AW$14:$AW$968= AL$4))-ROW(DATABASE!$AV$14)+1,AL$5+3)),"")</f>
        <v/>
      </c>
      <c r="AM37" s="116">
        <f t="array" ref="AM37">IFERROR(_xlfn.SINGLE(INDEX(DATABASE!$AV$14:$BC$968,SUMPRODUCT((ROW(DATABASE!$AV$14:$AV$968)) * (DATABASE!$AV$14:CF$968='Résultats Projection'!$A37 ) * (DATABASE!$AW$14:$AW$968= AM$4))-ROW(DATABASE!$AV$14)+1,AM$5+3)),"")</f>
        <v/>
      </c>
      <c r="AN37" s="116">
        <f t="array" ref="AN37">IFERROR(_xlfn.SINGLE(INDEX(DATABASE!$AV$14:$BC$968,SUMPRODUCT((ROW(DATABASE!$AV$14:$AV$968)) * (DATABASE!$AV$14:CG$968='Résultats Projection'!$A37 ) * (DATABASE!$AW$14:$AW$968= AN$4))-ROW(DATABASE!$AV$14)+1,AN$5+3)),"")</f>
        <v/>
      </c>
      <c r="AO37" s="116">
        <f t="array" ref="AO37">IFERROR(_xlfn.SINGLE(INDEX(DATABASE!$AV$14:$BC$968,SUMPRODUCT((ROW(DATABASE!$AV$14:$AV$968)) * (DATABASE!$AV$14:CH$968='Résultats Projection'!$A37 ) * (DATABASE!$AW$14:$AW$968= AO$4))-ROW(DATABASE!$AV$14)+1,AO$5+3)),"")</f>
        <v/>
      </c>
      <c r="AP37" s="116">
        <f t="array" ref="AP37">IFERROR(_xlfn.SINGLE(INDEX(DATABASE!$AV$14:$BC$968,SUMPRODUCT((ROW(DATABASE!$AV$14:$AV$968)) * (DATABASE!$AV$14:CI$968='Résultats Projection'!$A37 ) * (DATABASE!$AW$14:$AW$968= AP$4))-ROW(DATABASE!$AV$14)+1,AP$5+3)),"")</f>
        <v/>
      </c>
      <c r="AQ37" s="116">
        <f t="array" ref="AQ37">IFERROR(_xlfn.SINGLE(INDEX(DATABASE!$AV$14:$BC$968,SUMPRODUCT((ROW(DATABASE!$AV$14:$AV$968)) * (DATABASE!$AV$14:CJ$968='Résultats Projection'!$A37 ) * (DATABASE!$AW$14:$AW$968= AQ$4))-ROW(DATABASE!$AV$14)+1,AQ$5+3)),"")</f>
        <v/>
      </c>
      <c r="AR37" s="116">
        <f t="array" ref="AR37">IFERROR(_xlfn.SINGLE(INDEX(DATABASE!$AV$14:$BC$968,SUMPRODUCT((ROW(DATABASE!$AV$14:$AV$968)) * (DATABASE!$AV$14:CK$968='Résultats Projection'!$A37 ) * (DATABASE!$AW$14:$AW$968= AR$4))-ROW(DATABASE!$AV$14)+1,AR$5+3)),"")</f>
        <v/>
      </c>
      <c r="AS37" s="116">
        <f t="array" ref="AS37">IFERROR(_xlfn.SINGLE(INDEX(DATABASE!$AV$14:$BC$968,SUMPRODUCT((ROW(DATABASE!$AV$14:$AV$968)) * (DATABASE!$AV$14:CL$968='Résultats Projection'!$A37 ) * (DATABASE!$AW$14:$AW$968= AS$4))-ROW(DATABASE!$AV$14)+1,AS$5+3)),"")</f>
        <v/>
      </c>
      <c r="AT37" s="116">
        <f t="array" ref="AT37">IFERROR(_xlfn.SINGLE(INDEX(DATABASE!$AV$14:$BC$968,SUMPRODUCT((ROW(DATABASE!$AV$14:$AV$968)) * (DATABASE!$AV$14:CM$968='Résultats Projection'!$A37 ) * (DATABASE!$AW$14:$AW$968= AT$4))-ROW(DATABASE!$AV$14)+1,AT$5+3)),"")</f>
        <v/>
      </c>
      <c r="AU37" s="116">
        <f t="array" ref="AU37">IFERROR(_xlfn.SINGLE(INDEX(DATABASE!$AV$14:$BC$968,SUMPRODUCT((ROW(DATABASE!$AV$14:$AV$968)) * (DATABASE!$AV$14:CN$968='Résultats Projection'!$A37 ) * (DATABASE!$AW$14:$AW$968= AU$4))-ROW(DATABASE!$AV$14)+1,AU$5+3)),"")</f>
        <v/>
      </c>
      <c r="AV37" s="116">
        <f t="array" ref="AV37">IFERROR(_xlfn.SINGLE(INDEX(DATABASE!$AV$14:$BC$968,SUMPRODUCT((ROW(DATABASE!$AV$14:$AV$968)) * (DATABASE!$AV$14:CO$968='Résultats Projection'!$A37 ) * (DATABASE!$AW$14:$AW$968= AV$4))-ROW(DATABASE!$AV$14)+1,AV$5+3)),"")</f>
        <v/>
      </c>
      <c r="AW37" s="116">
        <f t="array" ref="AW37">IFERROR(_xlfn.SINGLE(INDEX(DATABASE!$AV$14:$BC$968,SUMPRODUCT((ROW(DATABASE!$AV$14:$AV$968)) * (DATABASE!$AV$14:CP$968='Résultats Projection'!$A37 ) * (DATABASE!$AW$14:$AW$968= AW$4))-ROW(DATABASE!$AV$14)+1,AW$5+3)),"")</f>
        <v/>
      </c>
      <c r="AX37" s="116">
        <f t="array" ref="AX37">IFERROR(_xlfn.SINGLE(INDEX(DATABASE!$AV$14:$BC$968,SUMPRODUCT((ROW(DATABASE!$AV$14:$AV$968)) * (DATABASE!$AV$14:CQ$968='Résultats Projection'!$A37 ) * (DATABASE!$AW$14:$AW$968= AX$4))-ROW(DATABASE!$AV$14)+1,AX$5+3)),"")</f>
        <v/>
      </c>
      <c r="AY37" s="116">
        <f t="array" ref="AY37">IFERROR(_xlfn.SINGLE(INDEX(DATABASE!$AV$14:$BC$968,SUMPRODUCT((ROW(DATABASE!$AV$14:$AV$968)) * (DATABASE!$AV$14:CR$968='Résultats Projection'!$A37 ) * (DATABASE!$AW$14:$AW$968= AY$4))-ROW(DATABASE!$AV$14)+1,AY$5+3)),"")</f>
        <v/>
      </c>
      <c r="AZ37" s="116">
        <f t="array" ref="AZ37">IFERROR(_xlfn.SINGLE(INDEX(DATABASE!$AV$14:$BC$968,SUMPRODUCT((ROW(DATABASE!$AV$14:$AV$968)) * (DATABASE!$AV$14:CS$968='Résultats Projection'!$A37 ) * (DATABASE!$AW$14:$AW$968= AZ$4))-ROW(DATABASE!$AV$14)+1,AZ$5+3)),"")</f>
        <v/>
      </c>
      <c r="BA37" s="116">
        <f t="array" ref="BA37">IFERROR(_xlfn.SINGLE(INDEX(DATABASE!$AV$14:$BC$968,SUMPRODUCT((ROW(DATABASE!$AV$14:$AV$968)) * (DATABASE!$AV$14:CT$968='Résultats Projection'!$A37 ) * (DATABASE!$AW$14:$AW$968= BA$4))-ROW(DATABASE!$AV$14)+1,BA$5+3)),"")</f>
        <v/>
      </c>
      <c r="BB37" s="116">
        <f t="array" ref="BB37">IFERROR(_xlfn.SINGLE(INDEX(DATABASE!$AV$14:$BC$968,SUMPRODUCT((ROW(DATABASE!$AV$14:$AV$968)) * (DATABASE!$AV$14:CU$968='Résultats Projection'!$A37 ) * (DATABASE!$AW$14:$AW$968= BB$4))-ROW(DATABASE!$AV$14)+1,BB$5+3)),"")</f>
        <v/>
      </c>
      <c r="BC37" s="116">
        <f t="array" ref="BC37">IFERROR(_xlfn.SINGLE(INDEX(DATABASE!$AV$14:$BC$968,SUMPRODUCT((ROW(DATABASE!$AV$14:$AV$968)) * (DATABASE!$AV$14:CV$968='Résultats Projection'!$A37 ) * (DATABASE!$AW$14:$AW$968= BC$4))-ROW(DATABASE!$AV$14)+1,BC$5+3)),"")</f>
        <v/>
      </c>
      <c r="BD37" s="116">
        <f t="array" ref="BD37">IFERROR(_xlfn.SINGLE(INDEX(DATABASE!$AV$14:$BC$968,SUMPRODUCT((ROW(DATABASE!$AV$14:$AV$968)) * (DATABASE!$AV$14:CW$968='Résultats Projection'!$A37 ) * (DATABASE!$AW$14:$AW$968= BD$4))-ROW(DATABASE!$AV$14)+1,BD$5+3)),"")</f>
        <v/>
      </c>
      <c r="BE37" s="116">
        <f t="array" ref="BE37">IFERROR(_xlfn.SINGLE(INDEX(DATABASE!$AV$14:$BC$968,SUMPRODUCT((ROW(DATABASE!$AV$14:$AV$968)) * (DATABASE!$AV$14:CX$968='Résultats Projection'!$A37 ) * (DATABASE!$AW$14:$AW$968= BE$4))-ROW(DATABASE!$AV$14)+1,BE$5+3)),"")</f>
        <v/>
      </c>
      <c r="BF37" s="116">
        <f t="array" ref="BF37">IFERROR(_xlfn.SINGLE(INDEX(DATABASE!$AV$14:$BC$968,SUMPRODUCT((ROW(DATABASE!$AV$14:$AV$968)) * (DATABASE!$AV$14:CY$968='Résultats Projection'!$A37 ) * (DATABASE!$AW$14:$AW$968= BF$4))-ROW(DATABASE!$AV$14)+1,BF$5+3)),"")</f>
        <v/>
      </c>
      <c r="BG37" s="116">
        <f t="array" ref="BG37">IFERROR(_xlfn.SINGLE(INDEX(DATABASE!$AV$14:$BC$968,SUMPRODUCT((ROW(DATABASE!$AV$14:$AV$968)) * (DATABASE!$AV$14:CZ$968='Résultats Projection'!$A37 ) * (DATABASE!$AW$14:$AW$968= BG$4))-ROW(DATABASE!$AV$14)+1,BG$5+3)),"")</f>
        <v/>
      </c>
      <c r="BH37" s="116">
        <f t="array" ref="BH37">IFERROR(_xlfn.SINGLE(INDEX(DATABASE!$AV$14:$BC$968,SUMPRODUCT((ROW(DATABASE!$AV$14:$AV$968)) * (DATABASE!$AV$14:DA$968='Résultats Projection'!$A37 ) * (DATABASE!$AW$14:$AW$968= BH$4))-ROW(DATABASE!$AV$14)+1,BH$5+3)),"")</f>
        <v/>
      </c>
      <c r="BI37" s="116">
        <f t="array" ref="BI37">IFERROR(_xlfn.SINGLE(INDEX(DATABASE!$AV$14:$BC$968,SUMPRODUCT((ROW(DATABASE!$AV$14:$AV$968)) * (DATABASE!$AV$14:DB$968='Résultats Projection'!$A37 ) * (DATABASE!$AW$14:$AW$968= BI$4))-ROW(DATABASE!$AV$14)+1,BI$5+3)),"")</f>
        <v/>
      </c>
      <c r="BJ37" s="116">
        <f t="array" ref="BJ37">IFERROR(_xlfn.SINGLE(INDEX(DATABASE!$AV$14:$BC$968,SUMPRODUCT((ROW(DATABASE!$AV$14:$AV$968)) * (DATABASE!$AV$14:DC$968='Résultats Projection'!$A37 ) * (DATABASE!$AW$14:$AW$968= BJ$4))-ROW(DATABASE!$AV$14)+1,BJ$5+3)),"")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(DATABASE!AV$14:$AV$968='Résultats Projection'!$A38 ) * (DATABASE!$AW$14:$AW$968= C$4))-ROW(DATABASE!$AV$14)+1,C$5+3)),"")</f>
        <v/>
      </c>
      <c r="D38" s="116">
        <f t="array" ref="D38">IFERROR(_xlfn.SINGLE(INDEX(DATABASE!$AV$14:$BC$968,SUMPRODUCT((ROW(DATABASE!$AV$14:$AV$968)) * (DATABASE!$AV$14:AW$968='Résultats Projection'!$A38 ) * (DATABASE!$AW$14:$AW$968= D$4))-ROW(DATABASE!$AV$14)+1,D$5+3)),"")</f>
        <v/>
      </c>
      <c r="E38" s="116">
        <f t="array" ref="E38">IFERROR(_xlfn.SINGLE(INDEX(DATABASE!$AV$14:$BC$968,SUMPRODUCT((ROW(DATABASE!$AV$14:$AV$968)) * (DATABASE!$AV$14:AX$968='Résultats Projection'!$A38 ) * (DATABASE!$AW$14:$AW$968= E$4))-ROW(DATABASE!$AV$14)+1,E$5+3)),"")</f>
        <v/>
      </c>
      <c r="F38" s="116">
        <f t="array" ref="F38">IFERROR(_xlfn.SINGLE(INDEX(DATABASE!$AV$14:$BC$968,SUMPRODUCT((ROW(DATABASE!$AV$14:$AV$968)) * (DATABASE!$AV$14:AY$968='Résultats Projection'!$A38 ) * (DATABASE!$AW$14:$AW$968= F$4))-ROW(DATABASE!$AV$14)+1,F$5+3)),"")</f>
        <v/>
      </c>
      <c r="G38" s="116">
        <f t="array" ref="G38">IFERROR(_xlfn.SINGLE(INDEX(DATABASE!$AV$14:$BC$968,SUMPRODUCT((ROW(DATABASE!$AV$14:$AV$968)) * (DATABASE!$AV$14:AZ$968='Résultats Projection'!$A38 ) * (DATABASE!$AW$14:$AW$968= G$4))-ROW(DATABASE!$AV$14)+1,G$5+3)),"")</f>
        <v/>
      </c>
      <c r="H38" s="116">
        <f t="array" ref="H38">IFERROR(_xlfn.SINGLE(INDEX(DATABASE!$AV$14:$BC$968,SUMPRODUCT((ROW(DATABASE!$AV$14:$AV$968)) * (DATABASE!$AV$14:BA$968='Résultats Projection'!$A38 ) * (DATABASE!$AW$14:$AW$968= H$4))-ROW(DATABASE!$AV$14)+1,H$5+3)),"")</f>
        <v/>
      </c>
      <c r="I38" s="116">
        <f t="array" ref="I38">IFERROR(_xlfn.SINGLE(INDEX(DATABASE!$AV$14:$BC$968,SUMPRODUCT((ROW(DATABASE!$AV$14:$AV$968)) * (DATABASE!$AV$14:BB$968='Résultats Projection'!$A38 ) * (DATABASE!$AW$14:$AW$968= I$4))-ROW(DATABASE!$AV$14)+1,I$5+3)),"")</f>
        <v/>
      </c>
      <c r="J38" s="116">
        <f t="array" ref="J38">IFERROR(_xlfn.SINGLE(INDEX(DATABASE!$AV$14:$BC$968,SUMPRODUCT((ROW(DATABASE!$AV$14:$AV$968)) * (DATABASE!$AV$14:BC$968='Résultats Projection'!$A38 ) * (DATABASE!$AW$14:$AW$968= J$4))-ROW(DATABASE!$AV$14)+1,J$5+3)),"")</f>
        <v/>
      </c>
      <c r="K38" s="116">
        <f t="array" ref="K38">IFERROR(_xlfn.SINGLE(INDEX(DATABASE!$AV$14:$BC$968,SUMPRODUCT((ROW(DATABASE!$AV$14:$AV$968)) * (DATABASE!$AV$14:BD$968='Résultats Projection'!$A38 ) * (DATABASE!$AW$14:$AW$968= K$4))-ROW(DATABASE!$AV$14)+1,K$5+3)),"")</f>
        <v/>
      </c>
      <c r="L38" s="116">
        <f t="array" ref="L38">IFERROR(_xlfn.SINGLE(INDEX(DATABASE!$AV$14:$BC$968,SUMPRODUCT((ROW(DATABASE!$AV$14:$AV$968)) * (DATABASE!$AV$14:BE$968='Résultats Projection'!$A38 ) * (DATABASE!$AW$14:$AW$968= L$4))-ROW(DATABASE!$AV$14)+1,L$5+3)),"")</f>
        <v/>
      </c>
      <c r="M38" s="116">
        <f t="array" ref="M38">IFERROR(_xlfn.SINGLE(INDEX(DATABASE!$AV$14:$BC$968,SUMPRODUCT((ROW(DATABASE!$AV$14:$AV$968)) * (DATABASE!$AV$14:BF$968='Résultats Projection'!$A38 ) * (DATABASE!$AW$14:$AW$968= M$4))-ROW(DATABASE!$AV$14)+1,M$5+3)),"")</f>
        <v/>
      </c>
      <c r="N38" s="116">
        <f t="array" ref="N38">IFERROR(_xlfn.SINGLE(INDEX(DATABASE!$AV$14:$BC$968,SUMPRODUCT((ROW(DATABASE!$AV$14:$AV$968)) * (DATABASE!$AV$14:BG$968='Résultats Projection'!$A38 ) * (DATABASE!$AW$14:$AW$968= N$4))-ROW(DATABASE!$AV$14)+1,N$5+3)),"")</f>
        <v/>
      </c>
      <c r="O38" s="116">
        <f t="array" ref="O38">IFERROR(_xlfn.SINGLE(INDEX(DATABASE!$AV$14:$BC$968,SUMPRODUCT((ROW(DATABASE!$AV$14:$AV$968)) * (DATABASE!$AV$14:BH$968='Résultats Projection'!$A38 ) * (DATABASE!$AW$14:$AW$968= O$4))-ROW(DATABASE!$AV$14)+1,O$5+3)),"")</f>
        <v/>
      </c>
      <c r="P38" s="116">
        <f t="array" ref="P38">IFERROR(_xlfn.SINGLE(INDEX(DATABASE!$AV$14:$BC$968,SUMPRODUCT((ROW(DATABASE!$AV$14:$AV$968)) * (DATABASE!$AV$14:BI$968='Résultats Projection'!$A38 ) * (DATABASE!$AW$14:$AW$968= P$4))-ROW(DATABASE!$AV$14)+1,P$5+3)),"")</f>
        <v/>
      </c>
      <c r="Q38" s="116">
        <f t="array" ref="Q38">IFERROR(_xlfn.SINGLE(INDEX(DATABASE!$AV$14:$BC$968,SUMPRODUCT((ROW(DATABASE!$AV$14:$AV$968)) * (DATABASE!$AV$14:BJ$968='Résultats Projection'!$A38 ) * (DATABASE!$AW$14:$AW$968= Q$4))-ROW(DATABASE!$AV$14)+1,Q$5+3)),"")</f>
        <v/>
      </c>
      <c r="R38" s="116">
        <f t="array" ref="R38">IFERROR(_xlfn.SINGLE(INDEX(DATABASE!$AV$14:$BC$968,SUMPRODUCT((ROW(DATABASE!$AV$14:$AV$968)) * (DATABASE!$AV$14:BK$968='Résultats Projection'!$A38 ) * (DATABASE!$AW$14:$AW$968= R$4))-ROW(DATABASE!$AV$14)+1,R$5+3)),"")</f>
        <v/>
      </c>
      <c r="S38" s="116">
        <f t="array" ref="S38">IFERROR(_xlfn.SINGLE(INDEX(DATABASE!$AV$14:$BC$968,SUMPRODUCT((ROW(DATABASE!$AV$14:$AV$968)) * (DATABASE!$AV$14:BL$968='Résultats Projection'!$A38 ) * (DATABASE!$AW$14:$AW$968= S$4))-ROW(DATABASE!$AV$14)+1,S$5+3)),"")</f>
        <v/>
      </c>
      <c r="T38" s="116">
        <f t="array" ref="T38">IFERROR(_xlfn.SINGLE(INDEX(DATABASE!$AV$14:$BC$968,SUMPRODUCT((ROW(DATABASE!$AV$14:$AV$968)) * (DATABASE!$AV$14:BM$968='Résultats Projection'!$A38 ) * (DATABASE!$AW$14:$AW$968= T$4))-ROW(DATABASE!$AV$14)+1,T$5+3)),"")</f>
        <v/>
      </c>
      <c r="U38" s="116">
        <f t="array" ref="U38">IFERROR(_xlfn.SINGLE(INDEX(DATABASE!$AV$14:$BC$968,SUMPRODUCT((ROW(DATABASE!$AV$14:$AV$968)) * (DATABASE!$AV$14:BN$968='Résultats Projection'!$A38 ) * (DATABASE!$AW$14:$AW$968= U$4))-ROW(DATABASE!$AV$14)+1,U$5+3)),"")</f>
        <v/>
      </c>
      <c r="V38" s="116">
        <f t="array" ref="V38">IFERROR(_xlfn.SINGLE(INDEX(DATABASE!$AV$14:$BC$968,SUMPRODUCT((ROW(DATABASE!$AV$14:$AV$968)) * (DATABASE!$AV$14:BO$968='Résultats Projection'!$A38 ) * (DATABASE!$AW$14:$AW$968= V$4))-ROW(DATABASE!$AV$14)+1,V$5+3)),"")</f>
        <v/>
      </c>
      <c r="W38" s="116">
        <f t="array" ref="W38">IFERROR(_xlfn.SINGLE(INDEX(DATABASE!$AV$14:$BC$968,SUMPRODUCT((ROW(DATABASE!$AV$14:$AV$968)) * (DATABASE!$AV$14:BP$968='Résultats Projection'!$A38 ) * (DATABASE!$AW$14:$AW$968= W$4))-ROW(DATABASE!$AV$14)+1,W$5+3)),"")</f>
        <v/>
      </c>
      <c r="X38" s="116">
        <f t="array" ref="X38">IFERROR(_xlfn.SINGLE(INDEX(DATABASE!$AV$14:$BC$968,SUMPRODUCT((ROW(DATABASE!$AV$14:$AV$968)) * (DATABASE!$AV$14:BQ$968='Résultats Projection'!$A38 ) * (DATABASE!$AW$14:$AW$968= X$4))-ROW(DATABASE!$AV$14)+1,X$5+3)),"")</f>
        <v/>
      </c>
      <c r="Y38" s="116">
        <f t="array" ref="Y38">IFERROR(_xlfn.SINGLE(INDEX(DATABASE!$AV$14:$BC$968,SUMPRODUCT((ROW(DATABASE!$AV$14:$AV$968)) * (DATABASE!$AV$14:BR$968='Résultats Projection'!$A38 ) * (DATABASE!$AW$14:$AW$968= Y$4))-ROW(DATABASE!$AV$14)+1,Y$5+3)),"")</f>
        <v/>
      </c>
      <c r="Z38" s="116">
        <f t="array" ref="Z38">IFERROR(_xlfn.SINGLE(INDEX(DATABASE!$AV$14:$BC$968,SUMPRODUCT((ROW(DATABASE!$AV$14:$AV$968)) * (DATABASE!$AV$14:BS$968='Résultats Projection'!$A38 ) * (DATABASE!$AW$14:$AW$968= Z$4))-ROW(DATABASE!$AV$14)+1,Z$5+3)),"")</f>
        <v/>
      </c>
      <c r="AA38" s="116">
        <f t="array" ref="AA38">IFERROR(_xlfn.SINGLE(INDEX(DATABASE!$AV$14:$BC$968,SUMPRODUCT((ROW(DATABASE!$AV$14:$AV$968)) * (DATABASE!$AV$14:BT$968='Résultats Projection'!$A38 ) * (DATABASE!$AW$14:$AW$968= AA$4))-ROW(DATABASE!$AV$14)+1,AA$5+3)),"")</f>
        <v/>
      </c>
      <c r="AB38" s="116">
        <f t="array" ref="AB38">IFERROR(_xlfn.SINGLE(INDEX(DATABASE!$AV$14:$BC$968,SUMPRODUCT((ROW(DATABASE!$AV$14:$AV$968)) * (DATABASE!$AV$14:BU$968='Résultats Projection'!$A38 ) * (DATABASE!$AW$14:$AW$968= AB$4))-ROW(DATABASE!$AV$14)+1,AB$5+3)),"")</f>
        <v/>
      </c>
      <c r="AC38" s="116">
        <f t="array" ref="AC38">IFERROR(_xlfn.SINGLE(INDEX(DATABASE!$AV$14:$BC$968,SUMPRODUCT((ROW(DATABASE!$AV$14:$AV$968)) * (DATABASE!$AV$14:BV$968='Résultats Projection'!$A38 ) * (DATABASE!$AW$14:$AW$968= AC$4))-ROW(DATABASE!$AV$14)+1,AC$5+3)),"")</f>
        <v/>
      </c>
      <c r="AD38" s="116">
        <f t="array" ref="AD38">IFERROR(_xlfn.SINGLE(INDEX(DATABASE!$AV$14:$BC$968,SUMPRODUCT((ROW(DATABASE!$AV$14:$AV$968)) * (DATABASE!$AV$14:BW$968='Résultats Projection'!$A38 ) * (DATABASE!$AW$14:$AW$968= AD$4))-ROW(DATABASE!$AV$14)+1,AD$5+3)),"")</f>
        <v/>
      </c>
      <c r="AE38" s="116">
        <f t="array" ref="AE38">IFERROR(_xlfn.SINGLE(INDEX(DATABASE!$AV$14:$BC$968,SUMPRODUCT((ROW(DATABASE!$AV$14:$AV$968)) * (DATABASE!$AV$14:BX$968='Résultats Projection'!$A38 ) * (DATABASE!$AW$14:$AW$968= AE$4))-ROW(DATABASE!$AV$14)+1,AE$5+3)),"")</f>
        <v/>
      </c>
      <c r="AF38" s="116">
        <f t="array" ref="AF38">IFERROR(_xlfn.SINGLE(INDEX(DATABASE!$AV$14:$BC$968,SUMPRODUCT((ROW(DATABASE!$AV$14:$AV$968)) * (DATABASE!$AV$14:BY$968='Résultats Projection'!$A38 ) * (DATABASE!$AW$14:$AW$968= AF$4))-ROW(DATABASE!$AV$14)+1,AF$5+3)),"")</f>
        <v/>
      </c>
      <c r="AG38" s="116">
        <f t="array" ref="AG38">IFERROR(_xlfn.SINGLE(INDEX(DATABASE!$AV$14:$BC$968,SUMPRODUCT((ROW(DATABASE!$AV$14:$AV$968)) * (DATABASE!$AV$14:BZ$968='Résultats Projection'!$A38 ) * (DATABASE!$AW$14:$AW$968= AG$4))-ROW(DATABASE!$AV$14)+1,AG$5+3)),"")</f>
        <v/>
      </c>
      <c r="AH38" s="116">
        <f t="array" ref="AH38">IFERROR(_xlfn.SINGLE(INDEX(DATABASE!$AV$14:$BC$968,SUMPRODUCT((ROW(DATABASE!$AV$14:$AV$968)) * (DATABASE!$AV$14:CA$968='Résultats Projection'!$A38 ) * (DATABASE!$AW$14:$AW$968= AH$4))-ROW(DATABASE!$AV$14)+1,AH$5+3)),"")</f>
        <v/>
      </c>
      <c r="AI38" s="116">
        <f t="array" ref="AI38">IFERROR(_xlfn.SINGLE(INDEX(DATABASE!$AV$14:$BC$968,SUMPRODUCT((ROW(DATABASE!$AV$14:$AV$968)) * (DATABASE!$AV$14:CB$968='Résultats Projection'!$A38 ) * (DATABASE!$AW$14:$AW$968= AI$4))-ROW(DATABASE!$AV$14)+1,AI$5+3)),"")</f>
        <v/>
      </c>
      <c r="AJ38" s="116">
        <f t="array" ref="AJ38">IFERROR(_xlfn.SINGLE(INDEX(DATABASE!$AV$14:$BC$968,SUMPRODUCT((ROW(DATABASE!$AV$14:$AV$968)) * (DATABASE!$AV$14:CC$968='Résultats Projection'!$A38 ) * (DATABASE!$AW$14:$AW$968= AJ$4))-ROW(DATABASE!$AV$14)+1,AJ$5+3)),"")</f>
        <v/>
      </c>
      <c r="AK38" s="116">
        <f t="array" ref="AK38">IFERROR(_xlfn.SINGLE(INDEX(DATABASE!$AV$14:$BC$968,SUMPRODUCT((ROW(DATABASE!$AV$14:$AV$968)) * (DATABASE!$AV$14:CD$968='Résultats Projection'!$A38 ) * (DATABASE!$AW$14:$AW$968= AK$4))-ROW(DATABASE!$AV$14)+1,AK$5+3)),"")</f>
        <v/>
      </c>
      <c r="AL38" s="116">
        <f t="array" ref="AL38">IFERROR(_xlfn.SINGLE(INDEX(DATABASE!$AV$14:$BC$968,SUMPRODUCT((ROW(DATABASE!$AV$14:$AV$968)) * (DATABASE!$AV$14:CE$968='Résultats Projection'!$A38 ) * (DATABASE!$AW$14:$AW$968= AL$4))-ROW(DATABASE!$AV$14)+1,AL$5+3)),"")</f>
        <v/>
      </c>
      <c r="AM38" s="116">
        <f t="array" ref="AM38">IFERROR(_xlfn.SINGLE(INDEX(DATABASE!$AV$14:$BC$968,SUMPRODUCT((ROW(DATABASE!$AV$14:$AV$968)) * (DATABASE!$AV$14:CF$968='Résultats Projection'!$A38 ) * (DATABASE!$AW$14:$AW$968= AM$4))-ROW(DATABASE!$AV$14)+1,AM$5+3)),"")</f>
        <v/>
      </c>
      <c r="AN38" s="116">
        <f t="array" ref="AN38">IFERROR(_xlfn.SINGLE(INDEX(DATABASE!$AV$14:$BC$968,SUMPRODUCT((ROW(DATABASE!$AV$14:$AV$968)) * (DATABASE!$AV$14:CG$968='Résultats Projection'!$A38 ) * (DATABASE!$AW$14:$AW$968= AN$4))-ROW(DATABASE!$AV$14)+1,AN$5+3)),"")</f>
        <v/>
      </c>
      <c r="AO38" s="116">
        <f t="array" ref="AO38">IFERROR(_xlfn.SINGLE(INDEX(DATABASE!$AV$14:$BC$968,SUMPRODUCT((ROW(DATABASE!$AV$14:$AV$968)) * (DATABASE!$AV$14:CH$968='Résultats Projection'!$A38 ) * (DATABASE!$AW$14:$AW$968= AO$4))-ROW(DATABASE!$AV$14)+1,AO$5+3)),"")</f>
        <v/>
      </c>
      <c r="AP38" s="116">
        <f t="array" ref="AP38">IFERROR(_xlfn.SINGLE(INDEX(DATABASE!$AV$14:$BC$968,SUMPRODUCT((ROW(DATABASE!$AV$14:$AV$968)) * (DATABASE!$AV$14:CI$968='Résultats Projection'!$A38 ) * (DATABASE!$AW$14:$AW$968= AP$4))-ROW(DATABASE!$AV$14)+1,AP$5+3)),"")</f>
        <v/>
      </c>
      <c r="AQ38" s="116">
        <f t="array" ref="AQ38">IFERROR(_xlfn.SINGLE(INDEX(DATABASE!$AV$14:$BC$968,SUMPRODUCT((ROW(DATABASE!$AV$14:$AV$968)) * (DATABASE!$AV$14:CJ$968='Résultats Projection'!$A38 ) * (DATABASE!$AW$14:$AW$968= AQ$4))-ROW(DATABASE!$AV$14)+1,AQ$5+3)),"")</f>
        <v/>
      </c>
      <c r="AR38" s="116">
        <f t="array" ref="AR38">IFERROR(_xlfn.SINGLE(INDEX(DATABASE!$AV$14:$BC$968,SUMPRODUCT((ROW(DATABASE!$AV$14:$AV$968)) * (DATABASE!$AV$14:CK$968='Résultats Projection'!$A38 ) * (DATABASE!$AW$14:$AW$968= AR$4))-ROW(DATABASE!$AV$14)+1,AR$5+3)),"")</f>
        <v/>
      </c>
      <c r="AS38" s="116">
        <f t="array" ref="AS38">IFERROR(_xlfn.SINGLE(INDEX(DATABASE!$AV$14:$BC$968,SUMPRODUCT((ROW(DATABASE!$AV$14:$AV$968)) * (DATABASE!$AV$14:CL$968='Résultats Projection'!$A38 ) * (DATABASE!$AW$14:$AW$968= AS$4))-ROW(DATABASE!$AV$14)+1,AS$5+3)),"")</f>
        <v/>
      </c>
      <c r="AT38" s="116">
        <f t="array" ref="AT38">IFERROR(_xlfn.SINGLE(INDEX(DATABASE!$AV$14:$BC$968,SUMPRODUCT((ROW(DATABASE!$AV$14:$AV$968)) * (DATABASE!$AV$14:CM$968='Résultats Projection'!$A38 ) * (DATABASE!$AW$14:$AW$968= AT$4))-ROW(DATABASE!$AV$14)+1,AT$5+3)),"")</f>
        <v/>
      </c>
      <c r="AU38" s="116">
        <f t="array" ref="AU38">IFERROR(_xlfn.SINGLE(INDEX(DATABASE!$AV$14:$BC$968,SUMPRODUCT((ROW(DATABASE!$AV$14:$AV$968)) * (DATABASE!$AV$14:CN$968='Résultats Projection'!$A38 ) * (DATABASE!$AW$14:$AW$968= AU$4))-ROW(DATABASE!$AV$14)+1,AU$5+3)),"")</f>
        <v/>
      </c>
      <c r="AV38" s="116">
        <f t="array" ref="AV38">IFERROR(_xlfn.SINGLE(INDEX(DATABASE!$AV$14:$BC$968,SUMPRODUCT((ROW(DATABASE!$AV$14:$AV$968)) * (DATABASE!$AV$14:CO$968='Résultats Projection'!$A38 ) * (DATABASE!$AW$14:$AW$968= AV$4))-ROW(DATABASE!$AV$14)+1,AV$5+3)),"")</f>
        <v/>
      </c>
      <c r="AW38" s="116">
        <f t="array" ref="AW38">IFERROR(_xlfn.SINGLE(INDEX(DATABASE!$AV$14:$BC$968,SUMPRODUCT((ROW(DATABASE!$AV$14:$AV$968)) * (DATABASE!$AV$14:CP$968='Résultats Projection'!$A38 ) * (DATABASE!$AW$14:$AW$968= AW$4))-ROW(DATABASE!$AV$14)+1,AW$5+3)),"")</f>
        <v/>
      </c>
      <c r="AX38" s="116">
        <f t="array" ref="AX38">IFERROR(_xlfn.SINGLE(INDEX(DATABASE!$AV$14:$BC$968,SUMPRODUCT((ROW(DATABASE!$AV$14:$AV$968)) * (DATABASE!$AV$14:CQ$968='Résultats Projection'!$A38 ) * (DATABASE!$AW$14:$AW$968= AX$4))-ROW(DATABASE!$AV$14)+1,AX$5+3)),"")</f>
        <v/>
      </c>
      <c r="AY38" s="116">
        <f t="array" ref="AY38">IFERROR(_xlfn.SINGLE(INDEX(DATABASE!$AV$14:$BC$968,SUMPRODUCT((ROW(DATABASE!$AV$14:$AV$968)) * (DATABASE!$AV$14:CR$968='Résultats Projection'!$A38 ) * (DATABASE!$AW$14:$AW$968= AY$4))-ROW(DATABASE!$AV$14)+1,AY$5+3)),"")</f>
        <v/>
      </c>
      <c r="AZ38" s="116">
        <f t="array" ref="AZ38">IFERROR(_xlfn.SINGLE(INDEX(DATABASE!$AV$14:$BC$968,SUMPRODUCT((ROW(DATABASE!$AV$14:$AV$968)) * (DATABASE!$AV$14:CS$968='Résultats Projection'!$A38 ) * (DATABASE!$AW$14:$AW$968= AZ$4))-ROW(DATABASE!$AV$14)+1,AZ$5+3)),"")</f>
        <v/>
      </c>
      <c r="BA38" s="116">
        <f t="array" ref="BA38">IFERROR(_xlfn.SINGLE(INDEX(DATABASE!$AV$14:$BC$968,SUMPRODUCT((ROW(DATABASE!$AV$14:$AV$968)) * (DATABASE!$AV$14:CT$968='Résultats Projection'!$A38 ) * (DATABASE!$AW$14:$AW$968= BA$4))-ROW(DATABASE!$AV$14)+1,BA$5+3)),"")</f>
        <v/>
      </c>
      <c r="BB38" s="116">
        <f t="array" ref="BB38">IFERROR(_xlfn.SINGLE(INDEX(DATABASE!$AV$14:$BC$968,SUMPRODUCT((ROW(DATABASE!$AV$14:$AV$968)) * (DATABASE!$AV$14:CU$968='Résultats Projection'!$A38 ) * (DATABASE!$AW$14:$AW$968= BB$4))-ROW(DATABASE!$AV$14)+1,BB$5+3)),"")</f>
        <v/>
      </c>
      <c r="BC38" s="116">
        <f t="array" ref="BC38">IFERROR(_xlfn.SINGLE(INDEX(DATABASE!$AV$14:$BC$968,SUMPRODUCT((ROW(DATABASE!$AV$14:$AV$968)) * (DATABASE!$AV$14:CV$968='Résultats Projection'!$A38 ) * (DATABASE!$AW$14:$AW$968= BC$4))-ROW(DATABASE!$AV$14)+1,BC$5+3)),"")</f>
        <v/>
      </c>
      <c r="BD38" s="116">
        <f t="array" ref="BD38">IFERROR(_xlfn.SINGLE(INDEX(DATABASE!$AV$14:$BC$968,SUMPRODUCT((ROW(DATABASE!$AV$14:$AV$968)) * (DATABASE!$AV$14:CW$968='Résultats Projection'!$A38 ) * (DATABASE!$AW$14:$AW$968= BD$4))-ROW(DATABASE!$AV$14)+1,BD$5+3)),"")</f>
        <v/>
      </c>
      <c r="BE38" s="116">
        <f t="array" ref="BE38">IFERROR(_xlfn.SINGLE(INDEX(DATABASE!$AV$14:$BC$968,SUMPRODUCT((ROW(DATABASE!$AV$14:$AV$968)) * (DATABASE!$AV$14:CX$968='Résultats Projection'!$A38 ) * (DATABASE!$AW$14:$AW$968= BE$4))-ROW(DATABASE!$AV$14)+1,BE$5+3)),"")</f>
        <v/>
      </c>
      <c r="BF38" s="116">
        <f t="array" ref="BF38">IFERROR(_xlfn.SINGLE(INDEX(DATABASE!$AV$14:$BC$968,SUMPRODUCT((ROW(DATABASE!$AV$14:$AV$968)) * (DATABASE!$AV$14:CY$968='Résultats Projection'!$A38 ) * (DATABASE!$AW$14:$AW$968= BF$4))-ROW(DATABASE!$AV$14)+1,BF$5+3)),"")</f>
        <v/>
      </c>
      <c r="BG38" s="116">
        <f t="array" ref="BG38">IFERROR(_xlfn.SINGLE(INDEX(DATABASE!$AV$14:$BC$968,SUMPRODUCT((ROW(DATABASE!$AV$14:$AV$968)) * (DATABASE!$AV$14:CZ$968='Résultats Projection'!$A38 ) * (DATABASE!$AW$14:$AW$968= BG$4))-ROW(DATABASE!$AV$14)+1,BG$5+3)),"")</f>
        <v/>
      </c>
      <c r="BH38" s="116">
        <f t="array" ref="BH38">IFERROR(_xlfn.SINGLE(INDEX(DATABASE!$AV$14:$BC$968,SUMPRODUCT((ROW(DATABASE!$AV$14:$AV$968)) * (DATABASE!$AV$14:DA$968='Résultats Projection'!$A38 ) * (DATABASE!$AW$14:$AW$968= BH$4))-ROW(DATABASE!$AV$14)+1,BH$5+3)),"")</f>
        <v/>
      </c>
      <c r="BI38" s="116">
        <f t="array" ref="BI38">IFERROR(_xlfn.SINGLE(INDEX(DATABASE!$AV$14:$BC$968,SUMPRODUCT((ROW(DATABASE!$AV$14:$AV$968)) * (DATABASE!$AV$14:DB$968='Résultats Projection'!$A38 ) * (DATABASE!$AW$14:$AW$968= BI$4))-ROW(DATABASE!$AV$14)+1,BI$5+3)),"")</f>
        <v/>
      </c>
      <c r="BJ38" s="116">
        <f t="array" ref="BJ38">IFERROR(_xlfn.SINGLE(INDEX(DATABASE!$AV$14:$BC$968,SUMPRODUCT((ROW(DATABASE!$AV$14:$AV$968)) * (DATABASE!$AV$14:DC$968='Résultats Projection'!$A38 ) * (DATABASE!$AW$14:$AW$968= BJ$4))-ROW(DATABASE!$AV$14)+1,BJ$5+3)),"")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(DATABASE!AV$14:$AV$968='Résultats Projection'!$A39 ) * (DATABASE!$AW$14:$AW$968= C$4))-ROW(DATABASE!$AV$14)+1,C$5+3)),"")</f>
        <v/>
      </c>
      <c r="D39" s="116">
        <f t="array" ref="D39">IFERROR(_xlfn.SINGLE(INDEX(DATABASE!$AV$14:$BC$968,SUMPRODUCT((ROW(DATABASE!$AV$14:$AV$968)) * (DATABASE!$AV$14:AW$968='Résultats Projection'!$A39 ) * (DATABASE!$AW$14:$AW$968= D$4))-ROW(DATABASE!$AV$14)+1,D$5+3)),"")</f>
        <v/>
      </c>
      <c r="E39" s="116">
        <f t="array" ref="E39">IFERROR(_xlfn.SINGLE(INDEX(DATABASE!$AV$14:$BC$968,SUMPRODUCT((ROW(DATABASE!$AV$14:$AV$968)) * (DATABASE!$AV$14:AX$968='Résultats Projection'!$A39 ) * (DATABASE!$AW$14:$AW$968= E$4))-ROW(DATABASE!$AV$14)+1,E$5+3)),"")</f>
        <v/>
      </c>
      <c r="F39" s="116">
        <f t="array" ref="F39">IFERROR(_xlfn.SINGLE(INDEX(DATABASE!$AV$14:$BC$968,SUMPRODUCT((ROW(DATABASE!$AV$14:$AV$968)) * (DATABASE!$AV$14:AY$968='Résultats Projection'!$A39 ) * (DATABASE!$AW$14:$AW$968= F$4))-ROW(DATABASE!$AV$14)+1,F$5+3)),"")</f>
        <v/>
      </c>
      <c r="G39" s="116">
        <f t="array" ref="G39">IFERROR(_xlfn.SINGLE(INDEX(DATABASE!$AV$14:$BC$968,SUMPRODUCT((ROW(DATABASE!$AV$14:$AV$968)) * (DATABASE!$AV$14:AZ$968='Résultats Projection'!$A39 ) * (DATABASE!$AW$14:$AW$968= G$4))-ROW(DATABASE!$AV$14)+1,G$5+3)),"")</f>
        <v/>
      </c>
      <c r="H39" s="116">
        <f t="array" ref="H39">IFERROR(_xlfn.SINGLE(INDEX(DATABASE!$AV$14:$BC$968,SUMPRODUCT((ROW(DATABASE!$AV$14:$AV$968)) * (DATABASE!$AV$14:BA$968='Résultats Projection'!$A39 ) * (DATABASE!$AW$14:$AW$968= H$4))-ROW(DATABASE!$AV$14)+1,H$5+3)),"")</f>
        <v/>
      </c>
      <c r="I39" s="116">
        <f t="array" ref="I39">IFERROR(_xlfn.SINGLE(INDEX(DATABASE!$AV$14:$BC$968,SUMPRODUCT((ROW(DATABASE!$AV$14:$AV$968)) * (DATABASE!$AV$14:BB$968='Résultats Projection'!$A39 ) * (DATABASE!$AW$14:$AW$968= I$4))-ROW(DATABASE!$AV$14)+1,I$5+3)),"")</f>
        <v/>
      </c>
      <c r="J39" s="116">
        <f t="array" ref="J39">IFERROR(_xlfn.SINGLE(INDEX(DATABASE!$AV$14:$BC$968,SUMPRODUCT((ROW(DATABASE!$AV$14:$AV$968)) * (DATABASE!$AV$14:BC$968='Résultats Projection'!$A39 ) * (DATABASE!$AW$14:$AW$968= J$4))-ROW(DATABASE!$AV$14)+1,J$5+3)),"")</f>
        <v/>
      </c>
      <c r="K39" s="116">
        <f t="array" ref="K39">IFERROR(_xlfn.SINGLE(INDEX(DATABASE!$AV$14:$BC$968,SUMPRODUCT((ROW(DATABASE!$AV$14:$AV$968)) * (DATABASE!$AV$14:BD$968='Résultats Projection'!$A39 ) * (DATABASE!$AW$14:$AW$968= K$4))-ROW(DATABASE!$AV$14)+1,K$5+3)),"")</f>
        <v/>
      </c>
      <c r="L39" s="116">
        <f t="array" ref="L39">IFERROR(_xlfn.SINGLE(INDEX(DATABASE!$AV$14:$BC$968,SUMPRODUCT((ROW(DATABASE!$AV$14:$AV$968)) * (DATABASE!$AV$14:BE$968='Résultats Projection'!$A39 ) * (DATABASE!$AW$14:$AW$968= L$4))-ROW(DATABASE!$AV$14)+1,L$5+3)),"")</f>
        <v/>
      </c>
      <c r="M39" s="116">
        <f t="array" ref="M39">IFERROR(_xlfn.SINGLE(INDEX(DATABASE!$AV$14:$BC$968,SUMPRODUCT((ROW(DATABASE!$AV$14:$AV$968)) * (DATABASE!$AV$14:BF$968='Résultats Projection'!$A39 ) * (DATABASE!$AW$14:$AW$968= M$4))-ROW(DATABASE!$AV$14)+1,M$5+3)),"")</f>
        <v/>
      </c>
      <c r="N39" s="116">
        <f t="array" ref="N39">IFERROR(_xlfn.SINGLE(INDEX(DATABASE!$AV$14:$BC$968,SUMPRODUCT((ROW(DATABASE!$AV$14:$AV$968)) * (DATABASE!$AV$14:BG$968='Résultats Projection'!$A39 ) * (DATABASE!$AW$14:$AW$968= N$4))-ROW(DATABASE!$AV$14)+1,N$5+3)),"")</f>
        <v/>
      </c>
      <c r="O39" s="116">
        <f t="array" ref="O39">IFERROR(_xlfn.SINGLE(INDEX(DATABASE!$AV$14:$BC$968,SUMPRODUCT((ROW(DATABASE!$AV$14:$AV$968)) * (DATABASE!$AV$14:BH$968='Résultats Projection'!$A39 ) * (DATABASE!$AW$14:$AW$968= O$4))-ROW(DATABASE!$AV$14)+1,O$5+3)),"")</f>
        <v/>
      </c>
      <c r="P39" s="116">
        <f t="array" ref="P39">IFERROR(_xlfn.SINGLE(INDEX(DATABASE!$AV$14:$BC$968,SUMPRODUCT((ROW(DATABASE!$AV$14:$AV$968)) * (DATABASE!$AV$14:BI$968='Résultats Projection'!$A39 ) * (DATABASE!$AW$14:$AW$968= P$4))-ROW(DATABASE!$AV$14)+1,P$5+3)),"")</f>
        <v/>
      </c>
      <c r="Q39" s="116">
        <f t="array" ref="Q39">IFERROR(_xlfn.SINGLE(INDEX(DATABASE!$AV$14:$BC$968,SUMPRODUCT((ROW(DATABASE!$AV$14:$AV$968)) * (DATABASE!$AV$14:BJ$968='Résultats Projection'!$A39 ) * (DATABASE!$AW$14:$AW$968= Q$4))-ROW(DATABASE!$AV$14)+1,Q$5+3)),"")</f>
        <v/>
      </c>
      <c r="R39" s="116">
        <f t="array" ref="R39">IFERROR(_xlfn.SINGLE(INDEX(DATABASE!$AV$14:$BC$968,SUMPRODUCT((ROW(DATABASE!$AV$14:$AV$968)) * (DATABASE!$AV$14:BK$968='Résultats Projection'!$A39 ) * (DATABASE!$AW$14:$AW$968= R$4))-ROW(DATABASE!$AV$14)+1,R$5+3)),"")</f>
        <v/>
      </c>
      <c r="S39" s="116">
        <f t="array" ref="S39">IFERROR(_xlfn.SINGLE(INDEX(DATABASE!$AV$14:$BC$968,SUMPRODUCT((ROW(DATABASE!$AV$14:$AV$968)) * (DATABASE!$AV$14:BL$968='Résultats Projection'!$A39 ) * (DATABASE!$AW$14:$AW$968= S$4))-ROW(DATABASE!$AV$14)+1,S$5+3)),"")</f>
        <v/>
      </c>
      <c r="T39" s="116">
        <f t="array" ref="T39">IFERROR(_xlfn.SINGLE(INDEX(DATABASE!$AV$14:$BC$968,SUMPRODUCT((ROW(DATABASE!$AV$14:$AV$968)) * (DATABASE!$AV$14:BM$968='Résultats Projection'!$A39 ) * (DATABASE!$AW$14:$AW$968= T$4))-ROW(DATABASE!$AV$14)+1,T$5+3)),"")</f>
        <v/>
      </c>
      <c r="U39" s="116">
        <f t="array" ref="U39">IFERROR(_xlfn.SINGLE(INDEX(DATABASE!$AV$14:$BC$968,SUMPRODUCT((ROW(DATABASE!$AV$14:$AV$968)) * (DATABASE!$AV$14:BN$968='Résultats Projection'!$A39 ) * (DATABASE!$AW$14:$AW$968= U$4))-ROW(DATABASE!$AV$14)+1,U$5+3)),"")</f>
        <v/>
      </c>
      <c r="V39" s="116">
        <f t="array" ref="V39">IFERROR(_xlfn.SINGLE(INDEX(DATABASE!$AV$14:$BC$968,SUMPRODUCT((ROW(DATABASE!$AV$14:$AV$968)) * (DATABASE!$AV$14:BO$968='Résultats Projection'!$A39 ) * (DATABASE!$AW$14:$AW$968= V$4))-ROW(DATABASE!$AV$14)+1,V$5+3)),"")</f>
        <v/>
      </c>
      <c r="W39" s="116">
        <f t="array" ref="W39">IFERROR(_xlfn.SINGLE(INDEX(DATABASE!$AV$14:$BC$968,SUMPRODUCT((ROW(DATABASE!$AV$14:$AV$968)) * (DATABASE!$AV$14:BP$968='Résultats Projection'!$A39 ) * (DATABASE!$AW$14:$AW$968= W$4))-ROW(DATABASE!$AV$14)+1,W$5+3)),"")</f>
        <v/>
      </c>
      <c r="X39" s="116">
        <f t="array" ref="X39">IFERROR(_xlfn.SINGLE(INDEX(DATABASE!$AV$14:$BC$968,SUMPRODUCT((ROW(DATABASE!$AV$14:$AV$968)) * (DATABASE!$AV$14:BQ$968='Résultats Projection'!$A39 ) * (DATABASE!$AW$14:$AW$968= X$4))-ROW(DATABASE!$AV$14)+1,X$5+3)),"")</f>
        <v/>
      </c>
      <c r="Y39" s="116">
        <f t="array" ref="Y39">IFERROR(_xlfn.SINGLE(INDEX(DATABASE!$AV$14:$BC$968,SUMPRODUCT((ROW(DATABASE!$AV$14:$AV$968)) * (DATABASE!$AV$14:BR$968='Résultats Projection'!$A39 ) * (DATABASE!$AW$14:$AW$968= Y$4))-ROW(DATABASE!$AV$14)+1,Y$5+3)),"")</f>
        <v/>
      </c>
      <c r="Z39" s="116">
        <f t="array" ref="Z39">IFERROR(_xlfn.SINGLE(INDEX(DATABASE!$AV$14:$BC$968,SUMPRODUCT((ROW(DATABASE!$AV$14:$AV$968)) * (DATABASE!$AV$14:BS$968='Résultats Projection'!$A39 ) * (DATABASE!$AW$14:$AW$968= Z$4))-ROW(DATABASE!$AV$14)+1,Z$5+3)),"")</f>
        <v/>
      </c>
      <c r="AA39" s="116">
        <f t="array" ref="AA39">IFERROR(_xlfn.SINGLE(INDEX(DATABASE!$AV$14:$BC$968,SUMPRODUCT((ROW(DATABASE!$AV$14:$AV$968)) * (DATABASE!$AV$14:BT$968='Résultats Projection'!$A39 ) * (DATABASE!$AW$14:$AW$968= AA$4))-ROW(DATABASE!$AV$14)+1,AA$5+3)),"")</f>
        <v/>
      </c>
      <c r="AB39" s="116">
        <f t="array" ref="AB39">IFERROR(_xlfn.SINGLE(INDEX(DATABASE!$AV$14:$BC$968,SUMPRODUCT((ROW(DATABASE!$AV$14:$AV$968)) * (DATABASE!$AV$14:BU$968='Résultats Projection'!$A39 ) * (DATABASE!$AW$14:$AW$968= AB$4))-ROW(DATABASE!$AV$14)+1,AB$5+3)),"")</f>
        <v/>
      </c>
      <c r="AC39" s="116">
        <f t="array" ref="AC39">IFERROR(_xlfn.SINGLE(INDEX(DATABASE!$AV$14:$BC$968,SUMPRODUCT((ROW(DATABASE!$AV$14:$AV$968)) * (DATABASE!$AV$14:BV$968='Résultats Projection'!$A39 ) * (DATABASE!$AW$14:$AW$968= AC$4))-ROW(DATABASE!$AV$14)+1,AC$5+3)),"")</f>
        <v/>
      </c>
      <c r="AD39" s="116">
        <f t="array" ref="AD39">IFERROR(_xlfn.SINGLE(INDEX(DATABASE!$AV$14:$BC$968,SUMPRODUCT((ROW(DATABASE!$AV$14:$AV$968)) * (DATABASE!$AV$14:BW$968='Résultats Projection'!$A39 ) * (DATABASE!$AW$14:$AW$968= AD$4))-ROW(DATABASE!$AV$14)+1,AD$5+3)),"")</f>
        <v/>
      </c>
      <c r="AE39" s="116">
        <f t="array" ref="AE39">IFERROR(_xlfn.SINGLE(INDEX(DATABASE!$AV$14:$BC$968,SUMPRODUCT((ROW(DATABASE!$AV$14:$AV$968)) * (DATABASE!$AV$14:BX$968='Résultats Projection'!$A39 ) * (DATABASE!$AW$14:$AW$968= AE$4))-ROW(DATABASE!$AV$14)+1,AE$5+3)),"")</f>
        <v/>
      </c>
      <c r="AF39" s="116">
        <f t="array" ref="AF39">IFERROR(_xlfn.SINGLE(INDEX(DATABASE!$AV$14:$BC$968,SUMPRODUCT((ROW(DATABASE!$AV$14:$AV$968)) * (DATABASE!$AV$14:BY$968='Résultats Projection'!$A39 ) * (DATABASE!$AW$14:$AW$968= AF$4))-ROW(DATABASE!$AV$14)+1,AF$5+3)),"")</f>
        <v/>
      </c>
      <c r="AG39" s="116">
        <f t="array" ref="AG39">IFERROR(_xlfn.SINGLE(INDEX(DATABASE!$AV$14:$BC$968,SUMPRODUCT((ROW(DATABASE!$AV$14:$AV$968)) * (DATABASE!$AV$14:BZ$968='Résultats Projection'!$A39 ) * (DATABASE!$AW$14:$AW$968= AG$4))-ROW(DATABASE!$AV$14)+1,AG$5+3)),"")</f>
        <v/>
      </c>
      <c r="AH39" s="116">
        <f t="array" ref="AH39">IFERROR(_xlfn.SINGLE(INDEX(DATABASE!$AV$14:$BC$968,SUMPRODUCT((ROW(DATABASE!$AV$14:$AV$968)) * (DATABASE!$AV$14:CA$968='Résultats Projection'!$A39 ) * (DATABASE!$AW$14:$AW$968= AH$4))-ROW(DATABASE!$AV$14)+1,AH$5+3)),"")</f>
        <v/>
      </c>
      <c r="AI39" s="116">
        <f t="array" ref="AI39">IFERROR(_xlfn.SINGLE(INDEX(DATABASE!$AV$14:$BC$968,SUMPRODUCT((ROW(DATABASE!$AV$14:$AV$968)) * (DATABASE!$AV$14:CB$968='Résultats Projection'!$A39 ) * (DATABASE!$AW$14:$AW$968= AI$4))-ROW(DATABASE!$AV$14)+1,AI$5+3)),"")</f>
        <v/>
      </c>
      <c r="AJ39" s="116">
        <f t="array" ref="AJ39">IFERROR(_xlfn.SINGLE(INDEX(DATABASE!$AV$14:$BC$968,SUMPRODUCT((ROW(DATABASE!$AV$14:$AV$968)) * (DATABASE!$AV$14:CC$968='Résultats Projection'!$A39 ) * (DATABASE!$AW$14:$AW$968= AJ$4))-ROW(DATABASE!$AV$14)+1,AJ$5+3)),"")</f>
        <v/>
      </c>
      <c r="AK39" s="116">
        <f t="array" ref="AK39">IFERROR(_xlfn.SINGLE(INDEX(DATABASE!$AV$14:$BC$968,SUMPRODUCT((ROW(DATABASE!$AV$14:$AV$968)) * (DATABASE!$AV$14:CD$968='Résultats Projection'!$A39 ) * (DATABASE!$AW$14:$AW$968= AK$4))-ROW(DATABASE!$AV$14)+1,AK$5+3)),"")</f>
        <v/>
      </c>
      <c r="AL39" s="116">
        <f t="array" ref="AL39">IFERROR(_xlfn.SINGLE(INDEX(DATABASE!$AV$14:$BC$968,SUMPRODUCT((ROW(DATABASE!$AV$14:$AV$968)) * (DATABASE!$AV$14:CE$968='Résultats Projection'!$A39 ) * (DATABASE!$AW$14:$AW$968= AL$4))-ROW(DATABASE!$AV$14)+1,AL$5+3)),"")</f>
        <v/>
      </c>
      <c r="AM39" s="116">
        <f t="array" ref="AM39">IFERROR(_xlfn.SINGLE(INDEX(DATABASE!$AV$14:$BC$968,SUMPRODUCT((ROW(DATABASE!$AV$14:$AV$968)) * (DATABASE!$AV$14:CF$968='Résultats Projection'!$A39 ) * (DATABASE!$AW$14:$AW$968= AM$4))-ROW(DATABASE!$AV$14)+1,AM$5+3)),"")</f>
        <v/>
      </c>
      <c r="AN39" s="116">
        <f t="array" ref="AN39">IFERROR(_xlfn.SINGLE(INDEX(DATABASE!$AV$14:$BC$968,SUMPRODUCT((ROW(DATABASE!$AV$14:$AV$968)) * (DATABASE!$AV$14:CG$968='Résultats Projection'!$A39 ) * (DATABASE!$AW$14:$AW$968= AN$4))-ROW(DATABASE!$AV$14)+1,AN$5+3)),"")</f>
        <v/>
      </c>
      <c r="AO39" s="116">
        <f t="array" ref="AO39">IFERROR(_xlfn.SINGLE(INDEX(DATABASE!$AV$14:$BC$968,SUMPRODUCT((ROW(DATABASE!$AV$14:$AV$968)) * (DATABASE!$AV$14:CH$968='Résultats Projection'!$A39 ) * (DATABASE!$AW$14:$AW$968= AO$4))-ROW(DATABASE!$AV$14)+1,AO$5+3)),"")</f>
        <v/>
      </c>
      <c r="AP39" s="116">
        <f t="array" ref="AP39">IFERROR(_xlfn.SINGLE(INDEX(DATABASE!$AV$14:$BC$968,SUMPRODUCT((ROW(DATABASE!$AV$14:$AV$968)) * (DATABASE!$AV$14:CI$968='Résultats Projection'!$A39 ) * (DATABASE!$AW$14:$AW$968= AP$4))-ROW(DATABASE!$AV$14)+1,AP$5+3)),"")</f>
        <v/>
      </c>
      <c r="AQ39" s="116">
        <f t="array" ref="AQ39">IFERROR(_xlfn.SINGLE(INDEX(DATABASE!$AV$14:$BC$968,SUMPRODUCT((ROW(DATABASE!$AV$14:$AV$968)) * (DATABASE!$AV$14:CJ$968='Résultats Projection'!$A39 ) * (DATABASE!$AW$14:$AW$968= AQ$4))-ROW(DATABASE!$AV$14)+1,AQ$5+3)),"")</f>
        <v/>
      </c>
      <c r="AR39" s="116">
        <f t="array" ref="AR39">IFERROR(_xlfn.SINGLE(INDEX(DATABASE!$AV$14:$BC$968,SUMPRODUCT((ROW(DATABASE!$AV$14:$AV$968)) * (DATABASE!$AV$14:CK$968='Résultats Projection'!$A39 ) * (DATABASE!$AW$14:$AW$968= AR$4))-ROW(DATABASE!$AV$14)+1,AR$5+3)),"")</f>
        <v/>
      </c>
      <c r="AS39" s="116">
        <f t="array" ref="AS39">IFERROR(_xlfn.SINGLE(INDEX(DATABASE!$AV$14:$BC$968,SUMPRODUCT((ROW(DATABASE!$AV$14:$AV$968)) * (DATABASE!$AV$14:CL$968='Résultats Projection'!$A39 ) * (DATABASE!$AW$14:$AW$968= AS$4))-ROW(DATABASE!$AV$14)+1,AS$5+3)),"")</f>
        <v/>
      </c>
      <c r="AT39" s="116">
        <f t="array" ref="AT39">IFERROR(_xlfn.SINGLE(INDEX(DATABASE!$AV$14:$BC$968,SUMPRODUCT((ROW(DATABASE!$AV$14:$AV$968)) * (DATABASE!$AV$14:CM$968='Résultats Projection'!$A39 ) * (DATABASE!$AW$14:$AW$968= AT$4))-ROW(DATABASE!$AV$14)+1,AT$5+3)),"")</f>
        <v/>
      </c>
      <c r="AU39" s="116">
        <f t="array" ref="AU39">IFERROR(_xlfn.SINGLE(INDEX(DATABASE!$AV$14:$BC$968,SUMPRODUCT((ROW(DATABASE!$AV$14:$AV$968)) * (DATABASE!$AV$14:CN$968='Résultats Projection'!$A39 ) * (DATABASE!$AW$14:$AW$968= AU$4))-ROW(DATABASE!$AV$14)+1,AU$5+3)),"")</f>
        <v/>
      </c>
      <c r="AV39" s="116">
        <f t="array" ref="AV39">IFERROR(_xlfn.SINGLE(INDEX(DATABASE!$AV$14:$BC$968,SUMPRODUCT((ROW(DATABASE!$AV$14:$AV$968)) * (DATABASE!$AV$14:CO$968='Résultats Projection'!$A39 ) * (DATABASE!$AW$14:$AW$968= AV$4))-ROW(DATABASE!$AV$14)+1,AV$5+3)),"")</f>
        <v/>
      </c>
      <c r="AW39" s="116">
        <f t="array" ref="AW39">IFERROR(_xlfn.SINGLE(INDEX(DATABASE!$AV$14:$BC$968,SUMPRODUCT((ROW(DATABASE!$AV$14:$AV$968)) * (DATABASE!$AV$14:CP$968='Résultats Projection'!$A39 ) * (DATABASE!$AW$14:$AW$968= AW$4))-ROW(DATABASE!$AV$14)+1,AW$5+3)),"")</f>
        <v/>
      </c>
      <c r="AX39" s="116">
        <f t="array" ref="AX39">IFERROR(_xlfn.SINGLE(INDEX(DATABASE!$AV$14:$BC$968,SUMPRODUCT((ROW(DATABASE!$AV$14:$AV$968)) * (DATABASE!$AV$14:CQ$968='Résultats Projection'!$A39 ) * (DATABASE!$AW$14:$AW$968= AX$4))-ROW(DATABASE!$AV$14)+1,AX$5+3)),"")</f>
        <v/>
      </c>
      <c r="AY39" s="116">
        <f t="array" ref="AY39">IFERROR(_xlfn.SINGLE(INDEX(DATABASE!$AV$14:$BC$968,SUMPRODUCT((ROW(DATABASE!$AV$14:$AV$968)) * (DATABASE!$AV$14:CR$968='Résultats Projection'!$A39 ) * (DATABASE!$AW$14:$AW$968= AY$4))-ROW(DATABASE!$AV$14)+1,AY$5+3)),"")</f>
        <v/>
      </c>
      <c r="AZ39" s="116">
        <f t="array" ref="AZ39">IFERROR(_xlfn.SINGLE(INDEX(DATABASE!$AV$14:$BC$968,SUMPRODUCT((ROW(DATABASE!$AV$14:$AV$968)) * (DATABASE!$AV$14:CS$968='Résultats Projection'!$A39 ) * (DATABASE!$AW$14:$AW$968= AZ$4))-ROW(DATABASE!$AV$14)+1,AZ$5+3)),"")</f>
        <v/>
      </c>
      <c r="BA39" s="116">
        <f t="array" ref="BA39">IFERROR(_xlfn.SINGLE(INDEX(DATABASE!$AV$14:$BC$968,SUMPRODUCT((ROW(DATABASE!$AV$14:$AV$968)) * (DATABASE!$AV$14:CT$968='Résultats Projection'!$A39 ) * (DATABASE!$AW$14:$AW$968= BA$4))-ROW(DATABASE!$AV$14)+1,BA$5+3)),"")</f>
        <v/>
      </c>
      <c r="BB39" s="116">
        <f t="array" ref="BB39">IFERROR(_xlfn.SINGLE(INDEX(DATABASE!$AV$14:$BC$968,SUMPRODUCT((ROW(DATABASE!$AV$14:$AV$968)) * (DATABASE!$AV$14:CU$968='Résultats Projection'!$A39 ) * (DATABASE!$AW$14:$AW$968= BB$4))-ROW(DATABASE!$AV$14)+1,BB$5+3)),"")</f>
        <v/>
      </c>
      <c r="BC39" s="116">
        <f t="array" ref="BC39">IFERROR(_xlfn.SINGLE(INDEX(DATABASE!$AV$14:$BC$968,SUMPRODUCT((ROW(DATABASE!$AV$14:$AV$968)) * (DATABASE!$AV$14:CV$968='Résultats Projection'!$A39 ) * (DATABASE!$AW$14:$AW$968= BC$4))-ROW(DATABASE!$AV$14)+1,BC$5+3)),"")</f>
        <v/>
      </c>
      <c r="BD39" s="116">
        <f t="array" ref="BD39">IFERROR(_xlfn.SINGLE(INDEX(DATABASE!$AV$14:$BC$968,SUMPRODUCT((ROW(DATABASE!$AV$14:$AV$968)) * (DATABASE!$AV$14:CW$968='Résultats Projection'!$A39 ) * (DATABASE!$AW$14:$AW$968= BD$4))-ROW(DATABASE!$AV$14)+1,BD$5+3)),"")</f>
        <v/>
      </c>
      <c r="BE39" s="116">
        <f t="array" ref="BE39">IFERROR(_xlfn.SINGLE(INDEX(DATABASE!$AV$14:$BC$968,SUMPRODUCT((ROW(DATABASE!$AV$14:$AV$968)) * (DATABASE!$AV$14:CX$968='Résultats Projection'!$A39 ) * (DATABASE!$AW$14:$AW$968= BE$4))-ROW(DATABASE!$AV$14)+1,BE$5+3)),"")</f>
        <v/>
      </c>
      <c r="BF39" s="116">
        <f t="array" ref="BF39">IFERROR(_xlfn.SINGLE(INDEX(DATABASE!$AV$14:$BC$968,SUMPRODUCT((ROW(DATABASE!$AV$14:$AV$968)) * (DATABASE!$AV$14:CY$968='Résultats Projection'!$A39 ) * (DATABASE!$AW$14:$AW$968= BF$4))-ROW(DATABASE!$AV$14)+1,BF$5+3)),"")</f>
        <v/>
      </c>
      <c r="BG39" s="116">
        <f t="array" ref="BG39">IFERROR(_xlfn.SINGLE(INDEX(DATABASE!$AV$14:$BC$968,SUMPRODUCT((ROW(DATABASE!$AV$14:$AV$968)) * (DATABASE!$AV$14:CZ$968='Résultats Projection'!$A39 ) * (DATABASE!$AW$14:$AW$968= BG$4))-ROW(DATABASE!$AV$14)+1,BG$5+3)),"")</f>
        <v/>
      </c>
      <c r="BH39" s="116">
        <f t="array" ref="BH39">IFERROR(_xlfn.SINGLE(INDEX(DATABASE!$AV$14:$BC$968,SUMPRODUCT((ROW(DATABASE!$AV$14:$AV$968)) * (DATABASE!$AV$14:DA$968='Résultats Projection'!$A39 ) * (DATABASE!$AW$14:$AW$968= BH$4))-ROW(DATABASE!$AV$14)+1,BH$5+3)),"")</f>
        <v/>
      </c>
      <c r="BI39" s="116">
        <f t="array" ref="BI39">IFERROR(_xlfn.SINGLE(INDEX(DATABASE!$AV$14:$BC$968,SUMPRODUCT((ROW(DATABASE!$AV$14:$AV$968)) * (DATABASE!$AV$14:DB$968='Résultats Projection'!$A39 ) * (DATABASE!$AW$14:$AW$968= BI$4))-ROW(DATABASE!$AV$14)+1,BI$5+3)),"")</f>
        <v/>
      </c>
      <c r="BJ39" s="116">
        <f t="array" ref="BJ39">IFERROR(_xlfn.SINGLE(INDEX(DATABASE!$AV$14:$BC$968,SUMPRODUCT((ROW(DATABASE!$AV$14:$AV$968)) * (DATABASE!$AV$14:DC$968='Résultats Projection'!$A39 ) * (DATABASE!$AW$14:$AW$968= BJ$4))-ROW(DATABASE!$AV$14)+1,BJ$5+3)),"")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(DATABASE!AV$14:$AV$968='Résultats Projection'!$A40 ) * (DATABASE!$AW$14:$AW$968= C$4))-ROW(DATABASE!$AV$14)+1,C$5+3)),"")</f>
        <v/>
      </c>
      <c r="D40" s="116">
        <f t="array" ref="D40">IFERROR(_xlfn.SINGLE(INDEX(DATABASE!$AV$14:$BC$968,SUMPRODUCT((ROW(DATABASE!$AV$14:$AV$968)) * (DATABASE!$AV$14:AW$968='Résultats Projection'!$A40 ) * (DATABASE!$AW$14:$AW$968= D$4))-ROW(DATABASE!$AV$14)+1,D$5+3)),"")</f>
        <v/>
      </c>
      <c r="E40" s="116">
        <f t="array" ref="E40">IFERROR(_xlfn.SINGLE(INDEX(DATABASE!$AV$14:$BC$968,SUMPRODUCT((ROW(DATABASE!$AV$14:$AV$968)) * (DATABASE!$AV$14:AX$968='Résultats Projection'!$A40 ) * (DATABASE!$AW$14:$AW$968= E$4))-ROW(DATABASE!$AV$14)+1,E$5+3)),"")</f>
        <v/>
      </c>
      <c r="F40" s="116">
        <f t="array" ref="F40">IFERROR(_xlfn.SINGLE(INDEX(DATABASE!$AV$14:$BC$968,SUMPRODUCT((ROW(DATABASE!$AV$14:$AV$968)) * (DATABASE!$AV$14:AY$968='Résultats Projection'!$A40 ) * (DATABASE!$AW$14:$AW$968= F$4))-ROW(DATABASE!$AV$14)+1,F$5+3)),"")</f>
        <v/>
      </c>
      <c r="G40" s="116">
        <f t="array" ref="G40">IFERROR(_xlfn.SINGLE(INDEX(DATABASE!$AV$14:$BC$968,SUMPRODUCT((ROW(DATABASE!$AV$14:$AV$968)) * (DATABASE!$AV$14:AZ$968='Résultats Projection'!$A40 ) * (DATABASE!$AW$14:$AW$968= G$4))-ROW(DATABASE!$AV$14)+1,G$5+3)),"")</f>
        <v/>
      </c>
      <c r="H40" s="116">
        <f t="array" ref="H40">IFERROR(_xlfn.SINGLE(INDEX(DATABASE!$AV$14:$BC$968,SUMPRODUCT((ROW(DATABASE!$AV$14:$AV$968)) * (DATABASE!$AV$14:BA$968='Résultats Projection'!$A40 ) * (DATABASE!$AW$14:$AW$968= H$4))-ROW(DATABASE!$AV$14)+1,H$5+3)),"")</f>
        <v/>
      </c>
      <c r="I40" s="116">
        <f t="array" ref="I40">IFERROR(_xlfn.SINGLE(INDEX(DATABASE!$AV$14:$BC$968,SUMPRODUCT((ROW(DATABASE!$AV$14:$AV$968)) * (DATABASE!$AV$14:BB$968='Résultats Projection'!$A40 ) * (DATABASE!$AW$14:$AW$968= I$4))-ROW(DATABASE!$AV$14)+1,I$5+3)),"")</f>
        <v/>
      </c>
      <c r="J40" s="116">
        <f t="array" ref="J40">IFERROR(_xlfn.SINGLE(INDEX(DATABASE!$AV$14:$BC$968,SUMPRODUCT((ROW(DATABASE!$AV$14:$AV$968)) * (DATABASE!$AV$14:BC$968='Résultats Projection'!$A40 ) * (DATABASE!$AW$14:$AW$968= J$4))-ROW(DATABASE!$AV$14)+1,J$5+3)),"")</f>
        <v/>
      </c>
      <c r="K40" s="116">
        <f t="array" ref="K40">IFERROR(_xlfn.SINGLE(INDEX(DATABASE!$AV$14:$BC$968,SUMPRODUCT((ROW(DATABASE!$AV$14:$AV$968)) * (DATABASE!$AV$14:BD$968='Résultats Projection'!$A40 ) * (DATABASE!$AW$14:$AW$968= K$4))-ROW(DATABASE!$AV$14)+1,K$5+3)),"")</f>
        <v/>
      </c>
      <c r="L40" s="116">
        <f t="array" ref="L40">IFERROR(_xlfn.SINGLE(INDEX(DATABASE!$AV$14:$BC$968,SUMPRODUCT((ROW(DATABASE!$AV$14:$AV$968)) * (DATABASE!$AV$14:BE$968='Résultats Projection'!$A40 ) * (DATABASE!$AW$14:$AW$968= L$4))-ROW(DATABASE!$AV$14)+1,L$5+3)),"")</f>
        <v/>
      </c>
      <c r="M40" s="116">
        <f t="array" ref="M40">IFERROR(_xlfn.SINGLE(INDEX(DATABASE!$AV$14:$BC$968,SUMPRODUCT((ROW(DATABASE!$AV$14:$AV$968)) * (DATABASE!$AV$14:BF$968='Résultats Projection'!$A40 ) * (DATABASE!$AW$14:$AW$968= M$4))-ROW(DATABASE!$AV$14)+1,M$5+3)),"")</f>
        <v/>
      </c>
      <c r="N40" s="116">
        <f t="array" ref="N40">IFERROR(_xlfn.SINGLE(INDEX(DATABASE!$AV$14:$BC$968,SUMPRODUCT((ROW(DATABASE!$AV$14:$AV$968)) * (DATABASE!$AV$14:BG$968='Résultats Projection'!$A40 ) * (DATABASE!$AW$14:$AW$968= N$4))-ROW(DATABASE!$AV$14)+1,N$5+3)),"")</f>
        <v/>
      </c>
      <c r="O40" s="116">
        <f t="array" ref="O40">IFERROR(_xlfn.SINGLE(INDEX(DATABASE!$AV$14:$BC$968,SUMPRODUCT((ROW(DATABASE!$AV$14:$AV$968)) * (DATABASE!$AV$14:BH$968='Résultats Projection'!$A40 ) * (DATABASE!$AW$14:$AW$968= O$4))-ROW(DATABASE!$AV$14)+1,O$5+3)),"")</f>
        <v/>
      </c>
      <c r="P40" s="116">
        <f t="array" ref="P40">IFERROR(_xlfn.SINGLE(INDEX(DATABASE!$AV$14:$BC$968,SUMPRODUCT((ROW(DATABASE!$AV$14:$AV$968)) * (DATABASE!$AV$14:BI$968='Résultats Projection'!$A40 ) * (DATABASE!$AW$14:$AW$968= P$4))-ROW(DATABASE!$AV$14)+1,P$5+3)),"")</f>
        <v/>
      </c>
      <c r="Q40" s="116">
        <f t="array" ref="Q40">IFERROR(_xlfn.SINGLE(INDEX(DATABASE!$AV$14:$BC$968,SUMPRODUCT((ROW(DATABASE!$AV$14:$AV$968)) * (DATABASE!$AV$14:BJ$968='Résultats Projection'!$A40 ) * (DATABASE!$AW$14:$AW$968= Q$4))-ROW(DATABASE!$AV$14)+1,Q$5+3)),"")</f>
        <v/>
      </c>
      <c r="R40" s="116">
        <f t="array" ref="R40">IFERROR(_xlfn.SINGLE(INDEX(DATABASE!$AV$14:$BC$968,SUMPRODUCT((ROW(DATABASE!$AV$14:$AV$968)) * (DATABASE!$AV$14:BK$968='Résultats Projection'!$A40 ) * (DATABASE!$AW$14:$AW$968= R$4))-ROW(DATABASE!$AV$14)+1,R$5+3)),"")</f>
        <v/>
      </c>
      <c r="S40" s="116">
        <f t="array" ref="S40">IFERROR(_xlfn.SINGLE(INDEX(DATABASE!$AV$14:$BC$968,SUMPRODUCT((ROW(DATABASE!$AV$14:$AV$968)) * (DATABASE!$AV$14:BL$968='Résultats Projection'!$A40 ) * (DATABASE!$AW$14:$AW$968= S$4))-ROW(DATABASE!$AV$14)+1,S$5+3)),"")</f>
        <v/>
      </c>
      <c r="T40" s="116">
        <f t="array" ref="T40">IFERROR(_xlfn.SINGLE(INDEX(DATABASE!$AV$14:$BC$968,SUMPRODUCT((ROW(DATABASE!$AV$14:$AV$968)) * (DATABASE!$AV$14:BM$968='Résultats Projection'!$A40 ) * (DATABASE!$AW$14:$AW$968= T$4))-ROW(DATABASE!$AV$14)+1,T$5+3)),"")</f>
        <v/>
      </c>
      <c r="U40" s="116">
        <f t="array" ref="U40">IFERROR(_xlfn.SINGLE(INDEX(DATABASE!$AV$14:$BC$968,SUMPRODUCT((ROW(DATABASE!$AV$14:$AV$968)) * (DATABASE!$AV$14:BN$968='Résultats Projection'!$A40 ) * (DATABASE!$AW$14:$AW$968= U$4))-ROW(DATABASE!$AV$14)+1,U$5+3)),"")</f>
        <v/>
      </c>
      <c r="V40" s="116">
        <f t="array" ref="V40">IFERROR(_xlfn.SINGLE(INDEX(DATABASE!$AV$14:$BC$968,SUMPRODUCT((ROW(DATABASE!$AV$14:$AV$968)) * (DATABASE!$AV$14:BO$968='Résultats Projection'!$A40 ) * (DATABASE!$AW$14:$AW$968= V$4))-ROW(DATABASE!$AV$14)+1,V$5+3)),"")</f>
        <v/>
      </c>
      <c r="W40" s="116">
        <f t="array" ref="W40">IFERROR(_xlfn.SINGLE(INDEX(DATABASE!$AV$14:$BC$968,SUMPRODUCT((ROW(DATABASE!$AV$14:$AV$968)) * (DATABASE!$AV$14:BP$968='Résultats Projection'!$A40 ) * (DATABASE!$AW$14:$AW$968= W$4))-ROW(DATABASE!$AV$14)+1,W$5+3)),"")</f>
        <v/>
      </c>
      <c r="X40" s="116">
        <f t="array" ref="X40">IFERROR(_xlfn.SINGLE(INDEX(DATABASE!$AV$14:$BC$968,SUMPRODUCT((ROW(DATABASE!$AV$14:$AV$968)) * (DATABASE!$AV$14:BQ$968='Résultats Projection'!$A40 ) * (DATABASE!$AW$14:$AW$968= X$4))-ROW(DATABASE!$AV$14)+1,X$5+3)),"")</f>
        <v/>
      </c>
      <c r="Y40" s="116">
        <f t="array" ref="Y40">IFERROR(_xlfn.SINGLE(INDEX(DATABASE!$AV$14:$BC$968,SUMPRODUCT((ROW(DATABASE!$AV$14:$AV$968)) * (DATABASE!$AV$14:BR$968='Résultats Projection'!$A40 ) * (DATABASE!$AW$14:$AW$968= Y$4))-ROW(DATABASE!$AV$14)+1,Y$5+3)),"")</f>
        <v/>
      </c>
      <c r="Z40" s="116">
        <f t="array" ref="Z40">IFERROR(_xlfn.SINGLE(INDEX(DATABASE!$AV$14:$BC$968,SUMPRODUCT((ROW(DATABASE!$AV$14:$AV$968)) * (DATABASE!$AV$14:BS$968='Résultats Projection'!$A40 ) * (DATABASE!$AW$14:$AW$968= Z$4))-ROW(DATABASE!$AV$14)+1,Z$5+3)),"")</f>
        <v/>
      </c>
      <c r="AA40" s="116">
        <f t="array" ref="AA40">IFERROR(_xlfn.SINGLE(INDEX(DATABASE!$AV$14:$BC$968,SUMPRODUCT((ROW(DATABASE!$AV$14:$AV$968)) * (DATABASE!$AV$14:BT$968='Résultats Projection'!$A40 ) * (DATABASE!$AW$14:$AW$968= AA$4))-ROW(DATABASE!$AV$14)+1,AA$5+3)),"")</f>
        <v/>
      </c>
      <c r="AB40" s="116">
        <f t="array" ref="AB40">IFERROR(_xlfn.SINGLE(INDEX(DATABASE!$AV$14:$BC$968,SUMPRODUCT((ROW(DATABASE!$AV$14:$AV$968)) * (DATABASE!$AV$14:BU$968='Résultats Projection'!$A40 ) * (DATABASE!$AW$14:$AW$968= AB$4))-ROW(DATABASE!$AV$14)+1,AB$5+3)),"")</f>
        <v/>
      </c>
      <c r="AC40" s="116">
        <f t="array" ref="AC40">IFERROR(_xlfn.SINGLE(INDEX(DATABASE!$AV$14:$BC$968,SUMPRODUCT((ROW(DATABASE!$AV$14:$AV$968)) * (DATABASE!$AV$14:BV$968='Résultats Projection'!$A40 ) * (DATABASE!$AW$14:$AW$968= AC$4))-ROW(DATABASE!$AV$14)+1,AC$5+3)),"")</f>
        <v/>
      </c>
      <c r="AD40" s="116">
        <f t="array" ref="AD40">IFERROR(_xlfn.SINGLE(INDEX(DATABASE!$AV$14:$BC$968,SUMPRODUCT((ROW(DATABASE!$AV$14:$AV$968)) * (DATABASE!$AV$14:BW$968='Résultats Projection'!$A40 ) * (DATABASE!$AW$14:$AW$968= AD$4))-ROW(DATABASE!$AV$14)+1,AD$5+3)),"")</f>
        <v/>
      </c>
      <c r="AE40" s="116">
        <f t="array" ref="AE40">IFERROR(_xlfn.SINGLE(INDEX(DATABASE!$AV$14:$BC$968,SUMPRODUCT((ROW(DATABASE!$AV$14:$AV$968)) * (DATABASE!$AV$14:BX$968='Résultats Projection'!$A40 ) * (DATABASE!$AW$14:$AW$968= AE$4))-ROW(DATABASE!$AV$14)+1,AE$5+3)),"")</f>
        <v/>
      </c>
      <c r="AF40" s="116">
        <f t="array" ref="AF40">IFERROR(_xlfn.SINGLE(INDEX(DATABASE!$AV$14:$BC$968,SUMPRODUCT((ROW(DATABASE!$AV$14:$AV$968)) * (DATABASE!$AV$14:BY$968='Résultats Projection'!$A40 ) * (DATABASE!$AW$14:$AW$968= AF$4))-ROW(DATABASE!$AV$14)+1,AF$5+3)),"")</f>
        <v/>
      </c>
      <c r="AG40" s="116">
        <f t="array" ref="AG40">IFERROR(_xlfn.SINGLE(INDEX(DATABASE!$AV$14:$BC$968,SUMPRODUCT((ROW(DATABASE!$AV$14:$AV$968)) * (DATABASE!$AV$14:BZ$968='Résultats Projection'!$A40 ) * (DATABASE!$AW$14:$AW$968= AG$4))-ROW(DATABASE!$AV$14)+1,AG$5+3)),"")</f>
        <v/>
      </c>
      <c r="AH40" s="116">
        <f t="array" ref="AH40">IFERROR(_xlfn.SINGLE(INDEX(DATABASE!$AV$14:$BC$968,SUMPRODUCT((ROW(DATABASE!$AV$14:$AV$968)) * (DATABASE!$AV$14:CA$968='Résultats Projection'!$A40 ) * (DATABASE!$AW$14:$AW$968= AH$4))-ROW(DATABASE!$AV$14)+1,AH$5+3)),"")</f>
        <v/>
      </c>
      <c r="AI40" s="116">
        <f t="array" ref="AI40">IFERROR(_xlfn.SINGLE(INDEX(DATABASE!$AV$14:$BC$968,SUMPRODUCT((ROW(DATABASE!$AV$14:$AV$968)) * (DATABASE!$AV$14:CB$968='Résultats Projection'!$A40 ) * (DATABASE!$AW$14:$AW$968= AI$4))-ROW(DATABASE!$AV$14)+1,AI$5+3)),"")</f>
        <v/>
      </c>
      <c r="AJ40" s="116">
        <f t="array" ref="AJ40">IFERROR(_xlfn.SINGLE(INDEX(DATABASE!$AV$14:$BC$968,SUMPRODUCT((ROW(DATABASE!$AV$14:$AV$968)) * (DATABASE!$AV$14:CC$968='Résultats Projection'!$A40 ) * (DATABASE!$AW$14:$AW$968= AJ$4))-ROW(DATABASE!$AV$14)+1,AJ$5+3)),"")</f>
        <v/>
      </c>
      <c r="AK40" s="116">
        <f t="array" ref="AK40">IFERROR(_xlfn.SINGLE(INDEX(DATABASE!$AV$14:$BC$968,SUMPRODUCT((ROW(DATABASE!$AV$14:$AV$968)) * (DATABASE!$AV$14:CD$968='Résultats Projection'!$A40 ) * (DATABASE!$AW$14:$AW$968= AK$4))-ROW(DATABASE!$AV$14)+1,AK$5+3)),"")</f>
        <v/>
      </c>
      <c r="AL40" s="116">
        <f t="array" ref="AL40">IFERROR(_xlfn.SINGLE(INDEX(DATABASE!$AV$14:$BC$968,SUMPRODUCT((ROW(DATABASE!$AV$14:$AV$968)) * (DATABASE!$AV$14:CE$968='Résultats Projection'!$A40 ) * (DATABASE!$AW$14:$AW$968= AL$4))-ROW(DATABASE!$AV$14)+1,AL$5+3)),"")</f>
        <v/>
      </c>
      <c r="AM40" s="116">
        <f t="array" ref="AM40">IFERROR(_xlfn.SINGLE(INDEX(DATABASE!$AV$14:$BC$968,SUMPRODUCT((ROW(DATABASE!$AV$14:$AV$968)) * (DATABASE!$AV$14:CF$968='Résultats Projection'!$A40 ) * (DATABASE!$AW$14:$AW$968= AM$4))-ROW(DATABASE!$AV$14)+1,AM$5+3)),"")</f>
        <v/>
      </c>
      <c r="AN40" s="116">
        <f t="array" ref="AN40">IFERROR(_xlfn.SINGLE(INDEX(DATABASE!$AV$14:$BC$968,SUMPRODUCT((ROW(DATABASE!$AV$14:$AV$968)) * (DATABASE!$AV$14:CG$968='Résultats Projection'!$A40 ) * (DATABASE!$AW$14:$AW$968= AN$4))-ROW(DATABASE!$AV$14)+1,AN$5+3)),"")</f>
        <v/>
      </c>
      <c r="AO40" s="116">
        <f t="array" ref="AO40">IFERROR(_xlfn.SINGLE(INDEX(DATABASE!$AV$14:$BC$968,SUMPRODUCT((ROW(DATABASE!$AV$14:$AV$968)) * (DATABASE!$AV$14:CH$968='Résultats Projection'!$A40 ) * (DATABASE!$AW$14:$AW$968= AO$4))-ROW(DATABASE!$AV$14)+1,AO$5+3)),"")</f>
        <v/>
      </c>
      <c r="AP40" s="116">
        <f t="array" ref="AP40">IFERROR(_xlfn.SINGLE(INDEX(DATABASE!$AV$14:$BC$968,SUMPRODUCT((ROW(DATABASE!$AV$14:$AV$968)) * (DATABASE!$AV$14:CI$968='Résultats Projection'!$A40 ) * (DATABASE!$AW$14:$AW$968= AP$4))-ROW(DATABASE!$AV$14)+1,AP$5+3)),"")</f>
        <v/>
      </c>
      <c r="AQ40" s="116">
        <f t="array" ref="AQ40">IFERROR(_xlfn.SINGLE(INDEX(DATABASE!$AV$14:$BC$968,SUMPRODUCT((ROW(DATABASE!$AV$14:$AV$968)) * (DATABASE!$AV$14:CJ$968='Résultats Projection'!$A40 ) * (DATABASE!$AW$14:$AW$968= AQ$4))-ROW(DATABASE!$AV$14)+1,AQ$5+3)),"")</f>
        <v/>
      </c>
      <c r="AR40" s="116">
        <f t="array" ref="AR40">IFERROR(_xlfn.SINGLE(INDEX(DATABASE!$AV$14:$BC$968,SUMPRODUCT((ROW(DATABASE!$AV$14:$AV$968)) * (DATABASE!$AV$14:CK$968='Résultats Projection'!$A40 ) * (DATABASE!$AW$14:$AW$968= AR$4))-ROW(DATABASE!$AV$14)+1,AR$5+3)),"")</f>
        <v/>
      </c>
      <c r="AS40" s="116">
        <f t="array" ref="AS40">IFERROR(_xlfn.SINGLE(INDEX(DATABASE!$AV$14:$BC$968,SUMPRODUCT((ROW(DATABASE!$AV$14:$AV$968)) * (DATABASE!$AV$14:CL$968='Résultats Projection'!$A40 ) * (DATABASE!$AW$14:$AW$968= AS$4))-ROW(DATABASE!$AV$14)+1,AS$5+3)),"")</f>
        <v/>
      </c>
      <c r="AT40" s="116">
        <f t="array" ref="AT40">IFERROR(_xlfn.SINGLE(INDEX(DATABASE!$AV$14:$BC$968,SUMPRODUCT((ROW(DATABASE!$AV$14:$AV$968)) * (DATABASE!$AV$14:CM$968='Résultats Projection'!$A40 ) * (DATABASE!$AW$14:$AW$968= AT$4))-ROW(DATABASE!$AV$14)+1,AT$5+3)),"")</f>
        <v/>
      </c>
      <c r="AU40" s="116">
        <f t="array" ref="AU40">IFERROR(_xlfn.SINGLE(INDEX(DATABASE!$AV$14:$BC$968,SUMPRODUCT((ROW(DATABASE!$AV$14:$AV$968)) * (DATABASE!$AV$14:CN$968='Résultats Projection'!$A40 ) * (DATABASE!$AW$14:$AW$968= AU$4))-ROW(DATABASE!$AV$14)+1,AU$5+3)),"")</f>
        <v/>
      </c>
      <c r="AV40" s="116">
        <f t="array" ref="AV40">IFERROR(_xlfn.SINGLE(INDEX(DATABASE!$AV$14:$BC$968,SUMPRODUCT((ROW(DATABASE!$AV$14:$AV$968)) * (DATABASE!$AV$14:CO$968='Résultats Projection'!$A40 ) * (DATABASE!$AW$14:$AW$968= AV$4))-ROW(DATABASE!$AV$14)+1,AV$5+3)),"")</f>
        <v/>
      </c>
      <c r="AW40" s="116">
        <f t="array" ref="AW40">IFERROR(_xlfn.SINGLE(INDEX(DATABASE!$AV$14:$BC$968,SUMPRODUCT((ROW(DATABASE!$AV$14:$AV$968)) * (DATABASE!$AV$14:CP$968='Résultats Projection'!$A40 ) * (DATABASE!$AW$14:$AW$968= AW$4))-ROW(DATABASE!$AV$14)+1,AW$5+3)),"")</f>
        <v/>
      </c>
      <c r="AX40" s="116">
        <f t="array" ref="AX40">IFERROR(_xlfn.SINGLE(INDEX(DATABASE!$AV$14:$BC$968,SUMPRODUCT((ROW(DATABASE!$AV$14:$AV$968)) * (DATABASE!$AV$14:CQ$968='Résultats Projection'!$A40 ) * (DATABASE!$AW$14:$AW$968= AX$4))-ROW(DATABASE!$AV$14)+1,AX$5+3)),"")</f>
        <v/>
      </c>
      <c r="AY40" s="116">
        <f t="array" ref="AY40">IFERROR(_xlfn.SINGLE(INDEX(DATABASE!$AV$14:$BC$968,SUMPRODUCT((ROW(DATABASE!$AV$14:$AV$968)) * (DATABASE!$AV$14:CR$968='Résultats Projection'!$A40 ) * (DATABASE!$AW$14:$AW$968= AY$4))-ROW(DATABASE!$AV$14)+1,AY$5+3)),"")</f>
        <v/>
      </c>
      <c r="AZ40" s="116">
        <f t="array" ref="AZ40">IFERROR(_xlfn.SINGLE(INDEX(DATABASE!$AV$14:$BC$968,SUMPRODUCT((ROW(DATABASE!$AV$14:$AV$968)) * (DATABASE!$AV$14:CS$968='Résultats Projection'!$A40 ) * (DATABASE!$AW$14:$AW$968= AZ$4))-ROW(DATABASE!$AV$14)+1,AZ$5+3)),"")</f>
        <v/>
      </c>
      <c r="BA40" s="116">
        <f t="array" ref="BA40">IFERROR(_xlfn.SINGLE(INDEX(DATABASE!$AV$14:$BC$968,SUMPRODUCT((ROW(DATABASE!$AV$14:$AV$968)) * (DATABASE!$AV$14:CT$968='Résultats Projection'!$A40 ) * (DATABASE!$AW$14:$AW$968= BA$4))-ROW(DATABASE!$AV$14)+1,BA$5+3)),"")</f>
        <v/>
      </c>
      <c r="BB40" s="116">
        <f t="array" ref="BB40">IFERROR(_xlfn.SINGLE(INDEX(DATABASE!$AV$14:$BC$968,SUMPRODUCT((ROW(DATABASE!$AV$14:$AV$968)) * (DATABASE!$AV$14:CU$968='Résultats Projection'!$A40 ) * (DATABASE!$AW$14:$AW$968= BB$4))-ROW(DATABASE!$AV$14)+1,BB$5+3)),"")</f>
        <v/>
      </c>
      <c r="BC40" s="116">
        <f t="array" ref="BC40">IFERROR(_xlfn.SINGLE(INDEX(DATABASE!$AV$14:$BC$968,SUMPRODUCT((ROW(DATABASE!$AV$14:$AV$968)) * (DATABASE!$AV$14:CV$968='Résultats Projection'!$A40 ) * (DATABASE!$AW$14:$AW$968= BC$4))-ROW(DATABASE!$AV$14)+1,BC$5+3)),"")</f>
        <v/>
      </c>
      <c r="BD40" s="116">
        <f t="array" ref="BD40">IFERROR(_xlfn.SINGLE(INDEX(DATABASE!$AV$14:$BC$968,SUMPRODUCT((ROW(DATABASE!$AV$14:$AV$968)) * (DATABASE!$AV$14:CW$968='Résultats Projection'!$A40 ) * (DATABASE!$AW$14:$AW$968= BD$4))-ROW(DATABASE!$AV$14)+1,BD$5+3)),"")</f>
        <v/>
      </c>
      <c r="BE40" s="116">
        <f t="array" ref="BE40">IFERROR(_xlfn.SINGLE(INDEX(DATABASE!$AV$14:$BC$968,SUMPRODUCT((ROW(DATABASE!$AV$14:$AV$968)) * (DATABASE!$AV$14:CX$968='Résultats Projection'!$A40 ) * (DATABASE!$AW$14:$AW$968= BE$4))-ROW(DATABASE!$AV$14)+1,BE$5+3)),"")</f>
        <v/>
      </c>
      <c r="BF40" s="116">
        <f t="array" ref="BF40">IFERROR(_xlfn.SINGLE(INDEX(DATABASE!$AV$14:$BC$968,SUMPRODUCT((ROW(DATABASE!$AV$14:$AV$968)) * (DATABASE!$AV$14:CY$968='Résultats Projection'!$A40 ) * (DATABASE!$AW$14:$AW$968= BF$4))-ROW(DATABASE!$AV$14)+1,BF$5+3)),"")</f>
        <v/>
      </c>
      <c r="BG40" s="116">
        <f t="array" ref="BG40">IFERROR(_xlfn.SINGLE(INDEX(DATABASE!$AV$14:$BC$968,SUMPRODUCT((ROW(DATABASE!$AV$14:$AV$968)) * (DATABASE!$AV$14:CZ$968='Résultats Projection'!$A40 ) * (DATABASE!$AW$14:$AW$968= BG$4))-ROW(DATABASE!$AV$14)+1,BG$5+3)),"")</f>
        <v/>
      </c>
      <c r="BH40" s="116">
        <f t="array" ref="BH40">IFERROR(_xlfn.SINGLE(INDEX(DATABASE!$AV$14:$BC$968,SUMPRODUCT((ROW(DATABASE!$AV$14:$AV$968)) * (DATABASE!$AV$14:DA$968='Résultats Projection'!$A40 ) * (DATABASE!$AW$14:$AW$968= BH$4))-ROW(DATABASE!$AV$14)+1,BH$5+3)),"")</f>
        <v/>
      </c>
      <c r="BI40" s="116">
        <f t="array" ref="BI40">IFERROR(_xlfn.SINGLE(INDEX(DATABASE!$AV$14:$BC$968,SUMPRODUCT((ROW(DATABASE!$AV$14:$AV$968)) * (DATABASE!$AV$14:DB$968='Résultats Projection'!$A40 ) * (DATABASE!$AW$14:$AW$968= BI$4))-ROW(DATABASE!$AV$14)+1,BI$5+3)),"")</f>
        <v/>
      </c>
      <c r="BJ40" s="116">
        <f t="array" ref="BJ40">IFERROR(_xlfn.SINGLE(INDEX(DATABASE!$AV$14:$BC$968,SUMPRODUCT((ROW(DATABASE!$AV$14:$AV$968)) * (DATABASE!$AV$14:DC$968='Résultats Projection'!$A40 ) * (DATABASE!$AW$14:$AW$968= BJ$4))-ROW(DATABASE!$AV$14)+1,BJ$5+3)),"")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(DATABASE!AV$14:$AV$968='Résultats Projection'!$A41 ) * (DATABASE!$AW$14:$AW$968= C$4))-ROW(DATABASE!$AV$14)+1,C$5+3)),"")</f>
        <v/>
      </c>
      <c r="D41" s="116">
        <f t="array" ref="D41">IFERROR(_xlfn.SINGLE(INDEX(DATABASE!$AV$14:$BC$968,SUMPRODUCT((ROW(DATABASE!$AV$14:$AV$968)) * (DATABASE!$AV$14:AW$968='Résultats Projection'!$A41 ) * (DATABASE!$AW$14:$AW$968= D$4))-ROW(DATABASE!$AV$14)+1,D$5+3)),"")</f>
        <v/>
      </c>
      <c r="E41" s="116">
        <f t="array" ref="E41">IFERROR(_xlfn.SINGLE(INDEX(DATABASE!$AV$14:$BC$968,SUMPRODUCT((ROW(DATABASE!$AV$14:$AV$968)) * (DATABASE!$AV$14:AX$968='Résultats Projection'!$A41 ) * (DATABASE!$AW$14:$AW$968= E$4))-ROW(DATABASE!$AV$14)+1,E$5+3)),"")</f>
        <v/>
      </c>
      <c r="F41" s="116">
        <f t="array" ref="F41">IFERROR(_xlfn.SINGLE(INDEX(DATABASE!$AV$14:$BC$968,SUMPRODUCT((ROW(DATABASE!$AV$14:$AV$968)) * (DATABASE!$AV$14:AY$968='Résultats Projection'!$A41 ) * (DATABASE!$AW$14:$AW$968= F$4))-ROW(DATABASE!$AV$14)+1,F$5+3)),"")</f>
        <v/>
      </c>
      <c r="G41" s="116">
        <f t="array" ref="G41">IFERROR(_xlfn.SINGLE(INDEX(DATABASE!$AV$14:$BC$968,SUMPRODUCT((ROW(DATABASE!$AV$14:$AV$968)) * (DATABASE!$AV$14:AZ$968='Résultats Projection'!$A41 ) * (DATABASE!$AW$14:$AW$968= G$4))-ROW(DATABASE!$AV$14)+1,G$5+3)),"")</f>
        <v/>
      </c>
      <c r="H41" s="116">
        <f t="array" ref="H41">IFERROR(_xlfn.SINGLE(INDEX(DATABASE!$AV$14:$BC$968,SUMPRODUCT((ROW(DATABASE!$AV$14:$AV$968)) * (DATABASE!$AV$14:BA$968='Résultats Projection'!$A41 ) * (DATABASE!$AW$14:$AW$968= H$4))-ROW(DATABASE!$AV$14)+1,H$5+3)),"")</f>
        <v/>
      </c>
      <c r="I41" s="116">
        <f t="array" ref="I41">IFERROR(_xlfn.SINGLE(INDEX(DATABASE!$AV$14:$BC$968,SUMPRODUCT((ROW(DATABASE!$AV$14:$AV$968)) * (DATABASE!$AV$14:BB$968='Résultats Projection'!$A41 ) * (DATABASE!$AW$14:$AW$968= I$4))-ROW(DATABASE!$AV$14)+1,I$5+3)),"")</f>
        <v/>
      </c>
      <c r="J41" s="116">
        <f t="array" ref="J41">IFERROR(_xlfn.SINGLE(INDEX(DATABASE!$AV$14:$BC$968,SUMPRODUCT((ROW(DATABASE!$AV$14:$AV$968)) * (DATABASE!$AV$14:BC$968='Résultats Projection'!$A41 ) * (DATABASE!$AW$14:$AW$968= J$4))-ROW(DATABASE!$AV$14)+1,J$5+3)),"")</f>
        <v/>
      </c>
      <c r="K41" s="116">
        <f t="array" ref="K41">IFERROR(_xlfn.SINGLE(INDEX(DATABASE!$AV$14:$BC$968,SUMPRODUCT((ROW(DATABASE!$AV$14:$AV$968)) * (DATABASE!$AV$14:BD$968='Résultats Projection'!$A41 ) * (DATABASE!$AW$14:$AW$968= K$4))-ROW(DATABASE!$AV$14)+1,K$5+3)),"")</f>
        <v/>
      </c>
      <c r="L41" s="116">
        <f t="array" ref="L41">IFERROR(_xlfn.SINGLE(INDEX(DATABASE!$AV$14:$BC$968,SUMPRODUCT((ROW(DATABASE!$AV$14:$AV$968)) * (DATABASE!$AV$14:BE$968='Résultats Projection'!$A41 ) * (DATABASE!$AW$14:$AW$968= L$4))-ROW(DATABASE!$AV$14)+1,L$5+3)),"")</f>
        <v/>
      </c>
      <c r="M41" s="116">
        <f t="array" ref="M41">IFERROR(_xlfn.SINGLE(INDEX(DATABASE!$AV$14:$BC$968,SUMPRODUCT((ROW(DATABASE!$AV$14:$AV$968)) * (DATABASE!$AV$14:BF$968='Résultats Projection'!$A41 ) * (DATABASE!$AW$14:$AW$968= M$4))-ROW(DATABASE!$AV$14)+1,M$5+3)),"")</f>
        <v/>
      </c>
      <c r="N41" s="116">
        <f t="array" ref="N41">IFERROR(_xlfn.SINGLE(INDEX(DATABASE!$AV$14:$BC$968,SUMPRODUCT((ROW(DATABASE!$AV$14:$AV$968)) * (DATABASE!$AV$14:BG$968='Résultats Projection'!$A41 ) * (DATABASE!$AW$14:$AW$968= N$4))-ROW(DATABASE!$AV$14)+1,N$5+3)),"")</f>
        <v/>
      </c>
      <c r="O41" s="116">
        <f t="array" ref="O41">IFERROR(_xlfn.SINGLE(INDEX(DATABASE!$AV$14:$BC$968,SUMPRODUCT((ROW(DATABASE!$AV$14:$AV$968)) * (DATABASE!$AV$14:BH$968='Résultats Projection'!$A41 ) * (DATABASE!$AW$14:$AW$968= O$4))-ROW(DATABASE!$AV$14)+1,O$5+3)),"")</f>
        <v/>
      </c>
      <c r="P41" s="116">
        <f t="array" ref="P41">IFERROR(_xlfn.SINGLE(INDEX(DATABASE!$AV$14:$BC$968,SUMPRODUCT((ROW(DATABASE!$AV$14:$AV$968)) * (DATABASE!$AV$14:BI$968='Résultats Projection'!$A41 ) * (DATABASE!$AW$14:$AW$968= P$4))-ROW(DATABASE!$AV$14)+1,P$5+3)),"")</f>
        <v/>
      </c>
      <c r="Q41" s="116">
        <f t="array" ref="Q41">IFERROR(_xlfn.SINGLE(INDEX(DATABASE!$AV$14:$BC$968,SUMPRODUCT((ROW(DATABASE!$AV$14:$AV$968)) * (DATABASE!$AV$14:BJ$968='Résultats Projection'!$A41 ) * (DATABASE!$AW$14:$AW$968= Q$4))-ROW(DATABASE!$AV$14)+1,Q$5+3)),"")</f>
        <v/>
      </c>
      <c r="R41" s="116">
        <f t="array" ref="R41">IFERROR(_xlfn.SINGLE(INDEX(DATABASE!$AV$14:$BC$968,SUMPRODUCT((ROW(DATABASE!$AV$14:$AV$968)) * (DATABASE!$AV$14:BK$968='Résultats Projection'!$A41 ) * (DATABASE!$AW$14:$AW$968= R$4))-ROW(DATABASE!$AV$14)+1,R$5+3)),"")</f>
        <v/>
      </c>
      <c r="S41" s="116">
        <f t="array" ref="S41">IFERROR(_xlfn.SINGLE(INDEX(DATABASE!$AV$14:$BC$968,SUMPRODUCT((ROW(DATABASE!$AV$14:$AV$968)) * (DATABASE!$AV$14:BL$968='Résultats Projection'!$A41 ) * (DATABASE!$AW$14:$AW$968= S$4))-ROW(DATABASE!$AV$14)+1,S$5+3)),"")</f>
        <v/>
      </c>
      <c r="T41" s="116">
        <f t="array" ref="T41">IFERROR(_xlfn.SINGLE(INDEX(DATABASE!$AV$14:$BC$968,SUMPRODUCT((ROW(DATABASE!$AV$14:$AV$968)) * (DATABASE!$AV$14:BM$968='Résultats Projection'!$A41 ) * (DATABASE!$AW$14:$AW$968= T$4))-ROW(DATABASE!$AV$14)+1,T$5+3)),"")</f>
        <v/>
      </c>
      <c r="U41" s="116">
        <f t="array" ref="U41">IFERROR(_xlfn.SINGLE(INDEX(DATABASE!$AV$14:$BC$968,SUMPRODUCT((ROW(DATABASE!$AV$14:$AV$968)) * (DATABASE!$AV$14:BN$968='Résultats Projection'!$A41 ) * (DATABASE!$AW$14:$AW$968= U$4))-ROW(DATABASE!$AV$14)+1,U$5+3)),"")</f>
        <v/>
      </c>
      <c r="V41" s="116">
        <f t="array" ref="V41">IFERROR(_xlfn.SINGLE(INDEX(DATABASE!$AV$14:$BC$968,SUMPRODUCT((ROW(DATABASE!$AV$14:$AV$968)) * (DATABASE!$AV$14:BO$968='Résultats Projection'!$A41 ) * (DATABASE!$AW$14:$AW$968= V$4))-ROW(DATABASE!$AV$14)+1,V$5+3)),"")</f>
        <v/>
      </c>
      <c r="W41" s="116">
        <f t="array" ref="W41">IFERROR(_xlfn.SINGLE(INDEX(DATABASE!$AV$14:$BC$968,SUMPRODUCT((ROW(DATABASE!$AV$14:$AV$968)) * (DATABASE!$AV$14:BP$968='Résultats Projection'!$A41 ) * (DATABASE!$AW$14:$AW$968= W$4))-ROW(DATABASE!$AV$14)+1,W$5+3)),"")</f>
        <v/>
      </c>
      <c r="X41" s="116">
        <f t="array" ref="X41">IFERROR(_xlfn.SINGLE(INDEX(DATABASE!$AV$14:$BC$968,SUMPRODUCT((ROW(DATABASE!$AV$14:$AV$968)) * (DATABASE!$AV$14:BQ$968='Résultats Projection'!$A41 ) * (DATABASE!$AW$14:$AW$968= X$4))-ROW(DATABASE!$AV$14)+1,X$5+3)),"")</f>
        <v/>
      </c>
      <c r="Y41" s="116">
        <f t="array" ref="Y41">IFERROR(_xlfn.SINGLE(INDEX(DATABASE!$AV$14:$BC$968,SUMPRODUCT((ROW(DATABASE!$AV$14:$AV$968)) * (DATABASE!$AV$14:BR$968='Résultats Projection'!$A41 ) * (DATABASE!$AW$14:$AW$968= Y$4))-ROW(DATABASE!$AV$14)+1,Y$5+3)),"")</f>
        <v/>
      </c>
      <c r="Z41" s="116">
        <f t="array" ref="Z41">IFERROR(_xlfn.SINGLE(INDEX(DATABASE!$AV$14:$BC$968,SUMPRODUCT((ROW(DATABASE!$AV$14:$AV$968)) * (DATABASE!$AV$14:BS$968='Résultats Projection'!$A41 ) * (DATABASE!$AW$14:$AW$968= Z$4))-ROW(DATABASE!$AV$14)+1,Z$5+3)),"")</f>
        <v/>
      </c>
      <c r="AA41" s="116">
        <f t="array" ref="AA41">IFERROR(_xlfn.SINGLE(INDEX(DATABASE!$AV$14:$BC$968,SUMPRODUCT((ROW(DATABASE!$AV$14:$AV$968)) * (DATABASE!$AV$14:BT$968='Résultats Projection'!$A41 ) * (DATABASE!$AW$14:$AW$968= AA$4))-ROW(DATABASE!$AV$14)+1,AA$5+3)),"")</f>
        <v/>
      </c>
      <c r="AB41" s="116">
        <f t="array" ref="AB41">IFERROR(_xlfn.SINGLE(INDEX(DATABASE!$AV$14:$BC$968,SUMPRODUCT((ROW(DATABASE!$AV$14:$AV$968)) * (DATABASE!$AV$14:BU$968='Résultats Projection'!$A41 ) * (DATABASE!$AW$14:$AW$968= AB$4))-ROW(DATABASE!$AV$14)+1,AB$5+3)),"")</f>
        <v/>
      </c>
      <c r="AC41" s="116">
        <f t="array" ref="AC41">IFERROR(_xlfn.SINGLE(INDEX(DATABASE!$AV$14:$BC$968,SUMPRODUCT((ROW(DATABASE!$AV$14:$AV$968)) * (DATABASE!$AV$14:BV$968='Résultats Projection'!$A41 ) * (DATABASE!$AW$14:$AW$968= AC$4))-ROW(DATABASE!$AV$14)+1,AC$5+3)),"")</f>
        <v/>
      </c>
      <c r="AD41" s="116">
        <f t="array" ref="AD41">IFERROR(_xlfn.SINGLE(INDEX(DATABASE!$AV$14:$BC$968,SUMPRODUCT((ROW(DATABASE!$AV$14:$AV$968)) * (DATABASE!$AV$14:BW$968='Résultats Projection'!$A41 ) * (DATABASE!$AW$14:$AW$968= AD$4))-ROW(DATABASE!$AV$14)+1,AD$5+3)),"")</f>
        <v/>
      </c>
      <c r="AE41" s="116">
        <f t="array" ref="AE41">IFERROR(_xlfn.SINGLE(INDEX(DATABASE!$AV$14:$BC$968,SUMPRODUCT((ROW(DATABASE!$AV$14:$AV$968)) * (DATABASE!$AV$14:BX$968='Résultats Projection'!$A41 ) * (DATABASE!$AW$14:$AW$968= AE$4))-ROW(DATABASE!$AV$14)+1,AE$5+3)),"")</f>
        <v/>
      </c>
      <c r="AF41" s="116">
        <f t="array" ref="AF41">IFERROR(_xlfn.SINGLE(INDEX(DATABASE!$AV$14:$BC$968,SUMPRODUCT((ROW(DATABASE!$AV$14:$AV$968)) * (DATABASE!$AV$14:BY$968='Résultats Projection'!$A41 ) * (DATABASE!$AW$14:$AW$968= AF$4))-ROW(DATABASE!$AV$14)+1,AF$5+3)),"")</f>
        <v/>
      </c>
      <c r="AG41" s="116">
        <f t="array" ref="AG41">IFERROR(_xlfn.SINGLE(INDEX(DATABASE!$AV$14:$BC$968,SUMPRODUCT((ROW(DATABASE!$AV$14:$AV$968)) * (DATABASE!$AV$14:BZ$968='Résultats Projection'!$A41 ) * (DATABASE!$AW$14:$AW$968= AG$4))-ROW(DATABASE!$AV$14)+1,AG$5+3)),"")</f>
        <v/>
      </c>
      <c r="AH41" s="116">
        <f t="array" ref="AH41">IFERROR(_xlfn.SINGLE(INDEX(DATABASE!$AV$14:$BC$968,SUMPRODUCT((ROW(DATABASE!$AV$14:$AV$968)) * (DATABASE!$AV$14:CA$968='Résultats Projection'!$A41 ) * (DATABASE!$AW$14:$AW$968= AH$4))-ROW(DATABASE!$AV$14)+1,AH$5+3)),"")</f>
        <v/>
      </c>
      <c r="AI41" s="116">
        <f t="array" ref="AI41">IFERROR(_xlfn.SINGLE(INDEX(DATABASE!$AV$14:$BC$968,SUMPRODUCT((ROW(DATABASE!$AV$14:$AV$968)) * (DATABASE!$AV$14:CB$968='Résultats Projection'!$A41 ) * (DATABASE!$AW$14:$AW$968= AI$4))-ROW(DATABASE!$AV$14)+1,AI$5+3)),"")</f>
        <v/>
      </c>
      <c r="AJ41" s="116">
        <f t="array" ref="AJ41">IFERROR(_xlfn.SINGLE(INDEX(DATABASE!$AV$14:$BC$968,SUMPRODUCT((ROW(DATABASE!$AV$14:$AV$968)) * (DATABASE!$AV$14:CC$968='Résultats Projection'!$A41 ) * (DATABASE!$AW$14:$AW$968= AJ$4))-ROW(DATABASE!$AV$14)+1,AJ$5+3)),"")</f>
        <v/>
      </c>
      <c r="AK41" s="116">
        <f t="array" ref="AK41">IFERROR(_xlfn.SINGLE(INDEX(DATABASE!$AV$14:$BC$968,SUMPRODUCT((ROW(DATABASE!$AV$14:$AV$968)) * (DATABASE!$AV$14:CD$968='Résultats Projection'!$A41 ) * (DATABASE!$AW$14:$AW$968= AK$4))-ROW(DATABASE!$AV$14)+1,AK$5+3)),"")</f>
        <v/>
      </c>
      <c r="AL41" s="116">
        <f t="array" ref="AL41">IFERROR(_xlfn.SINGLE(INDEX(DATABASE!$AV$14:$BC$968,SUMPRODUCT((ROW(DATABASE!$AV$14:$AV$968)) * (DATABASE!$AV$14:CE$968='Résultats Projection'!$A41 ) * (DATABASE!$AW$14:$AW$968= AL$4))-ROW(DATABASE!$AV$14)+1,AL$5+3)),"")</f>
        <v/>
      </c>
      <c r="AM41" s="116">
        <f t="array" ref="AM41">IFERROR(_xlfn.SINGLE(INDEX(DATABASE!$AV$14:$BC$968,SUMPRODUCT((ROW(DATABASE!$AV$14:$AV$968)) * (DATABASE!$AV$14:CF$968='Résultats Projection'!$A41 ) * (DATABASE!$AW$14:$AW$968= AM$4))-ROW(DATABASE!$AV$14)+1,AM$5+3)),"")</f>
        <v/>
      </c>
      <c r="AN41" s="116">
        <f t="array" ref="AN41">IFERROR(_xlfn.SINGLE(INDEX(DATABASE!$AV$14:$BC$968,SUMPRODUCT((ROW(DATABASE!$AV$14:$AV$968)) * (DATABASE!$AV$14:CG$968='Résultats Projection'!$A41 ) * (DATABASE!$AW$14:$AW$968= AN$4))-ROW(DATABASE!$AV$14)+1,AN$5+3)),"")</f>
        <v/>
      </c>
      <c r="AO41" s="116">
        <f t="array" ref="AO41">IFERROR(_xlfn.SINGLE(INDEX(DATABASE!$AV$14:$BC$968,SUMPRODUCT((ROW(DATABASE!$AV$14:$AV$968)) * (DATABASE!$AV$14:CH$968='Résultats Projection'!$A41 ) * (DATABASE!$AW$14:$AW$968= AO$4))-ROW(DATABASE!$AV$14)+1,AO$5+3)),"")</f>
        <v/>
      </c>
      <c r="AP41" s="116">
        <f t="array" ref="AP41">IFERROR(_xlfn.SINGLE(INDEX(DATABASE!$AV$14:$BC$968,SUMPRODUCT((ROW(DATABASE!$AV$14:$AV$968)) * (DATABASE!$AV$14:CI$968='Résultats Projection'!$A41 ) * (DATABASE!$AW$14:$AW$968= AP$4))-ROW(DATABASE!$AV$14)+1,AP$5+3)),"")</f>
        <v/>
      </c>
      <c r="AQ41" s="116">
        <f t="array" ref="AQ41">IFERROR(_xlfn.SINGLE(INDEX(DATABASE!$AV$14:$BC$968,SUMPRODUCT((ROW(DATABASE!$AV$14:$AV$968)) * (DATABASE!$AV$14:CJ$968='Résultats Projection'!$A41 ) * (DATABASE!$AW$14:$AW$968= AQ$4))-ROW(DATABASE!$AV$14)+1,AQ$5+3)),"")</f>
        <v/>
      </c>
      <c r="AR41" s="116">
        <f t="array" ref="AR41">IFERROR(_xlfn.SINGLE(INDEX(DATABASE!$AV$14:$BC$968,SUMPRODUCT((ROW(DATABASE!$AV$14:$AV$968)) * (DATABASE!$AV$14:CK$968='Résultats Projection'!$A41 ) * (DATABASE!$AW$14:$AW$968= AR$4))-ROW(DATABASE!$AV$14)+1,AR$5+3)),"")</f>
        <v/>
      </c>
      <c r="AS41" s="116">
        <f t="array" ref="AS41">IFERROR(_xlfn.SINGLE(INDEX(DATABASE!$AV$14:$BC$968,SUMPRODUCT((ROW(DATABASE!$AV$14:$AV$968)) * (DATABASE!$AV$14:CL$968='Résultats Projection'!$A41 ) * (DATABASE!$AW$14:$AW$968= AS$4))-ROW(DATABASE!$AV$14)+1,AS$5+3)),"")</f>
        <v/>
      </c>
      <c r="AT41" s="116">
        <f t="array" ref="AT41">IFERROR(_xlfn.SINGLE(INDEX(DATABASE!$AV$14:$BC$968,SUMPRODUCT((ROW(DATABASE!$AV$14:$AV$968)) * (DATABASE!$AV$14:CM$968='Résultats Projection'!$A41 ) * (DATABASE!$AW$14:$AW$968= AT$4))-ROW(DATABASE!$AV$14)+1,AT$5+3)),"")</f>
        <v/>
      </c>
      <c r="AU41" s="116">
        <f t="array" ref="AU41">IFERROR(_xlfn.SINGLE(INDEX(DATABASE!$AV$14:$BC$968,SUMPRODUCT((ROW(DATABASE!$AV$14:$AV$968)) * (DATABASE!$AV$14:CN$968='Résultats Projection'!$A41 ) * (DATABASE!$AW$14:$AW$968= AU$4))-ROW(DATABASE!$AV$14)+1,AU$5+3)),"")</f>
        <v/>
      </c>
      <c r="AV41" s="116">
        <f t="array" ref="AV41">IFERROR(_xlfn.SINGLE(INDEX(DATABASE!$AV$14:$BC$968,SUMPRODUCT((ROW(DATABASE!$AV$14:$AV$968)) * (DATABASE!$AV$14:CO$968='Résultats Projection'!$A41 ) * (DATABASE!$AW$14:$AW$968= AV$4))-ROW(DATABASE!$AV$14)+1,AV$5+3)),"")</f>
        <v/>
      </c>
      <c r="AW41" s="116">
        <f t="array" ref="AW41">IFERROR(_xlfn.SINGLE(INDEX(DATABASE!$AV$14:$BC$968,SUMPRODUCT((ROW(DATABASE!$AV$14:$AV$968)) * (DATABASE!$AV$14:CP$968='Résultats Projection'!$A41 ) * (DATABASE!$AW$14:$AW$968= AW$4))-ROW(DATABASE!$AV$14)+1,AW$5+3)),"")</f>
        <v/>
      </c>
      <c r="AX41" s="116">
        <f t="array" ref="AX41">IFERROR(_xlfn.SINGLE(INDEX(DATABASE!$AV$14:$BC$968,SUMPRODUCT((ROW(DATABASE!$AV$14:$AV$968)) * (DATABASE!$AV$14:CQ$968='Résultats Projection'!$A41 ) * (DATABASE!$AW$14:$AW$968= AX$4))-ROW(DATABASE!$AV$14)+1,AX$5+3)),"")</f>
        <v/>
      </c>
      <c r="AY41" s="116">
        <f t="array" ref="AY41">IFERROR(_xlfn.SINGLE(INDEX(DATABASE!$AV$14:$BC$968,SUMPRODUCT((ROW(DATABASE!$AV$14:$AV$968)) * (DATABASE!$AV$14:CR$968='Résultats Projection'!$A41 ) * (DATABASE!$AW$14:$AW$968= AY$4))-ROW(DATABASE!$AV$14)+1,AY$5+3)),"")</f>
        <v/>
      </c>
      <c r="AZ41" s="116">
        <f t="array" ref="AZ41">IFERROR(_xlfn.SINGLE(INDEX(DATABASE!$AV$14:$BC$968,SUMPRODUCT((ROW(DATABASE!$AV$14:$AV$968)) * (DATABASE!$AV$14:CS$968='Résultats Projection'!$A41 ) * (DATABASE!$AW$14:$AW$968= AZ$4))-ROW(DATABASE!$AV$14)+1,AZ$5+3)),"")</f>
        <v/>
      </c>
      <c r="BA41" s="116">
        <f t="array" ref="BA41">IFERROR(_xlfn.SINGLE(INDEX(DATABASE!$AV$14:$BC$968,SUMPRODUCT((ROW(DATABASE!$AV$14:$AV$968)) * (DATABASE!$AV$14:CT$968='Résultats Projection'!$A41 ) * (DATABASE!$AW$14:$AW$968= BA$4))-ROW(DATABASE!$AV$14)+1,BA$5+3)),"")</f>
        <v/>
      </c>
      <c r="BB41" s="116">
        <f t="array" ref="BB41">IFERROR(_xlfn.SINGLE(INDEX(DATABASE!$AV$14:$BC$968,SUMPRODUCT((ROW(DATABASE!$AV$14:$AV$968)) * (DATABASE!$AV$14:CU$968='Résultats Projection'!$A41 ) * (DATABASE!$AW$14:$AW$968= BB$4))-ROW(DATABASE!$AV$14)+1,BB$5+3)),"")</f>
        <v/>
      </c>
      <c r="BC41" s="116">
        <f t="array" ref="BC41">IFERROR(_xlfn.SINGLE(INDEX(DATABASE!$AV$14:$BC$968,SUMPRODUCT((ROW(DATABASE!$AV$14:$AV$968)) * (DATABASE!$AV$14:CV$968='Résultats Projection'!$A41 ) * (DATABASE!$AW$14:$AW$968= BC$4))-ROW(DATABASE!$AV$14)+1,BC$5+3)),"")</f>
        <v/>
      </c>
      <c r="BD41" s="116">
        <f t="array" ref="BD41">IFERROR(_xlfn.SINGLE(INDEX(DATABASE!$AV$14:$BC$968,SUMPRODUCT((ROW(DATABASE!$AV$14:$AV$968)) * (DATABASE!$AV$14:CW$968='Résultats Projection'!$A41 ) * (DATABASE!$AW$14:$AW$968= BD$4))-ROW(DATABASE!$AV$14)+1,BD$5+3)),"")</f>
        <v/>
      </c>
      <c r="BE41" s="116">
        <f t="array" ref="BE41">IFERROR(_xlfn.SINGLE(INDEX(DATABASE!$AV$14:$BC$968,SUMPRODUCT((ROW(DATABASE!$AV$14:$AV$968)) * (DATABASE!$AV$14:CX$968='Résultats Projection'!$A41 ) * (DATABASE!$AW$14:$AW$968= BE$4))-ROW(DATABASE!$AV$14)+1,BE$5+3)),"")</f>
        <v/>
      </c>
      <c r="BF41" s="116">
        <f t="array" ref="BF41">IFERROR(_xlfn.SINGLE(INDEX(DATABASE!$AV$14:$BC$968,SUMPRODUCT((ROW(DATABASE!$AV$14:$AV$968)) * (DATABASE!$AV$14:CY$968='Résultats Projection'!$A41 ) * (DATABASE!$AW$14:$AW$968= BF$4))-ROW(DATABASE!$AV$14)+1,BF$5+3)),"")</f>
        <v/>
      </c>
      <c r="BG41" s="116">
        <f t="array" ref="BG41">IFERROR(_xlfn.SINGLE(INDEX(DATABASE!$AV$14:$BC$968,SUMPRODUCT((ROW(DATABASE!$AV$14:$AV$968)) * (DATABASE!$AV$14:CZ$968='Résultats Projection'!$A41 ) * (DATABASE!$AW$14:$AW$968= BG$4))-ROW(DATABASE!$AV$14)+1,BG$5+3)),"")</f>
        <v/>
      </c>
      <c r="BH41" s="116">
        <f t="array" ref="BH41">IFERROR(_xlfn.SINGLE(INDEX(DATABASE!$AV$14:$BC$968,SUMPRODUCT((ROW(DATABASE!$AV$14:$AV$968)) * (DATABASE!$AV$14:DA$968='Résultats Projection'!$A41 ) * (DATABASE!$AW$14:$AW$968= BH$4))-ROW(DATABASE!$AV$14)+1,BH$5+3)),"")</f>
        <v/>
      </c>
      <c r="BI41" s="116">
        <f t="array" ref="BI41">IFERROR(_xlfn.SINGLE(INDEX(DATABASE!$AV$14:$BC$968,SUMPRODUCT((ROW(DATABASE!$AV$14:$AV$968)) * (DATABASE!$AV$14:DB$968='Résultats Projection'!$A41 ) * (DATABASE!$AW$14:$AW$968= BI$4))-ROW(DATABASE!$AV$14)+1,BI$5+3)),"")</f>
        <v/>
      </c>
      <c r="BJ41" s="116">
        <f t="array" ref="BJ41">IFERROR(_xlfn.SINGLE(INDEX(DATABASE!$AV$14:$BC$968,SUMPRODUCT((ROW(DATABASE!$AV$14:$AV$968)) * (DATABASE!$AV$14:DC$968='Résultats Projection'!$A41 ) * (DATABASE!$AW$14:$AW$968= BJ$4))-ROW(DATABASE!$AV$14)+1,BJ$5+3)),"")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(DATABASE!AV$14:$AV$968='Résultats Projection'!$A42 ) * (DATABASE!$AW$14:$AW$968= C$4))-ROW(DATABASE!$AV$14)+1,C$5+3)),"")</f>
        <v/>
      </c>
      <c r="D42" s="116">
        <f t="array" ref="D42">IFERROR(_xlfn.SINGLE(INDEX(DATABASE!$AV$14:$BC$968,SUMPRODUCT((ROW(DATABASE!$AV$14:$AV$968)) * (DATABASE!$AV$14:AW$968='Résultats Projection'!$A42 ) * (DATABASE!$AW$14:$AW$968= D$4))-ROW(DATABASE!$AV$14)+1,D$5+3)),"")</f>
        <v/>
      </c>
      <c r="E42" s="116">
        <f t="array" ref="E42">IFERROR(_xlfn.SINGLE(INDEX(DATABASE!$AV$14:$BC$968,SUMPRODUCT((ROW(DATABASE!$AV$14:$AV$968)) * (DATABASE!$AV$14:AX$968='Résultats Projection'!$A42 ) * (DATABASE!$AW$14:$AW$968= E$4))-ROW(DATABASE!$AV$14)+1,E$5+3)),"")</f>
        <v/>
      </c>
      <c r="F42" s="116">
        <f t="array" ref="F42">IFERROR(_xlfn.SINGLE(INDEX(DATABASE!$AV$14:$BC$968,SUMPRODUCT((ROW(DATABASE!$AV$14:$AV$968)) * (DATABASE!$AV$14:AY$968='Résultats Projection'!$A42 ) * (DATABASE!$AW$14:$AW$968= F$4))-ROW(DATABASE!$AV$14)+1,F$5+3)),"")</f>
        <v/>
      </c>
      <c r="G42" s="116">
        <f t="array" ref="G42">IFERROR(_xlfn.SINGLE(INDEX(DATABASE!$AV$14:$BC$968,SUMPRODUCT((ROW(DATABASE!$AV$14:$AV$968)) * (DATABASE!$AV$14:AZ$968='Résultats Projection'!$A42 ) * (DATABASE!$AW$14:$AW$968= G$4))-ROW(DATABASE!$AV$14)+1,G$5+3)),"")</f>
        <v/>
      </c>
      <c r="H42" s="116">
        <f t="array" ref="H42">IFERROR(_xlfn.SINGLE(INDEX(DATABASE!$AV$14:$BC$968,SUMPRODUCT((ROW(DATABASE!$AV$14:$AV$968)) * (DATABASE!$AV$14:BA$968='Résultats Projection'!$A42 ) * (DATABASE!$AW$14:$AW$968= H$4))-ROW(DATABASE!$AV$14)+1,H$5+3)),"")</f>
        <v/>
      </c>
      <c r="I42" s="116">
        <f t="array" ref="I42">IFERROR(_xlfn.SINGLE(INDEX(DATABASE!$AV$14:$BC$968,SUMPRODUCT((ROW(DATABASE!$AV$14:$AV$968)) * (DATABASE!$AV$14:BB$968='Résultats Projection'!$A42 ) * (DATABASE!$AW$14:$AW$968= I$4))-ROW(DATABASE!$AV$14)+1,I$5+3)),"")</f>
        <v/>
      </c>
      <c r="J42" s="116">
        <f t="array" ref="J42">IFERROR(_xlfn.SINGLE(INDEX(DATABASE!$AV$14:$BC$968,SUMPRODUCT((ROW(DATABASE!$AV$14:$AV$968)) * (DATABASE!$AV$14:BC$968='Résultats Projection'!$A42 ) * (DATABASE!$AW$14:$AW$968= J$4))-ROW(DATABASE!$AV$14)+1,J$5+3)),"")</f>
        <v/>
      </c>
      <c r="K42" s="116">
        <f t="array" ref="K42">IFERROR(_xlfn.SINGLE(INDEX(DATABASE!$AV$14:$BC$968,SUMPRODUCT((ROW(DATABASE!$AV$14:$AV$968)) * (DATABASE!$AV$14:BD$968='Résultats Projection'!$A42 ) * (DATABASE!$AW$14:$AW$968= K$4))-ROW(DATABASE!$AV$14)+1,K$5+3)),"")</f>
        <v/>
      </c>
      <c r="L42" s="116">
        <f t="array" ref="L42">IFERROR(_xlfn.SINGLE(INDEX(DATABASE!$AV$14:$BC$968,SUMPRODUCT((ROW(DATABASE!$AV$14:$AV$968)) * (DATABASE!$AV$14:BE$968='Résultats Projection'!$A42 ) * (DATABASE!$AW$14:$AW$968= L$4))-ROW(DATABASE!$AV$14)+1,L$5+3)),"")</f>
        <v/>
      </c>
      <c r="M42" s="116">
        <f t="array" ref="M42">IFERROR(_xlfn.SINGLE(INDEX(DATABASE!$AV$14:$BC$968,SUMPRODUCT((ROW(DATABASE!$AV$14:$AV$968)) * (DATABASE!$AV$14:BF$968='Résultats Projection'!$A42 ) * (DATABASE!$AW$14:$AW$968= M$4))-ROW(DATABASE!$AV$14)+1,M$5+3)),"")</f>
        <v/>
      </c>
      <c r="N42" s="116">
        <f t="array" ref="N42">IFERROR(_xlfn.SINGLE(INDEX(DATABASE!$AV$14:$BC$968,SUMPRODUCT((ROW(DATABASE!$AV$14:$AV$968)) * (DATABASE!$AV$14:BG$968='Résultats Projection'!$A42 ) * (DATABASE!$AW$14:$AW$968= N$4))-ROW(DATABASE!$AV$14)+1,N$5+3)),"")</f>
        <v/>
      </c>
      <c r="O42" s="116">
        <f t="array" ref="O42">IFERROR(_xlfn.SINGLE(INDEX(DATABASE!$AV$14:$BC$968,SUMPRODUCT((ROW(DATABASE!$AV$14:$AV$968)) * (DATABASE!$AV$14:BH$968='Résultats Projection'!$A42 ) * (DATABASE!$AW$14:$AW$968= O$4))-ROW(DATABASE!$AV$14)+1,O$5+3)),"")</f>
        <v/>
      </c>
      <c r="P42" s="116">
        <f t="array" ref="P42">IFERROR(_xlfn.SINGLE(INDEX(DATABASE!$AV$14:$BC$968,SUMPRODUCT((ROW(DATABASE!$AV$14:$AV$968)) * (DATABASE!$AV$14:BI$968='Résultats Projection'!$A42 ) * (DATABASE!$AW$14:$AW$968= P$4))-ROW(DATABASE!$AV$14)+1,P$5+3)),"")</f>
        <v/>
      </c>
      <c r="Q42" s="116">
        <f t="array" ref="Q42">IFERROR(_xlfn.SINGLE(INDEX(DATABASE!$AV$14:$BC$968,SUMPRODUCT((ROW(DATABASE!$AV$14:$AV$968)) * (DATABASE!$AV$14:BJ$968='Résultats Projection'!$A42 ) * (DATABASE!$AW$14:$AW$968= Q$4))-ROW(DATABASE!$AV$14)+1,Q$5+3)),"")</f>
        <v/>
      </c>
      <c r="R42" s="116">
        <f t="array" ref="R42">IFERROR(_xlfn.SINGLE(INDEX(DATABASE!$AV$14:$BC$968,SUMPRODUCT((ROW(DATABASE!$AV$14:$AV$968)) * (DATABASE!$AV$14:BK$968='Résultats Projection'!$A42 ) * (DATABASE!$AW$14:$AW$968= R$4))-ROW(DATABASE!$AV$14)+1,R$5+3)),"")</f>
        <v/>
      </c>
      <c r="S42" s="116">
        <f t="array" ref="S42">IFERROR(_xlfn.SINGLE(INDEX(DATABASE!$AV$14:$BC$968,SUMPRODUCT((ROW(DATABASE!$AV$14:$AV$968)) * (DATABASE!$AV$14:BL$968='Résultats Projection'!$A42 ) * (DATABASE!$AW$14:$AW$968= S$4))-ROW(DATABASE!$AV$14)+1,S$5+3)),"")</f>
        <v/>
      </c>
      <c r="T42" s="116">
        <f t="array" ref="T42">IFERROR(_xlfn.SINGLE(INDEX(DATABASE!$AV$14:$BC$968,SUMPRODUCT((ROW(DATABASE!$AV$14:$AV$968)) * (DATABASE!$AV$14:BM$968='Résultats Projection'!$A42 ) * (DATABASE!$AW$14:$AW$968= T$4))-ROW(DATABASE!$AV$14)+1,T$5+3)),"")</f>
        <v/>
      </c>
      <c r="U42" s="116">
        <f t="array" ref="U42">IFERROR(_xlfn.SINGLE(INDEX(DATABASE!$AV$14:$BC$968,SUMPRODUCT((ROW(DATABASE!$AV$14:$AV$968)) * (DATABASE!$AV$14:BN$968='Résultats Projection'!$A42 ) * (DATABASE!$AW$14:$AW$968= U$4))-ROW(DATABASE!$AV$14)+1,U$5+3)),"")</f>
        <v/>
      </c>
      <c r="V42" s="116">
        <f t="array" ref="V42">IFERROR(_xlfn.SINGLE(INDEX(DATABASE!$AV$14:$BC$968,SUMPRODUCT((ROW(DATABASE!$AV$14:$AV$968)) * (DATABASE!$AV$14:BO$968='Résultats Projection'!$A42 ) * (DATABASE!$AW$14:$AW$968= V$4))-ROW(DATABASE!$AV$14)+1,V$5+3)),"")</f>
        <v/>
      </c>
      <c r="W42" s="116">
        <f t="array" ref="W42">IFERROR(_xlfn.SINGLE(INDEX(DATABASE!$AV$14:$BC$968,SUMPRODUCT((ROW(DATABASE!$AV$14:$AV$968)) * (DATABASE!$AV$14:BP$968='Résultats Projection'!$A42 ) * (DATABASE!$AW$14:$AW$968= W$4))-ROW(DATABASE!$AV$14)+1,W$5+3)),"")</f>
        <v/>
      </c>
      <c r="X42" s="116">
        <f t="array" ref="X42">IFERROR(_xlfn.SINGLE(INDEX(DATABASE!$AV$14:$BC$968,SUMPRODUCT((ROW(DATABASE!$AV$14:$AV$968)) * (DATABASE!$AV$14:BQ$968='Résultats Projection'!$A42 ) * (DATABASE!$AW$14:$AW$968= X$4))-ROW(DATABASE!$AV$14)+1,X$5+3)),"")</f>
        <v/>
      </c>
      <c r="Y42" s="116">
        <f t="array" ref="Y42">IFERROR(_xlfn.SINGLE(INDEX(DATABASE!$AV$14:$BC$968,SUMPRODUCT((ROW(DATABASE!$AV$14:$AV$968)) * (DATABASE!$AV$14:BR$968='Résultats Projection'!$A42 ) * (DATABASE!$AW$14:$AW$968= Y$4))-ROW(DATABASE!$AV$14)+1,Y$5+3)),"")</f>
        <v/>
      </c>
      <c r="Z42" s="116">
        <f t="array" ref="Z42">IFERROR(_xlfn.SINGLE(INDEX(DATABASE!$AV$14:$BC$968,SUMPRODUCT((ROW(DATABASE!$AV$14:$AV$968)) * (DATABASE!$AV$14:BS$968='Résultats Projection'!$A42 ) * (DATABASE!$AW$14:$AW$968= Z$4))-ROW(DATABASE!$AV$14)+1,Z$5+3)),"")</f>
        <v/>
      </c>
      <c r="AA42" s="116">
        <f t="array" ref="AA42">IFERROR(_xlfn.SINGLE(INDEX(DATABASE!$AV$14:$BC$968,SUMPRODUCT((ROW(DATABASE!$AV$14:$AV$968)) * (DATABASE!$AV$14:BT$968='Résultats Projection'!$A42 ) * (DATABASE!$AW$14:$AW$968= AA$4))-ROW(DATABASE!$AV$14)+1,AA$5+3)),"")</f>
        <v/>
      </c>
      <c r="AB42" s="116">
        <f t="array" ref="AB42">IFERROR(_xlfn.SINGLE(INDEX(DATABASE!$AV$14:$BC$968,SUMPRODUCT((ROW(DATABASE!$AV$14:$AV$968)) * (DATABASE!$AV$14:BU$968='Résultats Projection'!$A42 ) * (DATABASE!$AW$14:$AW$968= AB$4))-ROW(DATABASE!$AV$14)+1,AB$5+3)),"")</f>
        <v/>
      </c>
      <c r="AC42" s="116">
        <f t="array" ref="AC42">IFERROR(_xlfn.SINGLE(INDEX(DATABASE!$AV$14:$BC$968,SUMPRODUCT((ROW(DATABASE!$AV$14:$AV$968)) * (DATABASE!$AV$14:BV$968='Résultats Projection'!$A42 ) * (DATABASE!$AW$14:$AW$968= AC$4))-ROW(DATABASE!$AV$14)+1,AC$5+3)),"")</f>
        <v/>
      </c>
      <c r="AD42" s="116">
        <f t="array" ref="AD42">IFERROR(_xlfn.SINGLE(INDEX(DATABASE!$AV$14:$BC$968,SUMPRODUCT((ROW(DATABASE!$AV$14:$AV$968)) * (DATABASE!$AV$14:BW$968='Résultats Projection'!$A42 ) * (DATABASE!$AW$14:$AW$968= AD$4))-ROW(DATABASE!$AV$14)+1,AD$5+3)),"")</f>
        <v/>
      </c>
      <c r="AE42" s="116">
        <f t="array" ref="AE42">IFERROR(_xlfn.SINGLE(INDEX(DATABASE!$AV$14:$BC$968,SUMPRODUCT((ROW(DATABASE!$AV$14:$AV$968)) * (DATABASE!$AV$14:BX$968='Résultats Projection'!$A42 ) * (DATABASE!$AW$14:$AW$968= AE$4))-ROW(DATABASE!$AV$14)+1,AE$5+3)),"")</f>
        <v/>
      </c>
      <c r="AF42" s="116">
        <f t="array" ref="AF42">IFERROR(_xlfn.SINGLE(INDEX(DATABASE!$AV$14:$BC$968,SUMPRODUCT((ROW(DATABASE!$AV$14:$AV$968)) * (DATABASE!$AV$14:BY$968='Résultats Projection'!$A42 ) * (DATABASE!$AW$14:$AW$968= AF$4))-ROW(DATABASE!$AV$14)+1,AF$5+3)),"")</f>
        <v/>
      </c>
      <c r="AG42" s="116">
        <f t="array" ref="AG42">IFERROR(_xlfn.SINGLE(INDEX(DATABASE!$AV$14:$BC$968,SUMPRODUCT((ROW(DATABASE!$AV$14:$AV$968)) * (DATABASE!$AV$14:BZ$968='Résultats Projection'!$A42 ) * (DATABASE!$AW$14:$AW$968= AG$4))-ROW(DATABASE!$AV$14)+1,AG$5+3)),"")</f>
        <v/>
      </c>
      <c r="AH42" s="116">
        <f t="array" ref="AH42">IFERROR(_xlfn.SINGLE(INDEX(DATABASE!$AV$14:$BC$968,SUMPRODUCT((ROW(DATABASE!$AV$14:$AV$968)) * (DATABASE!$AV$14:CA$968='Résultats Projection'!$A42 ) * (DATABASE!$AW$14:$AW$968= AH$4))-ROW(DATABASE!$AV$14)+1,AH$5+3)),"")</f>
        <v/>
      </c>
      <c r="AI42" s="116">
        <f t="array" ref="AI42">IFERROR(_xlfn.SINGLE(INDEX(DATABASE!$AV$14:$BC$968,SUMPRODUCT((ROW(DATABASE!$AV$14:$AV$968)) * (DATABASE!$AV$14:CB$968='Résultats Projection'!$A42 ) * (DATABASE!$AW$14:$AW$968= AI$4))-ROW(DATABASE!$AV$14)+1,AI$5+3)),"")</f>
        <v/>
      </c>
      <c r="AJ42" s="116">
        <f t="array" ref="AJ42">IFERROR(_xlfn.SINGLE(INDEX(DATABASE!$AV$14:$BC$968,SUMPRODUCT((ROW(DATABASE!$AV$14:$AV$968)) * (DATABASE!$AV$14:CC$968='Résultats Projection'!$A42 ) * (DATABASE!$AW$14:$AW$968= AJ$4))-ROW(DATABASE!$AV$14)+1,AJ$5+3)),"")</f>
        <v/>
      </c>
      <c r="AK42" s="116">
        <f t="array" ref="AK42">IFERROR(_xlfn.SINGLE(INDEX(DATABASE!$AV$14:$BC$968,SUMPRODUCT((ROW(DATABASE!$AV$14:$AV$968)) * (DATABASE!$AV$14:CD$968='Résultats Projection'!$A42 ) * (DATABASE!$AW$14:$AW$968= AK$4))-ROW(DATABASE!$AV$14)+1,AK$5+3)),"")</f>
        <v/>
      </c>
      <c r="AL42" s="116">
        <f t="array" ref="AL42">IFERROR(_xlfn.SINGLE(INDEX(DATABASE!$AV$14:$BC$968,SUMPRODUCT((ROW(DATABASE!$AV$14:$AV$968)) * (DATABASE!$AV$14:CE$968='Résultats Projection'!$A42 ) * (DATABASE!$AW$14:$AW$968= AL$4))-ROW(DATABASE!$AV$14)+1,AL$5+3)),"")</f>
        <v/>
      </c>
      <c r="AM42" s="116">
        <f t="array" ref="AM42">IFERROR(_xlfn.SINGLE(INDEX(DATABASE!$AV$14:$BC$968,SUMPRODUCT((ROW(DATABASE!$AV$14:$AV$968)) * (DATABASE!$AV$14:CF$968='Résultats Projection'!$A42 ) * (DATABASE!$AW$14:$AW$968= AM$4))-ROW(DATABASE!$AV$14)+1,AM$5+3)),"")</f>
        <v/>
      </c>
      <c r="AN42" s="116">
        <f t="array" ref="AN42">IFERROR(_xlfn.SINGLE(INDEX(DATABASE!$AV$14:$BC$968,SUMPRODUCT((ROW(DATABASE!$AV$14:$AV$968)) * (DATABASE!$AV$14:CG$968='Résultats Projection'!$A42 ) * (DATABASE!$AW$14:$AW$968= AN$4))-ROW(DATABASE!$AV$14)+1,AN$5+3)),"")</f>
        <v/>
      </c>
      <c r="AO42" s="116">
        <f t="array" ref="AO42">IFERROR(_xlfn.SINGLE(INDEX(DATABASE!$AV$14:$BC$968,SUMPRODUCT((ROW(DATABASE!$AV$14:$AV$968)) * (DATABASE!$AV$14:CH$968='Résultats Projection'!$A42 ) * (DATABASE!$AW$14:$AW$968= AO$4))-ROW(DATABASE!$AV$14)+1,AO$5+3)),"")</f>
        <v/>
      </c>
      <c r="AP42" s="116">
        <f t="array" ref="AP42">IFERROR(_xlfn.SINGLE(INDEX(DATABASE!$AV$14:$BC$968,SUMPRODUCT((ROW(DATABASE!$AV$14:$AV$968)) * (DATABASE!$AV$14:CI$968='Résultats Projection'!$A42 ) * (DATABASE!$AW$14:$AW$968= AP$4))-ROW(DATABASE!$AV$14)+1,AP$5+3)),"")</f>
        <v/>
      </c>
      <c r="AQ42" s="116">
        <f t="array" ref="AQ42">IFERROR(_xlfn.SINGLE(INDEX(DATABASE!$AV$14:$BC$968,SUMPRODUCT((ROW(DATABASE!$AV$14:$AV$968)) * (DATABASE!$AV$14:CJ$968='Résultats Projection'!$A42 ) * (DATABASE!$AW$14:$AW$968= AQ$4))-ROW(DATABASE!$AV$14)+1,AQ$5+3)),"")</f>
        <v/>
      </c>
      <c r="AR42" s="116">
        <f t="array" ref="AR42">IFERROR(_xlfn.SINGLE(INDEX(DATABASE!$AV$14:$BC$968,SUMPRODUCT((ROW(DATABASE!$AV$14:$AV$968)) * (DATABASE!$AV$14:CK$968='Résultats Projection'!$A42 ) * (DATABASE!$AW$14:$AW$968= AR$4))-ROW(DATABASE!$AV$14)+1,AR$5+3)),"")</f>
        <v/>
      </c>
      <c r="AS42" s="116">
        <f t="array" ref="AS42">IFERROR(_xlfn.SINGLE(INDEX(DATABASE!$AV$14:$BC$968,SUMPRODUCT((ROW(DATABASE!$AV$14:$AV$968)) * (DATABASE!$AV$14:CL$968='Résultats Projection'!$A42 ) * (DATABASE!$AW$14:$AW$968= AS$4))-ROW(DATABASE!$AV$14)+1,AS$5+3)),"")</f>
        <v/>
      </c>
      <c r="AT42" s="116">
        <f t="array" ref="AT42">IFERROR(_xlfn.SINGLE(INDEX(DATABASE!$AV$14:$BC$968,SUMPRODUCT((ROW(DATABASE!$AV$14:$AV$968)) * (DATABASE!$AV$14:CM$968='Résultats Projection'!$A42 ) * (DATABASE!$AW$14:$AW$968= AT$4))-ROW(DATABASE!$AV$14)+1,AT$5+3)),"")</f>
        <v/>
      </c>
      <c r="AU42" s="116">
        <f t="array" ref="AU42">IFERROR(_xlfn.SINGLE(INDEX(DATABASE!$AV$14:$BC$968,SUMPRODUCT((ROW(DATABASE!$AV$14:$AV$968)) * (DATABASE!$AV$14:CN$968='Résultats Projection'!$A42 ) * (DATABASE!$AW$14:$AW$968= AU$4))-ROW(DATABASE!$AV$14)+1,AU$5+3)),"")</f>
        <v/>
      </c>
      <c r="AV42" s="116">
        <f t="array" ref="AV42">IFERROR(_xlfn.SINGLE(INDEX(DATABASE!$AV$14:$BC$968,SUMPRODUCT((ROW(DATABASE!$AV$14:$AV$968)) * (DATABASE!$AV$14:CO$968='Résultats Projection'!$A42 ) * (DATABASE!$AW$14:$AW$968= AV$4))-ROW(DATABASE!$AV$14)+1,AV$5+3)),"")</f>
        <v/>
      </c>
      <c r="AW42" s="116">
        <f t="array" ref="AW42">IFERROR(_xlfn.SINGLE(INDEX(DATABASE!$AV$14:$BC$968,SUMPRODUCT((ROW(DATABASE!$AV$14:$AV$968)) * (DATABASE!$AV$14:CP$968='Résultats Projection'!$A42 ) * (DATABASE!$AW$14:$AW$968= AW$4))-ROW(DATABASE!$AV$14)+1,AW$5+3)),"")</f>
        <v/>
      </c>
      <c r="AX42" s="116">
        <f t="array" ref="AX42">IFERROR(_xlfn.SINGLE(INDEX(DATABASE!$AV$14:$BC$968,SUMPRODUCT((ROW(DATABASE!$AV$14:$AV$968)) * (DATABASE!$AV$14:CQ$968='Résultats Projection'!$A42 ) * (DATABASE!$AW$14:$AW$968= AX$4))-ROW(DATABASE!$AV$14)+1,AX$5+3)),"")</f>
        <v/>
      </c>
      <c r="AY42" s="116">
        <f t="array" ref="AY42">IFERROR(_xlfn.SINGLE(INDEX(DATABASE!$AV$14:$BC$968,SUMPRODUCT((ROW(DATABASE!$AV$14:$AV$968)) * (DATABASE!$AV$14:CR$968='Résultats Projection'!$A42 ) * (DATABASE!$AW$14:$AW$968= AY$4))-ROW(DATABASE!$AV$14)+1,AY$5+3)),"")</f>
        <v/>
      </c>
      <c r="AZ42" s="116">
        <f t="array" ref="AZ42">IFERROR(_xlfn.SINGLE(INDEX(DATABASE!$AV$14:$BC$968,SUMPRODUCT((ROW(DATABASE!$AV$14:$AV$968)) * (DATABASE!$AV$14:CS$968='Résultats Projection'!$A42 ) * (DATABASE!$AW$14:$AW$968= AZ$4))-ROW(DATABASE!$AV$14)+1,AZ$5+3)),"")</f>
        <v/>
      </c>
      <c r="BA42" s="116">
        <f t="array" ref="BA42">IFERROR(_xlfn.SINGLE(INDEX(DATABASE!$AV$14:$BC$968,SUMPRODUCT((ROW(DATABASE!$AV$14:$AV$968)) * (DATABASE!$AV$14:CT$968='Résultats Projection'!$A42 ) * (DATABASE!$AW$14:$AW$968= BA$4))-ROW(DATABASE!$AV$14)+1,BA$5+3)),"")</f>
        <v/>
      </c>
      <c r="BB42" s="116">
        <f t="array" ref="BB42">IFERROR(_xlfn.SINGLE(INDEX(DATABASE!$AV$14:$BC$968,SUMPRODUCT((ROW(DATABASE!$AV$14:$AV$968)) * (DATABASE!$AV$14:CU$968='Résultats Projection'!$A42 ) * (DATABASE!$AW$14:$AW$968= BB$4))-ROW(DATABASE!$AV$14)+1,BB$5+3)),"")</f>
        <v/>
      </c>
      <c r="BC42" s="116">
        <f t="array" ref="BC42">IFERROR(_xlfn.SINGLE(INDEX(DATABASE!$AV$14:$BC$968,SUMPRODUCT((ROW(DATABASE!$AV$14:$AV$968)) * (DATABASE!$AV$14:CV$968='Résultats Projection'!$A42 ) * (DATABASE!$AW$14:$AW$968= BC$4))-ROW(DATABASE!$AV$14)+1,BC$5+3)),"")</f>
        <v/>
      </c>
      <c r="BD42" s="116">
        <f t="array" ref="BD42">IFERROR(_xlfn.SINGLE(INDEX(DATABASE!$AV$14:$BC$968,SUMPRODUCT((ROW(DATABASE!$AV$14:$AV$968)) * (DATABASE!$AV$14:CW$968='Résultats Projection'!$A42 ) * (DATABASE!$AW$14:$AW$968= BD$4))-ROW(DATABASE!$AV$14)+1,BD$5+3)),"")</f>
        <v/>
      </c>
      <c r="BE42" s="116">
        <f t="array" ref="BE42">IFERROR(_xlfn.SINGLE(INDEX(DATABASE!$AV$14:$BC$968,SUMPRODUCT((ROW(DATABASE!$AV$14:$AV$968)) * (DATABASE!$AV$14:CX$968='Résultats Projection'!$A42 ) * (DATABASE!$AW$14:$AW$968= BE$4))-ROW(DATABASE!$AV$14)+1,BE$5+3)),"")</f>
        <v/>
      </c>
      <c r="BF42" s="116">
        <f t="array" ref="BF42">IFERROR(_xlfn.SINGLE(INDEX(DATABASE!$AV$14:$BC$968,SUMPRODUCT((ROW(DATABASE!$AV$14:$AV$968)) * (DATABASE!$AV$14:CY$968='Résultats Projection'!$A42 ) * (DATABASE!$AW$14:$AW$968= BF$4))-ROW(DATABASE!$AV$14)+1,BF$5+3)),"")</f>
        <v/>
      </c>
      <c r="BG42" s="116">
        <f t="array" ref="BG42">IFERROR(_xlfn.SINGLE(INDEX(DATABASE!$AV$14:$BC$968,SUMPRODUCT((ROW(DATABASE!$AV$14:$AV$968)) * (DATABASE!$AV$14:CZ$968='Résultats Projection'!$A42 ) * (DATABASE!$AW$14:$AW$968= BG$4))-ROW(DATABASE!$AV$14)+1,BG$5+3)),"")</f>
        <v/>
      </c>
      <c r="BH42" s="116">
        <f t="array" ref="BH42">IFERROR(_xlfn.SINGLE(INDEX(DATABASE!$AV$14:$BC$968,SUMPRODUCT((ROW(DATABASE!$AV$14:$AV$968)) * (DATABASE!$AV$14:DA$968='Résultats Projection'!$A42 ) * (DATABASE!$AW$14:$AW$968= BH$4))-ROW(DATABASE!$AV$14)+1,BH$5+3)),"")</f>
        <v/>
      </c>
      <c r="BI42" s="116">
        <f t="array" ref="BI42">IFERROR(_xlfn.SINGLE(INDEX(DATABASE!$AV$14:$BC$968,SUMPRODUCT((ROW(DATABASE!$AV$14:$AV$968)) * (DATABASE!$AV$14:DB$968='Résultats Projection'!$A42 ) * (DATABASE!$AW$14:$AW$968= BI$4))-ROW(DATABASE!$AV$14)+1,BI$5+3)),"")</f>
        <v/>
      </c>
      <c r="BJ42" s="116">
        <f t="array" ref="BJ42">IFERROR(_xlfn.SINGLE(INDEX(DATABASE!$AV$14:$BC$968,SUMPRODUCT((ROW(DATABASE!$AV$14:$AV$968)) * (DATABASE!$AV$14:DC$968='Résultats Projection'!$A42 ) * (DATABASE!$AW$14:$AW$968= BJ$4))-ROW(DATABASE!$AV$14)+1,BJ$5+3)),"")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(DATABASE!AV$14:$AV$968='Résultats Projection'!$A43 ) * (DATABASE!$AW$14:$AW$968= C$4))-ROW(DATABASE!$AV$14)+1,C$5+3)),"")</f>
        <v/>
      </c>
      <c r="D43" s="116">
        <f t="array" ref="D43">IFERROR(_xlfn.SINGLE(INDEX(DATABASE!$AV$14:$BC$968,SUMPRODUCT((ROW(DATABASE!$AV$14:$AV$968)) * (DATABASE!$AV$14:AW$968='Résultats Projection'!$A43 ) * (DATABASE!$AW$14:$AW$968= D$4))-ROW(DATABASE!$AV$14)+1,D$5+3)),"")</f>
        <v/>
      </c>
      <c r="E43" s="116">
        <f t="array" ref="E43">IFERROR(_xlfn.SINGLE(INDEX(DATABASE!$AV$14:$BC$968,SUMPRODUCT((ROW(DATABASE!$AV$14:$AV$968)) * (DATABASE!$AV$14:AX$968='Résultats Projection'!$A43 ) * (DATABASE!$AW$14:$AW$968= E$4))-ROW(DATABASE!$AV$14)+1,E$5+3)),"")</f>
        <v/>
      </c>
      <c r="F43" s="116">
        <f t="array" ref="F43">IFERROR(_xlfn.SINGLE(INDEX(DATABASE!$AV$14:$BC$968,SUMPRODUCT((ROW(DATABASE!$AV$14:$AV$968)) * (DATABASE!$AV$14:AY$968='Résultats Projection'!$A43 ) * (DATABASE!$AW$14:$AW$968= F$4))-ROW(DATABASE!$AV$14)+1,F$5+3)),"")</f>
        <v/>
      </c>
      <c r="G43" s="116">
        <f t="array" ref="G43">IFERROR(_xlfn.SINGLE(INDEX(DATABASE!$AV$14:$BC$968,SUMPRODUCT((ROW(DATABASE!$AV$14:$AV$968)) * (DATABASE!$AV$14:AZ$968='Résultats Projection'!$A43 ) * (DATABASE!$AW$14:$AW$968= G$4))-ROW(DATABASE!$AV$14)+1,G$5+3)),"")</f>
        <v/>
      </c>
      <c r="H43" s="116">
        <f t="array" ref="H43">IFERROR(_xlfn.SINGLE(INDEX(DATABASE!$AV$14:$BC$968,SUMPRODUCT((ROW(DATABASE!$AV$14:$AV$968)) * (DATABASE!$AV$14:BA$968='Résultats Projection'!$A43 ) * (DATABASE!$AW$14:$AW$968= H$4))-ROW(DATABASE!$AV$14)+1,H$5+3)),"")</f>
        <v/>
      </c>
      <c r="I43" s="116">
        <f t="array" ref="I43">IFERROR(_xlfn.SINGLE(INDEX(DATABASE!$AV$14:$BC$968,SUMPRODUCT((ROW(DATABASE!$AV$14:$AV$968)) * (DATABASE!$AV$14:BB$968='Résultats Projection'!$A43 ) * (DATABASE!$AW$14:$AW$968= I$4))-ROW(DATABASE!$AV$14)+1,I$5+3)),"")</f>
        <v/>
      </c>
      <c r="J43" s="116">
        <f t="array" ref="J43">IFERROR(_xlfn.SINGLE(INDEX(DATABASE!$AV$14:$BC$968,SUMPRODUCT((ROW(DATABASE!$AV$14:$AV$968)) * (DATABASE!$AV$14:BC$968='Résultats Projection'!$A43 ) * (DATABASE!$AW$14:$AW$968= J$4))-ROW(DATABASE!$AV$14)+1,J$5+3)),"")</f>
        <v/>
      </c>
      <c r="K43" s="116">
        <f t="array" ref="K43">IFERROR(_xlfn.SINGLE(INDEX(DATABASE!$AV$14:$BC$968,SUMPRODUCT((ROW(DATABASE!$AV$14:$AV$968)) * (DATABASE!$AV$14:BD$968='Résultats Projection'!$A43 ) * (DATABASE!$AW$14:$AW$968= K$4))-ROW(DATABASE!$AV$14)+1,K$5+3)),"")</f>
        <v/>
      </c>
      <c r="L43" s="116">
        <f t="array" ref="L43">IFERROR(_xlfn.SINGLE(INDEX(DATABASE!$AV$14:$BC$968,SUMPRODUCT((ROW(DATABASE!$AV$14:$AV$968)) * (DATABASE!$AV$14:BE$968='Résultats Projection'!$A43 ) * (DATABASE!$AW$14:$AW$968= L$4))-ROW(DATABASE!$AV$14)+1,L$5+3)),"")</f>
        <v/>
      </c>
      <c r="M43" s="116">
        <f t="array" ref="M43">IFERROR(_xlfn.SINGLE(INDEX(DATABASE!$AV$14:$BC$968,SUMPRODUCT((ROW(DATABASE!$AV$14:$AV$968)) * (DATABASE!$AV$14:BF$968='Résultats Projection'!$A43 ) * (DATABASE!$AW$14:$AW$968= M$4))-ROW(DATABASE!$AV$14)+1,M$5+3)),"")</f>
        <v/>
      </c>
      <c r="N43" s="116">
        <f t="array" ref="N43">IFERROR(_xlfn.SINGLE(INDEX(DATABASE!$AV$14:$BC$968,SUMPRODUCT((ROW(DATABASE!$AV$14:$AV$968)) * (DATABASE!$AV$14:BG$968='Résultats Projection'!$A43 ) * (DATABASE!$AW$14:$AW$968= N$4))-ROW(DATABASE!$AV$14)+1,N$5+3)),"")</f>
        <v/>
      </c>
      <c r="O43" s="116">
        <f t="array" ref="O43">IFERROR(_xlfn.SINGLE(INDEX(DATABASE!$AV$14:$BC$968,SUMPRODUCT((ROW(DATABASE!$AV$14:$AV$968)) * (DATABASE!$AV$14:BH$968='Résultats Projection'!$A43 ) * (DATABASE!$AW$14:$AW$968= O$4))-ROW(DATABASE!$AV$14)+1,O$5+3)),"")</f>
        <v/>
      </c>
      <c r="P43" s="116">
        <f t="array" ref="P43">IFERROR(_xlfn.SINGLE(INDEX(DATABASE!$AV$14:$BC$968,SUMPRODUCT((ROW(DATABASE!$AV$14:$AV$968)) * (DATABASE!$AV$14:BI$968='Résultats Projection'!$A43 ) * (DATABASE!$AW$14:$AW$968= P$4))-ROW(DATABASE!$AV$14)+1,P$5+3)),"")</f>
        <v/>
      </c>
      <c r="Q43" s="116">
        <f t="array" ref="Q43">IFERROR(_xlfn.SINGLE(INDEX(DATABASE!$AV$14:$BC$968,SUMPRODUCT((ROW(DATABASE!$AV$14:$AV$968)) * (DATABASE!$AV$14:BJ$968='Résultats Projection'!$A43 ) * (DATABASE!$AW$14:$AW$968= Q$4))-ROW(DATABASE!$AV$14)+1,Q$5+3)),"")</f>
        <v/>
      </c>
      <c r="R43" s="116">
        <f t="array" ref="R43">IFERROR(_xlfn.SINGLE(INDEX(DATABASE!$AV$14:$BC$968,SUMPRODUCT((ROW(DATABASE!$AV$14:$AV$968)) * (DATABASE!$AV$14:BK$968='Résultats Projection'!$A43 ) * (DATABASE!$AW$14:$AW$968= R$4))-ROW(DATABASE!$AV$14)+1,R$5+3)),"")</f>
        <v/>
      </c>
      <c r="S43" s="116">
        <f t="array" ref="S43">IFERROR(_xlfn.SINGLE(INDEX(DATABASE!$AV$14:$BC$968,SUMPRODUCT((ROW(DATABASE!$AV$14:$AV$968)) * (DATABASE!$AV$14:BL$968='Résultats Projection'!$A43 ) * (DATABASE!$AW$14:$AW$968= S$4))-ROW(DATABASE!$AV$14)+1,S$5+3)),"")</f>
        <v/>
      </c>
      <c r="T43" s="116">
        <f t="array" ref="T43">IFERROR(_xlfn.SINGLE(INDEX(DATABASE!$AV$14:$BC$968,SUMPRODUCT((ROW(DATABASE!$AV$14:$AV$968)) * (DATABASE!$AV$14:BM$968='Résultats Projection'!$A43 ) * (DATABASE!$AW$14:$AW$968= T$4))-ROW(DATABASE!$AV$14)+1,T$5+3)),"")</f>
        <v/>
      </c>
      <c r="U43" s="116">
        <f t="array" ref="U43">IFERROR(_xlfn.SINGLE(INDEX(DATABASE!$AV$14:$BC$968,SUMPRODUCT((ROW(DATABASE!$AV$14:$AV$968)) * (DATABASE!$AV$14:BN$968='Résultats Projection'!$A43 ) * (DATABASE!$AW$14:$AW$968= U$4))-ROW(DATABASE!$AV$14)+1,U$5+3)),"")</f>
        <v/>
      </c>
      <c r="V43" s="116">
        <f t="array" ref="V43">IFERROR(_xlfn.SINGLE(INDEX(DATABASE!$AV$14:$BC$968,SUMPRODUCT((ROW(DATABASE!$AV$14:$AV$968)) * (DATABASE!$AV$14:BO$968='Résultats Projection'!$A43 ) * (DATABASE!$AW$14:$AW$968= V$4))-ROW(DATABASE!$AV$14)+1,V$5+3)),"")</f>
        <v/>
      </c>
      <c r="W43" s="116">
        <f t="array" ref="W43">IFERROR(_xlfn.SINGLE(INDEX(DATABASE!$AV$14:$BC$968,SUMPRODUCT((ROW(DATABASE!$AV$14:$AV$968)) * (DATABASE!$AV$14:BP$968='Résultats Projection'!$A43 ) * (DATABASE!$AW$14:$AW$968= W$4))-ROW(DATABASE!$AV$14)+1,W$5+3)),"")</f>
        <v/>
      </c>
      <c r="X43" s="116">
        <f t="array" ref="X43">IFERROR(_xlfn.SINGLE(INDEX(DATABASE!$AV$14:$BC$968,SUMPRODUCT((ROW(DATABASE!$AV$14:$AV$968)) * (DATABASE!$AV$14:BQ$968='Résultats Projection'!$A43 ) * (DATABASE!$AW$14:$AW$968= X$4))-ROW(DATABASE!$AV$14)+1,X$5+3)),"")</f>
        <v/>
      </c>
      <c r="Y43" s="116">
        <f t="array" ref="Y43">IFERROR(_xlfn.SINGLE(INDEX(DATABASE!$AV$14:$BC$968,SUMPRODUCT((ROW(DATABASE!$AV$14:$AV$968)) * (DATABASE!$AV$14:BR$968='Résultats Projection'!$A43 ) * (DATABASE!$AW$14:$AW$968= Y$4))-ROW(DATABASE!$AV$14)+1,Y$5+3)),"")</f>
        <v/>
      </c>
      <c r="Z43" s="116">
        <f t="array" ref="Z43">IFERROR(_xlfn.SINGLE(INDEX(DATABASE!$AV$14:$BC$968,SUMPRODUCT((ROW(DATABASE!$AV$14:$AV$968)) * (DATABASE!$AV$14:BS$968='Résultats Projection'!$A43 ) * (DATABASE!$AW$14:$AW$968= Z$4))-ROW(DATABASE!$AV$14)+1,Z$5+3)),"")</f>
        <v/>
      </c>
      <c r="AA43" s="116">
        <f t="array" ref="AA43">IFERROR(_xlfn.SINGLE(INDEX(DATABASE!$AV$14:$BC$968,SUMPRODUCT((ROW(DATABASE!$AV$14:$AV$968)) * (DATABASE!$AV$14:BT$968='Résultats Projection'!$A43 ) * (DATABASE!$AW$14:$AW$968= AA$4))-ROW(DATABASE!$AV$14)+1,AA$5+3)),"")</f>
        <v/>
      </c>
      <c r="AB43" s="116">
        <f t="array" ref="AB43">IFERROR(_xlfn.SINGLE(INDEX(DATABASE!$AV$14:$BC$968,SUMPRODUCT((ROW(DATABASE!$AV$14:$AV$968)) * (DATABASE!$AV$14:BU$968='Résultats Projection'!$A43 ) * (DATABASE!$AW$14:$AW$968= AB$4))-ROW(DATABASE!$AV$14)+1,AB$5+3)),"")</f>
        <v/>
      </c>
      <c r="AC43" s="116">
        <f t="array" ref="AC43">IFERROR(_xlfn.SINGLE(INDEX(DATABASE!$AV$14:$BC$968,SUMPRODUCT((ROW(DATABASE!$AV$14:$AV$968)) * (DATABASE!$AV$14:BV$968='Résultats Projection'!$A43 ) * (DATABASE!$AW$14:$AW$968= AC$4))-ROW(DATABASE!$AV$14)+1,AC$5+3)),"")</f>
        <v/>
      </c>
      <c r="AD43" s="116">
        <f t="array" ref="AD43">IFERROR(_xlfn.SINGLE(INDEX(DATABASE!$AV$14:$BC$968,SUMPRODUCT((ROW(DATABASE!$AV$14:$AV$968)) * (DATABASE!$AV$14:BW$968='Résultats Projection'!$A43 ) * (DATABASE!$AW$14:$AW$968= AD$4))-ROW(DATABASE!$AV$14)+1,AD$5+3)),"")</f>
        <v/>
      </c>
      <c r="AE43" s="116">
        <f t="array" ref="AE43">IFERROR(_xlfn.SINGLE(INDEX(DATABASE!$AV$14:$BC$968,SUMPRODUCT((ROW(DATABASE!$AV$14:$AV$968)) * (DATABASE!$AV$14:BX$968='Résultats Projection'!$A43 ) * (DATABASE!$AW$14:$AW$968= AE$4))-ROW(DATABASE!$AV$14)+1,AE$5+3)),"")</f>
        <v/>
      </c>
      <c r="AF43" s="116">
        <f t="array" ref="AF43">IFERROR(_xlfn.SINGLE(INDEX(DATABASE!$AV$14:$BC$968,SUMPRODUCT((ROW(DATABASE!$AV$14:$AV$968)) * (DATABASE!$AV$14:BY$968='Résultats Projection'!$A43 ) * (DATABASE!$AW$14:$AW$968= AF$4))-ROW(DATABASE!$AV$14)+1,AF$5+3)),"")</f>
        <v/>
      </c>
      <c r="AG43" s="116">
        <f t="array" ref="AG43">IFERROR(_xlfn.SINGLE(INDEX(DATABASE!$AV$14:$BC$968,SUMPRODUCT((ROW(DATABASE!$AV$14:$AV$968)) * (DATABASE!$AV$14:BZ$968='Résultats Projection'!$A43 ) * (DATABASE!$AW$14:$AW$968= AG$4))-ROW(DATABASE!$AV$14)+1,AG$5+3)),"")</f>
        <v/>
      </c>
      <c r="AH43" s="116">
        <f t="array" ref="AH43">IFERROR(_xlfn.SINGLE(INDEX(DATABASE!$AV$14:$BC$968,SUMPRODUCT((ROW(DATABASE!$AV$14:$AV$968)) * (DATABASE!$AV$14:CA$968='Résultats Projection'!$A43 ) * (DATABASE!$AW$14:$AW$968= AH$4))-ROW(DATABASE!$AV$14)+1,AH$5+3)),"")</f>
        <v/>
      </c>
      <c r="AI43" s="116">
        <f t="array" ref="AI43">IFERROR(_xlfn.SINGLE(INDEX(DATABASE!$AV$14:$BC$968,SUMPRODUCT((ROW(DATABASE!$AV$14:$AV$968)) * (DATABASE!$AV$14:CB$968='Résultats Projection'!$A43 ) * (DATABASE!$AW$14:$AW$968= AI$4))-ROW(DATABASE!$AV$14)+1,AI$5+3)),"")</f>
        <v/>
      </c>
      <c r="AJ43" s="116">
        <f t="array" ref="AJ43">IFERROR(_xlfn.SINGLE(INDEX(DATABASE!$AV$14:$BC$968,SUMPRODUCT((ROW(DATABASE!$AV$14:$AV$968)) * (DATABASE!$AV$14:CC$968='Résultats Projection'!$A43 ) * (DATABASE!$AW$14:$AW$968= AJ$4))-ROW(DATABASE!$AV$14)+1,AJ$5+3)),"")</f>
        <v/>
      </c>
      <c r="AK43" s="116">
        <f t="array" ref="AK43">IFERROR(_xlfn.SINGLE(INDEX(DATABASE!$AV$14:$BC$968,SUMPRODUCT((ROW(DATABASE!$AV$14:$AV$968)) * (DATABASE!$AV$14:CD$968='Résultats Projection'!$A43 ) * (DATABASE!$AW$14:$AW$968= AK$4))-ROW(DATABASE!$AV$14)+1,AK$5+3)),"")</f>
        <v/>
      </c>
      <c r="AL43" s="116">
        <f t="array" ref="AL43">IFERROR(_xlfn.SINGLE(INDEX(DATABASE!$AV$14:$BC$968,SUMPRODUCT((ROW(DATABASE!$AV$14:$AV$968)) * (DATABASE!$AV$14:CE$968='Résultats Projection'!$A43 ) * (DATABASE!$AW$14:$AW$968= AL$4))-ROW(DATABASE!$AV$14)+1,AL$5+3)),"")</f>
        <v/>
      </c>
      <c r="AM43" s="116">
        <f t="array" ref="AM43">IFERROR(_xlfn.SINGLE(INDEX(DATABASE!$AV$14:$BC$968,SUMPRODUCT((ROW(DATABASE!$AV$14:$AV$968)) * (DATABASE!$AV$14:CF$968='Résultats Projection'!$A43 ) * (DATABASE!$AW$14:$AW$968= AM$4))-ROW(DATABASE!$AV$14)+1,AM$5+3)),"")</f>
        <v/>
      </c>
      <c r="AN43" s="116">
        <f t="array" ref="AN43">IFERROR(_xlfn.SINGLE(INDEX(DATABASE!$AV$14:$BC$968,SUMPRODUCT((ROW(DATABASE!$AV$14:$AV$968)) * (DATABASE!$AV$14:CG$968='Résultats Projection'!$A43 ) * (DATABASE!$AW$14:$AW$968= AN$4))-ROW(DATABASE!$AV$14)+1,AN$5+3)),"")</f>
        <v/>
      </c>
      <c r="AO43" s="116">
        <f t="array" ref="AO43">IFERROR(_xlfn.SINGLE(INDEX(DATABASE!$AV$14:$BC$968,SUMPRODUCT((ROW(DATABASE!$AV$14:$AV$968)) * (DATABASE!$AV$14:CH$968='Résultats Projection'!$A43 ) * (DATABASE!$AW$14:$AW$968= AO$4))-ROW(DATABASE!$AV$14)+1,AO$5+3)),"")</f>
        <v/>
      </c>
      <c r="AP43" s="116">
        <f t="array" ref="AP43">IFERROR(_xlfn.SINGLE(INDEX(DATABASE!$AV$14:$BC$968,SUMPRODUCT((ROW(DATABASE!$AV$14:$AV$968)) * (DATABASE!$AV$14:CI$968='Résultats Projection'!$A43 ) * (DATABASE!$AW$14:$AW$968= AP$4))-ROW(DATABASE!$AV$14)+1,AP$5+3)),"")</f>
        <v/>
      </c>
      <c r="AQ43" s="116">
        <f t="array" ref="AQ43">IFERROR(_xlfn.SINGLE(INDEX(DATABASE!$AV$14:$BC$968,SUMPRODUCT((ROW(DATABASE!$AV$14:$AV$968)) * (DATABASE!$AV$14:CJ$968='Résultats Projection'!$A43 ) * (DATABASE!$AW$14:$AW$968= AQ$4))-ROW(DATABASE!$AV$14)+1,AQ$5+3)),"")</f>
        <v/>
      </c>
      <c r="AR43" s="116">
        <f t="array" ref="AR43">IFERROR(_xlfn.SINGLE(INDEX(DATABASE!$AV$14:$BC$968,SUMPRODUCT((ROW(DATABASE!$AV$14:$AV$968)) * (DATABASE!$AV$14:CK$968='Résultats Projection'!$A43 ) * (DATABASE!$AW$14:$AW$968= AR$4))-ROW(DATABASE!$AV$14)+1,AR$5+3)),"")</f>
        <v/>
      </c>
      <c r="AS43" s="116">
        <f t="array" ref="AS43">IFERROR(_xlfn.SINGLE(INDEX(DATABASE!$AV$14:$BC$968,SUMPRODUCT((ROW(DATABASE!$AV$14:$AV$968)) * (DATABASE!$AV$14:CL$968='Résultats Projection'!$A43 ) * (DATABASE!$AW$14:$AW$968= AS$4))-ROW(DATABASE!$AV$14)+1,AS$5+3)),"")</f>
        <v/>
      </c>
      <c r="AT43" s="116">
        <f t="array" ref="AT43">IFERROR(_xlfn.SINGLE(INDEX(DATABASE!$AV$14:$BC$968,SUMPRODUCT((ROW(DATABASE!$AV$14:$AV$968)) * (DATABASE!$AV$14:CM$968='Résultats Projection'!$A43 ) * (DATABASE!$AW$14:$AW$968= AT$4))-ROW(DATABASE!$AV$14)+1,AT$5+3)),"")</f>
        <v/>
      </c>
      <c r="AU43" s="116">
        <f t="array" ref="AU43">IFERROR(_xlfn.SINGLE(INDEX(DATABASE!$AV$14:$BC$968,SUMPRODUCT((ROW(DATABASE!$AV$14:$AV$968)) * (DATABASE!$AV$14:CN$968='Résultats Projection'!$A43 ) * (DATABASE!$AW$14:$AW$968= AU$4))-ROW(DATABASE!$AV$14)+1,AU$5+3)),"")</f>
        <v/>
      </c>
      <c r="AV43" s="116">
        <f t="array" ref="AV43">IFERROR(_xlfn.SINGLE(INDEX(DATABASE!$AV$14:$BC$968,SUMPRODUCT((ROW(DATABASE!$AV$14:$AV$968)) * (DATABASE!$AV$14:CO$968='Résultats Projection'!$A43 ) * (DATABASE!$AW$14:$AW$968= AV$4))-ROW(DATABASE!$AV$14)+1,AV$5+3)),"")</f>
        <v/>
      </c>
      <c r="AW43" s="116">
        <f t="array" ref="AW43">IFERROR(_xlfn.SINGLE(INDEX(DATABASE!$AV$14:$BC$968,SUMPRODUCT((ROW(DATABASE!$AV$14:$AV$968)) * (DATABASE!$AV$14:CP$968='Résultats Projection'!$A43 ) * (DATABASE!$AW$14:$AW$968= AW$4))-ROW(DATABASE!$AV$14)+1,AW$5+3)),"")</f>
        <v/>
      </c>
      <c r="AX43" s="116">
        <f t="array" ref="AX43">IFERROR(_xlfn.SINGLE(INDEX(DATABASE!$AV$14:$BC$968,SUMPRODUCT((ROW(DATABASE!$AV$14:$AV$968)) * (DATABASE!$AV$14:CQ$968='Résultats Projection'!$A43 ) * (DATABASE!$AW$14:$AW$968= AX$4))-ROW(DATABASE!$AV$14)+1,AX$5+3)),"")</f>
        <v/>
      </c>
      <c r="AY43" s="116">
        <f t="array" ref="AY43">IFERROR(_xlfn.SINGLE(INDEX(DATABASE!$AV$14:$BC$968,SUMPRODUCT((ROW(DATABASE!$AV$14:$AV$968)) * (DATABASE!$AV$14:CR$968='Résultats Projection'!$A43 ) * (DATABASE!$AW$14:$AW$968= AY$4))-ROW(DATABASE!$AV$14)+1,AY$5+3)),"")</f>
        <v/>
      </c>
      <c r="AZ43" s="116">
        <f t="array" ref="AZ43">IFERROR(_xlfn.SINGLE(INDEX(DATABASE!$AV$14:$BC$968,SUMPRODUCT((ROW(DATABASE!$AV$14:$AV$968)) * (DATABASE!$AV$14:CS$968='Résultats Projection'!$A43 ) * (DATABASE!$AW$14:$AW$968= AZ$4))-ROW(DATABASE!$AV$14)+1,AZ$5+3)),"")</f>
        <v/>
      </c>
      <c r="BA43" s="116">
        <f t="array" ref="BA43">IFERROR(_xlfn.SINGLE(INDEX(DATABASE!$AV$14:$BC$968,SUMPRODUCT((ROW(DATABASE!$AV$14:$AV$968)) * (DATABASE!$AV$14:CT$968='Résultats Projection'!$A43 ) * (DATABASE!$AW$14:$AW$968= BA$4))-ROW(DATABASE!$AV$14)+1,BA$5+3)),"")</f>
        <v/>
      </c>
      <c r="BB43" s="116">
        <f t="array" ref="BB43">IFERROR(_xlfn.SINGLE(INDEX(DATABASE!$AV$14:$BC$968,SUMPRODUCT((ROW(DATABASE!$AV$14:$AV$968)) * (DATABASE!$AV$14:CU$968='Résultats Projection'!$A43 ) * (DATABASE!$AW$14:$AW$968= BB$4))-ROW(DATABASE!$AV$14)+1,BB$5+3)),"")</f>
        <v/>
      </c>
      <c r="BC43" s="116">
        <f t="array" ref="BC43">IFERROR(_xlfn.SINGLE(INDEX(DATABASE!$AV$14:$BC$968,SUMPRODUCT((ROW(DATABASE!$AV$14:$AV$968)) * (DATABASE!$AV$14:CV$968='Résultats Projection'!$A43 ) * (DATABASE!$AW$14:$AW$968= BC$4))-ROW(DATABASE!$AV$14)+1,BC$5+3)),"")</f>
        <v/>
      </c>
      <c r="BD43" s="116">
        <f t="array" ref="BD43">IFERROR(_xlfn.SINGLE(INDEX(DATABASE!$AV$14:$BC$968,SUMPRODUCT((ROW(DATABASE!$AV$14:$AV$968)) * (DATABASE!$AV$14:CW$968='Résultats Projection'!$A43 ) * (DATABASE!$AW$14:$AW$968= BD$4))-ROW(DATABASE!$AV$14)+1,BD$5+3)),"")</f>
        <v/>
      </c>
      <c r="BE43" s="116">
        <f t="array" ref="BE43">IFERROR(_xlfn.SINGLE(INDEX(DATABASE!$AV$14:$BC$968,SUMPRODUCT((ROW(DATABASE!$AV$14:$AV$968)) * (DATABASE!$AV$14:CX$968='Résultats Projection'!$A43 ) * (DATABASE!$AW$14:$AW$968= BE$4))-ROW(DATABASE!$AV$14)+1,BE$5+3)),"")</f>
        <v/>
      </c>
      <c r="BF43" s="116">
        <f t="array" ref="BF43">IFERROR(_xlfn.SINGLE(INDEX(DATABASE!$AV$14:$BC$968,SUMPRODUCT((ROW(DATABASE!$AV$14:$AV$968)) * (DATABASE!$AV$14:CY$968='Résultats Projection'!$A43 ) * (DATABASE!$AW$14:$AW$968= BF$4))-ROW(DATABASE!$AV$14)+1,BF$5+3)),"")</f>
        <v/>
      </c>
      <c r="BG43" s="116">
        <f t="array" ref="BG43">IFERROR(_xlfn.SINGLE(INDEX(DATABASE!$AV$14:$BC$968,SUMPRODUCT((ROW(DATABASE!$AV$14:$AV$968)) * (DATABASE!$AV$14:CZ$968='Résultats Projection'!$A43 ) * (DATABASE!$AW$14:$AW$968= BG$4))-ROW(DATABASE!$AV$14)+1,BG$5+3)),"")</f>
        <v/>
      </c>
      <c r="BH43" s="116">
        <f t="array" ref="BH43">IFERROR(_xlfn.SINGLE(INDEX(DATABASE!$AV$14:$BC$968,SUMPRODUCT((ROW(DATABASE!$AV$14:$AV$968)) * (DATABASE!$AV$14:DA$968='Résultats Projection'!$A43 ) * (DATABASE!$AW$14:$AW$968= BH$4))-ROW(DATABASE!$AV$14)+1,BH$5+3)),"")</f>
        <v/>
      </c>
      <c r="BI43" s="116">
        <f t="array" ref="BI43">IFERROR(_xlfn.SINGLE(INDEX(DATABASE!$AV$14:$BC$968,SUMPRODUCT((ROW(DATABASE!$AV$14:$AV$968)) * (DATABASE!$AV$14:DB$968='Résultats Projection'!$A43 ) * (DATABASE!$AW$14:$AW$968= BI$4))-ROW(DATABASE!$AV$14)+1,BI$5+3)),"")</f>
        <v/>
      </c>
      <c r="BJ43" s="116">
        <f t="array" ref="BJ43">IFERROR(_xlfn.SINGLE(INDEX(DATABASE!$AV$14:$BC$968,SUMPRODUCT((ROW(DATABASE!$AV$14:$AV$968)) * (DATABASE!$AV$14:DC$968='Résultats Projection'!$A43 ) * (DATABASE!$AW$14:$AW$968= BJ$4))-ROW(DATABASE!$AV$14)+1,BJ$5+3)),"")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(DATABASE!AV$14:$AV$968='Résultats Projection'!$A44 ) * (DATABASE!$AW$14:$AW$968= C$4))-ROW(DATABASE!$AV$14)+1,C$5+3)),"")</f>
        <v/>
      </c>
      <c r="D44" s="116">
        <f t="array" ref="D44">IFERROR(_xlfn.SINGLE(INDEX(DATABASE!$AV$14:$BC$968,SUMPRODUCT((ROW(DATABASE!$AV$14:$AV$968)) * (DATABASE!$AV$14:AW$968='Résultats Projection'!$A44 ) * (DATABASE!$AW$14:$AW$968= D$4))-ROW(DATABASE!$AV$14)+1,D$5+3)),"")</f>
        <v/>
      </c>
      <c r="E44" s="116">
        <f t="array" ref="E44">IFERROR(_xlfn.SINGLE(INDEX(DATABASE!$AV$14:$BC$968,SUMPRODUCT((ROW(DATABASE!$AV$14:$AV$968)) * (DATABASE!$AV$14:AX$968='Résultats Projection'!$A44 ) * (DATABASE!$AW$14:$AW$968= E$4))-ROW(DATABASE!$AV$14)+1,E$5+3)),"")</f>
        <v/>
      </c>
      <c r="F44" s="116">
        <f t="array" ref="F44">IFERROR(_xlfn.SINGLE(INDEX(DATABASE!$AV$14:$BC$968,SUMPRODUCT((ROW(DATABASE!$AV$14:$AV$968)) * (DATABASE!$AV$14:AY$968='Résultats Projection'!$A44 ) * (DATABASE!$AW$14:$AW$968= F$4))-ROW(DATABASE!$AV$14)+1,F$5+3)),"")</f>
        <v/>
      </c>
      <c r="G44" s="116">
        <f t="array" ref="G44">IFERROR(_xlfn.SINGLE(INDEX(DATABASE!$AV$14:$BC$968,SUMPRODUCT((ROW(DATABASE!$AV$14:$AV$968)) * (DATABASE!$AV$14:AZ$968='Résultats Projection'!$A44 ) * (DATABASE!$AW$14:$AW$968= G$4))-ROW(DATABASE!$AV$14)+1,G$5+3)),"")</f>
        <v/>
      </c>
      <c r="H44" s="116">
        <f t="array" ref="H44">IFERROR(_xlfn.SINGLE(INDEX(DATABASE!$AV$14:$BC$968,SUMPRODUCT((ROW(DATABASE!$AV$14:$AV$968)) * (DATABASE!$AV$14:BA$968='Résultats Projection'!$A44 ) * (DATABASE!$AW$14:$AW$968= H$4))-ROW(DATABASE!$AV$14)+1,H$5+3)),"")</f>
        <v/>
      </c>
      <c r="I44" s="116">
        <f t="array" ref="I44">IFERROR(_xlfn.SINGLE(INDEX(DATABASE!$AV$14:$BC$968,SUMPRODUCT((ROW(DATABASE!$AV$14:$AV$968)) * (DATABASE!$AV$14:BB$968='Résultats Projection'!$A44 ) * (DATABASE!$AW$14:$AW$968= I$4))-ROW(DATABASE!$AV$14)+1,I$5+3)),"")</f>
        <v/>
      </c>
      <c r="J44" s="116">
        <f t="array" ref="J44">IFERROR(_xlfn.SINGLE(INDEX(DATABASE!$AV$14:$BC$968,SUMPRODUCT((ROW(DATABASE!$AV$14:$AV$968)) * (DATABASE!$AV$14:BC$968='Résultats Projection'!$A44 ) * (DATABASE!$AW$14:$AW$968= J$4))-ROW(DATABASE!$AV$14)+1,J$5+3)),"")</f>
        <v/>
      </c>
      <c r="K44" s="116">
        <f t="array" ref="K44">IFERROR(_xlfn.SINGLE(INDEX(DATABASE!$AV$14:$BC$968,SUMPRODUCT((ROW(DATABASE!$AV$14:$AV$968)) * (DATABASE!$AV$14:BD$968='Résultats Projection'!$A44 ) * (DATABASE!$AW$14:$AW$968= K$4))-ROW(DATABASE!$AV$14)+1,K$5+3)),"")</f>
        <v/>
      </c>
      <c r="L44" s="116">
        <f t="array" ref="L44">IFERROR(_xlfn.SINGLE(INDEX(DATABASE!$AV$14:$BC$968,SUMPRODUCT((ROW(DATABASE!$AV$14:$AV$968)) * (DATABASE!$AV$14:BE$968='Résultats Projection'!$A44 ) * (DATABASE!$AW$14:$AW$968= L$4))-ROW(DATABASE!$AV$14)+1,L$5+3)),"")</f>
        <v/>
      </c>
      <c r="M44" s="116">
        <f t="array" ref="M44">IFERROR(_xlfn.SINGLE(INDEX(DATABASE!$AV$14:$BC$968,SUMPRODUCT((ROW(DATABASE!$AV$14:$AV$968)) * (DATABASE!$AV$14:BF$968='Résultats Projection'!$A44 ) * (DATABASE!$AW$14:$AW$968= M$4))-ROW(DATABASE!$AV$14)+1,M$5+3)),"")</f>
        <v/>
      </c>
      <c r="N44" s="116">
        <f t="array" ref="N44">IFERROR(_xlfn.SINGLE(INDEX(DATABASE!$AV$14:$BC$968,SUMPRODUCT((ROW(DATABASE!$AV$14:$AV$968)) * (DATABASE!$AV$14:BG$968='Résultats Projection'!$A44 ) * (DATABASE!$AW$14:$AW$968= N$4))-ROW(DATABASE!$AV$14)+1,N$5+3)),"")</f>
        <v/>
      </c>
      <c r="O44" s="116">
        <f t="array" ref="O44">IFERROR(_xlfn.SINGLE(INDEX(DATABASE!$AV$14:$BC$968,SUMPRODUCT((ROW(DATABASE!$AV$14:$AV$968)) * (DATABASE!$AV$14:BH$968='Résultats Projection'!$A44 ) * (DATABASE!$AW$14:$AW$968= O$4))-ROW(DATABASE!$AV$14)+1,O$5+3)),"")</f>
        <v/>
      </c>
      <c r="P44" s="116">
        <f t="array" ref="P44">IFERROR(_xlfn.SINGLE(INDEX(DATABASE!$AV$14:$BC$968,SUMPRODUCT((ROW(DATABASE!$AV$14:$AV$968)) * (DATABASE!$AV$14:BI$968='Résultats Projection'!$A44 ) * (DATABASE!$AW$14:$AW$968= P$4))-ROW(DATABASE!$AV$14)+1,P$5+3)),"")</f>
        <v/>
      </c>
      <c r="Q44" s="116">
        <f t="array" ref="Q44">IFERROR(_xlfn.SINGLE(INDEX(DATABASE!$AV$14:$BC$968,SUMPRODUCT((ROW(DATABASE!$AV$14:$AV$968)) * (DATABASE!$AV$14:BJ$968='Résultats Projection'!$A44 ) * (DATABASE!$AW$14:$AW$968= Q$4))-ROW(DATABASE!$AV$14)+1,Q$5+3)),"")</f>
        <v/>
      </c>
      <c r="R44" s="116">
        <f t="array" ref="R44">IFERROR(_xlfn.SINGLE(INDEX(DATABASE!$AV$14:$BC$968,SUMPRODUCT((ROW(DATABASE!$AV$14:$AV$968)) * (DATABASE!$AV$14:BK$968='Résultats Projection'!$A44 ) * (DATABASE!$AW$14:$AW$968= R$4))-ROW(DATABASE!$AV$14)+1,R$5+3)),"")</f>
        <v/>
      </c>
      <c r="S44" s="116">
        <f t="array" ref="S44">IFERROR(_xlfn.SINGLE(INDEX(DATABASE!$AV$14:$BC$968,SUMPRODUCT((ROW(DATABASE!$AV$14:$AV$968)) * (DATABASE!$AV$14:BL$968='Résultats Projection'!$A44 ) * (DATABASE!$AW$14:$AW$968= S$4))-ROW(DATABASE!$AV$14)+1,S$5+3)),"")</f>
        <v/>
      </c>
      <c r="T44" s="116">
        <f t="array" ref="T44">IFERROR(_xlfn.SINGLE(INDEX(DATABASE!$AV$14:$BC$968,SUMPRODUCT((ROW(DATABASE!$AV$14:$AV$968)) * (DATABASE!$AV$14:BM$968='Résultats Projection'!$A44 ) * (DATABASE!$AW$14:$AW$968= T$4))-ROW(DATABASE!$AV$14)+1,T$5+3)),"")</f>
        <v/>
      </c>
      <c r="U44" s="116">
        <f t="array" ref="U44">IFERROR(_xlfn.SINGLE(INDEX(DATABASE!$AV$14:$BC$968,SUMPRODUCT((ROW(DATABASE!$AV$14:$AV$968)) * (DATABASE!$AV$14:BN$968='Résultats Projection'!$A44 ) * (DATABASE!$AW$14:$AW$968= U$4))-ROW(DATABASE!$AV$14)+1,U$5+3)),"")</f>
        <v/>
      </c>
      <c r="V44" s="116">
        <f t="array" ref="V44">IFERROR(_xlfn.SINGLE(INDEX(DATABASE!$AV$14:$BC$968,SUMPRODUCT((ROW(DATABASE!$AV$14:$AV$968)) * (DATABASE!$AV$14:BO$968='Résultats Projection'!$A44 ) * (DATABASE!$AW$14:$AW$968= V$4))-ROW(DATABASE!$AV$14)+1,V$5+3)),"")</f>
        <v/>
      </c>
      <c r="W44" s="116">
        <f t="array" ref="W44">IFERROR(_xlfn.SINGLE(INDEX(DATABASE!$AV$14:$BC$968,SUMPRODUCT((ROW(DATABASE!$AV$14:$AV$968)) * (DATABASE!$AV$14:BP$968='Résultats Projection'!$A44 ) * (DATABASE!$AW$14:$AW$968= W$4))-ROW(DATABASE!$AV$14)+1,W$5+3)),"")</f>
        <v/>
      </c>
      <c r="X44" s="116">
        <f t="array" ref="X44">IFERROR(_xlfn.SINGLE(INDEX(DATABASE!$AV$14:$BC$968,SUMPRODUCT((ROW(DATABASE!$AV$14:$AV$968)) * (DATABASE!$AV$14:BQ$968='Résultats Projection'!$A44 ) * (DATABASE!$AW$14:$AW$968= X$4))-ROW(DATABASE!$AV$14)+1,X$5+3)),"")</f>
        <v/>
      </c>
      <c r="Y44" s="116">
        <f t="array" ref="Y44">IFERROR(_xlfn.SINGLE(INDEX(DATABASE!$AV$14:$BC$968,SUMPRODUCT((ROW(DATABASE!$AV$14:$AV$968)) * (DATABASE!$AV$14:BR$968='Résultats Projection'!$A44 ) * (DATABASE!$AW$14:$AW$968= Y$4))-ROW(DATABASE!$AV$14)+1,Y$5+3)),"")</f>
        <v/>
      </c>
      <c r="Z44" s="116">
        <f t="array" ref="Z44">IFERROR(_xlfn.SINGLE(INDEX(DATABASE!$AV$14:$BC$968,SUMPRODUCT((ROW(DATABASE!$AV$14:$AV$968)) * (DATABASE!$AV$14:BS$968='Résultats Projection'!$A44 ) * (DATABASE!$AW$14:$AW$968= Z$4))-ROW(DATABASE!$AV$14)+1,Z$5+3)),"")</f>
        <v/>
      </c>
      <c r="AA44" s="116">
        <f t="array" ref="AA44">IFERROR(_xlfn.SINGLE(INDEX(DATABASE!$AV$14:$BC$968,SUMPRODUCT((ROW(DATABASE!$AV$14:$AV$968)) * (DATABASE!$AV$14:BT$968='Résultats Projection'!$A44 ) * (DATABASE!$AW$14:$AW$968= AA$4))-ROW(DATABASE!$AV$14)+1,AA$5+3)),"")</f>
        <v/>
      </c>
      <c r="AB44" s="116">
        <f t="array" ref="AB44">IFERROR(_xlfn.SINGLE(INDEX(DATABASE!$AV$14:$BC$968,SUMPRODUCT((ROW(DATABASE!$AV$14:$AV$968)) * (DATABASE!$AV$14:BU$968='Résultats Projection'!$A44 ) * (DATABASE!$AW$14:$AW$968= AB$4))-ROW(DATABASE!$AV$14)+1,AB$5+3)),"")</f>
        <v/>
      </c>
      <c r="AC44" s="116">
        <f t="array" ref="AC44">IFERROR(_xlfn.SINGLE(INDEX(DATABASE!$AV$14:$BC$968,SUMPRODUCT((ROW(DATABASE!$AV$14:$AV$968)) * (DATABASE!$AV$14:BV$968='Résultats Projection'!$A44 ) * (DATABASE!$AW$14:$AW$968= AC$4))-ROW(DATABASE!$AV$14)+1,AC$5+3)),"")</f>
        <v/>
      </c>
      <c r="AD44" s="116">
        <f t="array" ref="AD44">IFERROR(_xlfn.SINGLE(INDEX(DATABASE!$AV$14:$BC$968,SUMPRODUCT((ROW(DATABASE!$AV$14:$AV$968)) * (DATABASE!$AV$14:BW$968='Résultats Projection'!$A44 ) * (DATABASE!$AW$14:$AW$968= AD$4))-ROW(DATABASE!$AV$14)+1,AD$5+3)),"")</f>
        <v/>
      </c>
      <c r="AE44" s="116">
        <f t="array" ref="AE44">IFERROR(_xlfn.SINGLE(INDEX(DATABASE!$AV$14:$BC$968,SUMPRODUCT((ROW(DATABASE!$AV$14:$AV$968)) * (DATABASE!$AV$14:BX$968='Résultats Projection'!$A44 ) * (DATABASE!$AW$14:$AW$968= AE$4))-ROW(DATABASE!$AV$14)+1,AE$5+3)),"")</f>
        <v/>
      </c>
      <c r="AF44" s="116">
        <f t="array" ref="AF44">IFERROR(_xlfn.SINGLE(INDEX(DATABASE!$AV$14:$BC$968,SUMPRODUCT((ROW(DATABASE!$AV$14:$AV$968)) * (DATABASE!$AV$14:BY$968='Résultats Projection'!$A44 ) * (DATABASE!$AW$14:$AW$968= AF$4))-ROW(DATABASE!$AV$14)+1,AF$5+3)),"")</f>
        <v/>
      </c>
      <c r="AG44" s="116">
        <f t="array" ref="AG44">IFERROR(_xlfn.SINGLE(INDEX(DATABASE!$AV$14:$BC$968,SUMPRODUCT((ROW(DATABASE!$AV$14:$AV$968)) * (DATABASE!$AV$14:BZ$968='Résultats Projection'!$A44 ) * (DATABASE!$AW$14:$AW$968= AG$4))-ROW(DATABASE!$AV$14)+1,AG$5+3)),"")</f>
        <v/>
      </c>
      <c r="AH44" s="116">
        <f t="array" ref="AH44">IFERROR(_xlfn.SINGLE(INDEX(DATABASE!$AV$14:$BC$968,SUMPRODUCT((ROW(DATABASE!$AV$14:$AV$968)) * (DATABASE!$AV$14:CA$968='Résultats Projection'!$A44 ) * (DATABASE!$AW$14:$AW$968= AH$4))-ROW(DATABASE!$AV$14)+1,AH$5+3)),"")</f>
        <v/>
      </c>
      <c r="AI44" s="116">
        <f t="array" ref="AI44">IFERROR(_xlfn.SINGLE(INDEX(DATABASE!$AV$14:$BC$968,SUMPRODUCT((ROW(DATABASE!$AV$14:$AV$968)) * (DATABASE!$AV$14:CB$968='Résultats Projection'!$A44 ) * (DATABASE!$AW$14:$AW$968= AI$4))-ROW(DATABASE!$AV$14)+1,AI$5+3)),"")</f>
        <v/>
      </c>
      <c r="AJ44" s="116">
        <f t="array" ref="AJ44">IFERROR(_xlfn.SINGLE(INDEX(DATABASE!$AV$14:$BC$968,SUMPRODUCT((ROW(DATABASE!$AV$14:$AV$968)) * (DATABASE!$AV$14:CC$968='Résultats Projection'!$A44 ) * (DATABASE!$AW$14:$AW$968= AJ$4))-ROW(DATABASE!$AV$14)+1,AJ$5+3)),"")</f>
        <v/>
      </c>
      <c r="AK44" s="116">
        <f t="array" ref="AK44">IFERROR(_xlfn.SINGLE(INDEX(DATABASE!$AV$14:$BC$968,SUMPRODUCT((ROW(DATABASE!$AV$14:$AV$968)) * (DATABASE!$AV$14:CD$968='Résultats Projection'!$A44 ) * (DATABASE!$AW$14:$AW$968= AK$4))-ROW(DATABASE!$AV$14)+1,AK$5+3)),"")</f>
        <v/>
      </c>
      <c r="AL44" s="116">
        <f t="array" ref="AL44">IFERROR(_xlfn.SINGLE(INDEX(DATABASE!$AV$14:$BC$968,SUMPRODUCT((ROW(DATABASE!$AV$14:$AV$968)) * (DATABASE!$AV$14:CE$968='Résultats Projection'!$A44 ) * (DATABASE!$AW$14:$AW$968= AL$4))-ROW(DATABASE!$AV$14)+1,AL$5+3)),"")</f>
        <v/>
      </c>
      <c r="AM44" s="116">
        <f t="array" ref="AM44">IFERROR(_xlfn.SINGLE(INDEX(DATABASE!$AV$14:$BC$968,SUMPRODUCT((ROW(DATABASE!$AV$14:$AV$968)) * (DATABASE!$AV$14:CF$968='Résultats Projection'!$A44 ) * (DATABASE!$AW$14:$AW$968= AM$4))-ROW(DATABASE!$AV$14)+1,AM$5+3)),"")</f>
        <v/>
      </c>
      <c r="AN44" s="116">
        <f t="array" ref="AN44">IFERROR(_xlfn.SINGLE(INDEX(DATABASE!$AV$14:$BC$968,SUMPRODUCT((ROW(DATABASE!$AV$14:$AV$968)) * (DATABASE!$AV$14:CG$968='Résultats Projection'!$A44 ) * (DATABASE!$AW$14:$AW$968= AN$4))-ROW(DATABASE!$AV$14)+1,AN$5+3)),"")</f>
        <v/>
      </c>
      <c r="AO44" s="116">
        <f t="array" ref="AO44">IFERROR(_xlfn.SINGLE(INDEX(DATABASE!$AV$14:$BC$968,SUMPRODUCT((ROW(DATABASE!$AV$14:$AV$968)) * (DATABASE!$AV$14:CH$968='Résultats Projection'!$A44 ) * (DATABASE!$AW$14:$AW$968= AO$4))-ROW(DATABASE!$AV$14)+1,AO$5+3)),"")</f>
        <v/>
      </c>
      <c r="AP44" s="116">
        <f t="array" ref="AP44">IFERROR(_xlfn.SINGLE(INDEX(DATABASE!$AV$14:$BC$968,SUMPRODUCT((ROW(DATABASE!$AV$14:$AV$968)) * (DATABASE!$AV$14:CI$968='Résultats Projection'!$A44 ) * (DATABASE!$AW$14:$AW$968= AP$4))-ROW(DATABASE!$AV$14)+1,AP$5+3)),"")</f>
        <v/>
      </c>
      <c r="AQ44" s="116">
        <f t="array" ref="AQ44">IFERROR(_xlfn.SINGLE(INDEX(DATABASE!$AV$14:$BC$968,SUMPRODUCT((ROW(DATABASE!$AV$14:$AV$968)) * (DATABASE!$AV$14:CJ$968='Résultats Projection'!$A44 ) * (DATABASE!$AW$14:$AW$968= AQ$4))-ROW(DATABASE!$AV$14)+1,AQ$5+3)),"")</f>
        <v/>
      </c>
      <c r="AR44" s="116">
        <f t="array" ref="AR44">IFERROR(_xlfn.SINGLE(INDEX(DATABASE!$AV$14:$BC$968,SUMPRODUCT((ROW(DATABASE!$AV$14:$AV$968)) * (DATABASE!$AV$14:CK$968='Résultats Projection'!$A44 ) * (DATABASE!$AW$14:$AW$968= AR$4))-ROW(DATABASE!$AV$14)+1,AR$5+3)),"")</f>
        <v/>
      </c>
      <c r="AS44" s="116">
        <f t="array" ref="AS44">IFERROR(_xlfn.SINGLE(INDEX(DATABASE!$AV$14:$BC$968,SUMPRODUCT((ROW(DATABASE!$AV$14:$AV$968)) * (DATABASE!$AV$14:CL$968='Résultats Projection'!$A44 ) * (DATABASE!$AW$14:$AW$968= AS$4))-ROW(DATABASE!$AV$14)+1,AS$5+3)),"")</f>
        <v/>
      </c>
      <c r="AT44" s="116">
        <f t="array" ref="AT44">IFERROR(_xlfn.SINGLE(INDEX(DATABASE!$AV$14:$BC$968,SUMPRODUCT((ROW(DATABASE!$AV$14:$AV$968)) * (DATABASE!$AV$14:CM$968='Résultats Projection'!$A44 ) * (DATABASE!$AW$14:$AW$968= AT$4))-ROW(DATABASE!$AV$14)+1,AT$5+3)),"")</f>
        <v/>
      </c>
      <c r="AU44" s="116">
        <f t="array" ref="AU44">IFERROR(_xlfn.SINGLE(INDEX(DATABASE!$AV$14:$BC$968,SUMPRODUCT((ROW(DATABASE!$AV$14:$AV$968)) * (DATABASE!$AV$14:CN$968='Résultats Projection'!$A44 ) * (DATABASE!$AW$14:$AW$968= AU$4))-ROW(DATABASE!$AV$14)+1,AU$5+3)),"")</f>
        <v/>
      </c>
      <c r="AV44" s="116">
        <f t="array" ref="AV44">IFERROR(_xlfn.SINGLE(INDEX(DATABASE!$AV$14:$BC$968,SUMPRODUCT((ROW(DATABASE!$AV$14:$AV$968)) * (DATABASE!$AV$14:CO$968='Résultats Projection'!$A44 ) * (DATABASE!$AW$14:$AW$968= AV$4))-ROW(DATABASE!$AV$14)+1,AV$5+3)),"")</f>
        <v/>
      </c>
      <c r="AW44" s="116">
        <f t="array" ref="AW44">IFERROR(_xlfn.SINGLE(INDEX(DATABASE!$AV$14:$BC$968,SUMPRODUCT((ROW(DATABASE!$AV$14:$AV$968)) * (DATABASE!$AV$14:CP$968='Résultats Projection'!$A44 ) * (DATABASE!$AW$14:$AW$968= AW$4))-ROW(DATABASE!$AV$14)+1,AW$5+3)),"")</f>
        <v/>
      </c>
      <c r="AX44" s="116">
        <f t="array" ref="AX44">IFERROR(_xlfn.SINGLE(INDEX(DATABASE!$AV$14:$BC$968,SUMPRODUCT((ROW(DATABASE!$AV$14:$AV$968)) * (DATABASE!$AV$14:CQ$968='Résultats Projection'!$A44 ) * (DATABASE!$AW$14:$AW$968= AX$4))-ROW(DATABASE!$AV$14)+1,AX$5+3)),"")</f>
        <v/>
      </c>
      <c r="AY44" s="116">
        <f t="array" ref="AY44">IFERROR(_xlfn.SINGLE(INDEX(DATABASE!$AV$14:$BC$968,SUMPRODUCT((ROW(DATABASE!$AV$14:$AV$968)) * (DATABASE!$AV$14:CR$968='Résultats Projection'!$A44 ) * (DATABASE!$AW$14:$AW$968= AY$4))-ROW(DATABASE!$AV$14)+1,AY$5+3)),"")</f>
        <v/>
      </c>
      <c r="AZ44" s="116">
        <f t="array" ref="AZ44">IFERROR(_xlfn.SINGLE(INDEX(DATABASE!$AV$14:$BC$968,SUMPRODUCT((ROW(DATABASE!$AV$14:$AV$968)) * (DATABASE!$AV$14:CS$968='Résultats Projection'!$A44 ) * (DATABASE!$AW$14:$AW$968= AZ$4))-ROW(DATABASE!$AV$14)+1,AZ$5+3)),"")</f>
        <v/>
      </c>
      <c r="BA44" s="116">
        <f t="array" ref="BA44">IFERROR(_xlfn.SINGLE(INDEX(DATABASE!$AV$14:$BC$968,SUMPRODUCT((ROW(DATABASE!$AV$14:$AV$968)) * (DATABASE!$AV$14:CT$968='Résultats Projection'!$A44 ) * (DATABASE!$AW$14:$AW$968= BA$4))-ROW(DATABASE!$AV$14)+1,BA$5+3)),"")</f>
        <v/>
      </c>
      <c r="BB44" s="116">
        <f t="array" ref="BB44">IFERROR(_xlfn.SINGLE(INDEX(DATABASE!$AV$14:$BC$968,SUMPRODUCT((ROW(DATABASE!$AV$14:$AV$968)) * (DATABASE!$AV$14:CU$968='Résultats Projection'!$A44 ) * (DATABASE!$AW$14:$AW$968= BB$4))-ROW(DATABASE!$AV$14)+1,BB$5+3)),"")</f>
        <v/>
      </c>
      <c r="BC44" s="116">
        <f t="array" ref="BC44">IFERROR(_xlfn.SINGLE(INDEX(DATABASE!$AV$14:$BC$968,SUMPRODUCT((ROW(DATABASE!$AV$14:$AV$968)) * (DATABASE!$AV$14:CV$968='Résultats Projection'!$A44 ) * (DATABASE!$AW$14:$AW$968= BC$4))-ROW(DATABASE!$AV$14)+1,BC$5+3)),"")</f>
        <v/>
      </c>
      <c r="BD44" s="116">
        <f t="array" ref="BD44">IFERROR(_xlfn.SINGLE(INDEX(DATABASE!$AV$14:$BC$968,SUMPRODUCT((ROW(DATABASE!$AV$14:$AV$968)) * (DATABASE!$AV$14:CW$968='Résultats Projection'!$A44 ) * (DATABASE!$AW$14:$AW$968= BD$4))-ROW(DATABASE!$AV$14)+1,BD$5+3)),"")</f>
        <v/>
      </c>
      <c r="BE44" s="116">
        <f t="array" ref="BE44">IFERROR(_xlfn.SINGLE(INDEX(DATABASE!$AV$14:$BC$968,SUMPRODUCT((ROW(DATABASE!$AV$14:$AV$968)) * (DATABASE!$AV$14:CX$968='Résultats Projection'!$A44 ) * (DATABASE!$AW$14:$AW$968= BE$4))-ROW(DATABASE!$AV$14)+1,BE$5+3)),"")</f>
        <v/>
      </c>
      <c r="BF44" s="116">
        <f t="array" ref="BF44">IFERROR(_xlfn.SINGLE(INDEX(DATABASE!$AV$14:$BC$968,SUMPRODUCT((ROW(DATABASE!$AV$14:$AV$968)) * (DATABASE!$AV$14:CY$968='Résultats Projection'!$A44 ) * (DATABASE!$AW$14:$AW$968= BF$4))-ROW(DATABASE!$AV$14)+1,BF$5+3)),"")</f>
        <v/>
      </c>
      <c r="BG44" s="116">
        <f t="array" ref="BG44">IFERROR(_xlfn.SINGLE(INDEX(DATABASE!$AV$14:$BC$968,SUMPRODUCT((ROW(DATABASE!$AV$14:$AV$968)) * (DATABASE!$AV$14:CZ$968='Résultats Projection'!$A44 ) * (DATABASE!$AW$14:$AW$968= BG$4))-ROW(DATABASE!$AV$14)+1,BG$5+3)),"")</f>
        <v/>
      </c>
      <c r="BH44" s="116">
        <f t="array" ref="BH44">IFERROR(_xlfn.SINGLE(INDEX(DATABASE!$AV$14:$BC$968,SUMPRODUCT((ROW(DATABASE!$AV$14:$AV$968)) * (DATABASE!$AV$14:DA$968='Résultats Projection'!$A44 ) * (DATABASE!$AW$14:$AW$968= BH$4))-ROW(DATABASE!$AV$14)+1,BH$5+3)),"")</f>
        <v/>
      </c>
      <c r="BI44" s="116">
        <f t="array" ref="BI44">IFERROR(_xlfn.SINGLE(INDEX(DATABASE!$AV$14:$BC$968,SUMPRODUCT((ROW(DATABASE!$AV$14:$AV$968)) * (DATABASE!$AV$14:DB$968='Résultats Projection'!$A44 ) * (DATABASE!$AW$14:$AW$968= BI$4))-ROW(DATABASE!$AV$14)+1,BI$5+3)),"")</f>
        <v/>
      </c>
      <c r="BJ44" s="116">
        <f t="array" ref="BJ44">IFERROR(_xlfn.SINGLE(INDEX(DATABASE!$AV$14:$BC$968,SUMPRODUCT((ROW(DATABASE!$AV$14:$AV$968)) * (DATABASE!$AV$14:DC$968='Résultats Projection'!$A44 ) * (DATABASE!$AW$14:$AW$968= BJ$4))-ROW(DATABASE!$AV$14)+1,BJ$5+3)),"")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(DATABASE!AV$14:$AV$968='Résultats Projection'!$A45 ) * (DATABASE!$AW$14:$AW$968= C$4))-ROW(DATABASE!$AV$14)+1,C$5+3)),"")</f>
        <v/>
      </c>
      <c r="D45" s="116">
        <f t="array" ref="D45">IFERROR(_xlfn.SINGLE(INDEX(DATABASE!$AV$14:$BC$968,SUMPRODUCT((ROW(DATABASE!$AV$14:$AV$968)) * (DATABASE!$AV$14:AW$968='Résultats Projection'!$A45 ) * (DATABASE!$AW$14:$AW$968= D$4))-ROW(DATABASE!$AV$14)+1,D$5+3)),"")</f>
        <v/>
      </c>
      <c r="E45" s="116">
        <f t="array" ref="E45">IFERROR(_xlfn.SINGLE(INDEX(DATABASE!$AV$14:$BC$968,SUMPRODUCT((ROW(DATABASE!$AV$14:$AV$968)) * (DATABASE!$AV$14:AX$968='Résultats Projection'!$A45 ) * (DATABASE!$AW$14:$AW$968= E$4))-ROW(DATABASE!$AV$14)+1,E$5+3)),"")</f>
        <v/>
      </c>
      <c r="F45" s="116">
        <f t="array" ref="F45">IFERROR(_xlfn.SINGLE(INDEX(DATABASE!$AV$14:$BC$968,SUMPRODUCT((ROW(DATABASE!$AV$14:$AV$968)) * (DATABASE!$AV$14:AY$968='Résultats Projection'!$A45 ) * (DATABASE!$AW$14:$AW$968= F$4))-ROW(DATABASE!$AV$14)+1,F$5+3)),"")</f>
        <v/>
      </c>
      <c r="G45" s="116">
        <f t="array" ref="G45">IFERROR(_xlfn.SINGLE(INDEX(DATABASE!$AV$14:$BC$968,SUMPRODUCT((ROW(DATABASE!$AV$14:$AV$968)) * (DATABASE!$AV$14:AZ$968='Résultats Projection'!$A45 ) * (DATABASE!$AW$14:$AW$968= G$4))-ROW(DATABASE!$AV$14)+1,G$5+3)),"")</f>
        <v/>
      </c>
      <c r="H45" s="116">
        <f t="array" ref="H45">IFERROR(_xlfn.SINGLE(INDEX(DATABASE!$AV$14:$BC$968,SUMPRODUCT((ROW(DATABASE!$AV$14:$AV$968)) * (DATABASE!$AV$14:BA$968='Résultats Projection'!$A45 ) * (DATABASE!$AW$14:$AW$968= H$4))-ROW(DATABASE!$AV$14)+1,H$5+3)),"")</f>
        <v/>
      </c>
      <c r="I45" s="116">
        <f t="array" ref="I45">IFERROR(_xlfn.SINGLE(INDEX(DATABASE!$AV$14:$BC$968,SUMPRODUCT((ROW(DATABASE!$AV$14:$AV$968)) * (DATABASE!$AV$14:BB$968='Résultats Projection'!$A45 ) * (DATABASE!$AW$14:$AW$968= I$4))-ROW(DATABASE!$AV$14)+1,I$5+3)),"")</f>
        <v/>
      </c>
      <c r="J45" s="116">
        <f t="array" ref="J45">IFERROR(_xlfn.SINGLE(INDEX(DATABASE!$AV$14:$BC$968,SUMPRODUCT((ROW(DATABASE!$AV$14:$AV$968)) * (DATABASE!$AV$14:BC$968='Résultats Projection'!$A45 ) * (DATABASE!$AW$14:$AW$968= J$4))-ROW(DATABASE!$AV$14)+1,J$5+3)),"")</f>
        <v/>
      </c>
      <c r="K45" s="116">
        <f t="array" ref="K45">IFERROR(_xlfn.SINGLE(INDEX(DATABASE!$AV$14:$BC$968,SUMPRODUCT((ROW(DATABASE!$AV$14:$AV$968)) * (DATABASE!$AV$14:BD$968='Résultats Projection'!$A45 ) * (DATABASE!$AW$14:$AW$968= K$4))-ROW(DATABASE!$AV$14)+1,K$5+3)),"")</f>
        <v/>
      </c>
      <c r="L45" s="116">
        <f t="array" ref="L45">IFERROR(_xlfn.SINGLE(INDEX(DATABASE!$AV$14:$BC$968,SUMPRODUCT((ROW(DATABASE!$AV$14:$AV$968)) * (DATABASE!$AV$14:BE$968='Résultats Projection'!$A45 ) * (DATABASE!$AW$14:$AW$968= L$4))-ROW(DATABASE!$AV$14)+1,L$5+3)),"")</f>
        <v/>
      </c>
      <c r="M45" s="116">
        <f t="array" ref="M45">IFERROR(_xlfn.SINGLE(INDEX(DATABASE!$AV$14:$BC$968,SUMPRODUCT((ROW(DATABASE!$AV$14:$AV$968)) * (DATABASE!$AV$14:BF$968='Résultats Projection'!$A45 ) * (DATABASE!$AW$14:$AW$968= M$4))-ROW(DATABASE!$AV$14)+1,M$5+3)),"")</f>
        <v/>
      </c>
      <c r="N45" s="116">
        <f t="array" ref="N45">IFERROR(_xlfn.SINGLE(INDEX(DATABASE!$AV$14:$BC$968,SUMPRODUCT((ROW(DATABASE!$AV$14:$AV$968)) * (DATABASE!$AV$14:BG$968='Résultats Projection'!$A45 ) * (DATABASE!$AW$14:$AW$968= N$4))-ROW(DATABASE!$AV$14)+1,N$5+3)),"")</f>
        <v/>
      </c>
      <c r="O45" s="116">
        <f t="array" ref="O45">IFERROR(_xlfn.SINGLE(INDEX(DATABASE!$AV$14:$BC$968,SUMPRODUCT((ROW(DATABASE!$AV$14:$AV$968)) * (DATABASE!$AV$14:BH$968='Résultats Projection'!$A45 ) * (DATABASE!$AW$14:$AW$968= O$4))-ROW(DATABASE!$AV$14)+1,O$5+3)),"")</f>
        <v/>
      </c>
      <c r="P45" s="116">
        <f t="array" ref="P45">IFERROR(_xlfn.SINGLE(INDEX(DATABASE!$AV$14:$BC$968,SUMPRODUCT((ROW(DATABASE!$AV$14:$AV$968)) * (DATABASE!$AV$14:BI$968='Résultats Projection'!$A45 ) * (DATABASE!$AW$14:$AW$968= P$4))-ROW(DATABASE!$AV$14)+1,P$5+3)),"")</f>
        <v/>
      </c>
      <c r="Q45" s="116">
        <f t="array" ref="Q45">IFERROR(_xlfn.SINGLE(INDEX(DATABASE!$AV$14:$BC$968,SUMPRODUCT((ROW(DATABASE!$AV$14:$AV$968)) * (DATABASE!$AV$14:BJ$968='Résultats Projection'!$A45 ) * (DATABASE!$AW$14:$AW$968= Q$4))-ROW(DATABASE!$AV$14)+1,Q$5+3)),"")</f>
        <v/>
      </c>
      <c r="R45" s="116">
        <f t="array" ref="R45">IFERROR(_xlfn.SINGLE(INDEX(DATABASE!$AV$14:$BC$968,SUMPRODUCT((ROW(DATABASE!$AV$14:$AV$968)) * (DATABASE!$AV$14:BK$968='Résultats Projection'!$A45 ) * (DATABASE!$AW$14:$AW$968= R$4))-ROW(DATABASE!$AV$14)+1,R$5+3)),"")</f>
        <v/>
      </c>
      <c r="S45" s="116">
        <f t="array" ref="S45">IFERROR(_xlfn.SINGLE(INDEX(DATABASE!$AV$14:$BC$968,SUMPRODUCT((ROW(DATABASE!$AV$14:$AV$968)) * (DATABASE!$AV$14:BL$968='Résultats Projection'!$A45 ) * (DATABASE!$AW$14:$AW$968= S$4))-ROW(DATABASE!$AV$14)+1,S$5+3)),"")</f>
        <v/>
      </c>
      <c r="T45" s="116">
        <f t="array" ref="T45">IFERROR(_xlfn.SINGLE(INDEX(DATABASE!$AV$14:$BC$968,SUMPRODUCT((ROW(DATABASE!$AV$14:$AV$968)) * (DATABASE!$AV$14:BM$968='Résultats Projection'!$A45 ) * (DATABASE!$AW$14:$AW$968= T$4))-ROW(DATABASE!$AV$14)+1,T$5+3)),"")</f>
        <v/>
      </c>
      <c r="U45" s="116">
        <f t="array" ref="U45">IFERROR(_xlfn.SINGLE(INDEX(DATABASE!$AV$14:$BC$968,SUMPRODUCT((ROW(DATABASE!$AV$14:$AV$968)) * (DATABASE!$AV$14:BN$968='Résultats Projection'!$A45 ) * (DATABASE!$AW$14:$AW$968= U$4))-ROW(DATABASE!$AV$14)+1,U$5+3)),"")</f>
        <v/>
      </c>
      <c r="V45" s="116">
        <f t="array" ref="V45">IFERROR(_xlfn.SINGLE(INDEX(DATABASE!$AV$14:$BC$968,SUMPRODUCT((ROW(DATABASE!$AV$14:$AV$968)) * (DATABASE!$AV$14:BO$968='Résultats Projection'!$A45 ) * (DATABASE!$AW$14:$AW$968= V$4))-ROW(DATABASE!$AV$14)+1,V$5+3)),"")</f>
        <v/>
      </c>
      <c r="W45" s="116">
        <f t="array" ref="W45">IFERROR(_xlfn.SINGLE(INDEX(DATABASE!$AV$14:$BC$968,SUMPRODUCT((ROW(DATABASE!$AV$14:$AV$968)) * (DATABASE!$AV$14:BP$968='Résultats Projection'!$A45 ) * (DATABASE!$AW$14:$AW$968= W$4))-ROW(DATABASE!$AV$14)+1,W$5+3)),"")</f>
        <v/>
      </c>
      <c r="X45" s="116">
        <f t="array" ref="X45">IFERROR(_xlfn.SINGLE(INDEX(DATABASE!$AV$14:$BC$968,SUMPRODUCT((ROW(DATABASE!$AV$14:$AV$968)) * (DATABASE!$AV$14:BQ$968='Résultats Projection'!$A45 ) * (DATABASE!$AW$14:$AW$968= X$4))-ROW(DATABASE!$AV$14)+1,X$5+3)),"")</f>
        <v/>
      </c>
      <c r="Y45" s="116">
        <f t="array" ref="Y45">IFERROR(_xlfn.SINGLE(INDEX(DATABASE!$AV$14:$BC$968,SUMPRODUCT((ROW(DATABASE!$AV$14:$AV$968)) * (DATABASE!$AV$14:BR$968='Résultats Projection'!$A45 ) * (DATABASE!$AW$14:$AW$968= Y$4))-ROW(DATABASE!$AV$14)+1,Y$5+3)),"")</f>
        <v/>
      </c>
      <c r="Z45" s="116">
        <f t="array" ref="Z45">IFERROR(_xlfn.SINGLE(INDEX(DATABASE!$AV$14:$BC$968,SUMPRODUCT((ROW(DATABASE!$AV$14:$AV$968)) * (DATABASE!$AV$14:BS$968='Résultats Projection'!$A45 ) * (DATABASE!$AW$14:$AW$968= Z$4))-ROW(DATABASE!$AV$14)+1,Z$5+3)),"")</f>
        <v/>
      </c>
      <c r="AA45" s="116">
        <f t="array" ref="AA45">IFERROR(_xlfn.SINGLE(INDEX(DATABASE!$AV$14:$BC$968,SUMPRODUCT((ROW(DATABASE!$AV$14:$AV$968)) * (DATABASE!$AV$14:BT$968='Résultats Projection'!$A45 ) * (DATABASE!$AW$14:$AW$968= AA$4))-ROW(DATABASE!$AV$14)+1,AA$5+3)),"")</f>
        <v/>
      </c>
      <c r="AB45" s="116">
        <f t="array" ref="AB45">IFERROR(_xlfn.SINGLE(INDEX(DATABASE!$AV$14:$BC$968,SUMPRODUCT((ROW(DATABASE!$AV$14:$AV$968)) * (DATABASE!$AV$14:BU$968='Résultats Projection'!$A45 ) * (DATABASE!$AW$14:$AW$968= AB$4))-ROW(DATABASE!$AV$14)+1,AB$5+3)),"")</f>
        <v/>
      </c>
      <c r="AC45" s="116">
        <f t="array" ref="AC45">IFERROR(_xlfn.SINGLE(INDEX(DATABASE!$AV$14:$BC$968,SUMPRODUCT((ROW(DATABASE!$AV$14:$AV$968)) * (DATABASE!$AV$14:BV$968='Résultats Projection'!$A45 ) * (DATABASE!$AW$14:$AW$968= AC$4))-ROW(DATABASE!$AV$14)+1,AC$5+3)),"")</f>
        <v/>
      </c>
      <c r="AD45" s="116">
        <f t="array" ref="AD45">IFERROR(_xlfn.SINGLE(INDEX(DATABASE!$AV$14:$BC$968,SUMPRODUCT((ROW(DATABASE!$AV$14:$AV$968)) * (DATABASE!$AV$14:BW$968='Résultats Projection'!$A45 ) * (DATABASE!$AW$14:$AW$968= AD$4))-ROW(DATABASE!$AV$14)+1,AD$5+3)),"")</f>
        <v/>
      </c>
      <c r="AE45" s="116">
        <f t="array" ref="AE45">IFERROR(_xlfn.SINGLE(INDEX(DATABASE!$AV$14:$BC$968,SUMPRODUCT((ROW(DATABASE!$AV$14:$AV$968)) * (DATABASE!$AV$14:BX$968='Résultats Projection'!$A45 ) * (DATABASE!$AW$14:$AW$968= AE$4))-ROW(DATABASE!$AV$14)+1,AE$5+3)),"")</f>
        <v/>
      </c>
      <c r="AF45" s="116">
        <f t="array" ref="AF45">IFERROR(_xlfn.SINGLE(INDEX(DATABASE!$AV$14:$BC$968,SUMPRODUCT((ROW(DATABASE!$AV$14:$AV$968)) * (DATABASE!$AV$14:BY$968='Résultats Projection'!$A45 ) * (DATABASE!$AW$14:$AW$968= AF$4))-ROW(DATABASE!$AV$14)+1,AF$5+3)),"")</f>
        <v/>
      </c>
      <c r="AG45" s="116">
        <f t="array" ref="AG45">IFERROR(_xlfn.SINGLE(INDEX(DATABASE!$AV$14:$BC$968,SUMPRODUCT((ROW(DATABASE!$AV$14:$AV$968)) * (DATABASE!$AV$14:BZ$968='Résultats Projection'!$A45 ) * (DATABASE!$AW$14:$AW$968= AG$4))-ROW(DATABASE!$AV$14)+1,AG$5+3)),"")</f>
        <v/>
      </c>
      <c r="AH45" s="116">
        <f t="array" ref="AH45">IFERROR(_xlfn.SINGLE(INDEX(DATABASE!$AV$14:$BC$968,SUMPRODUCT((ROW(DATABASE!$AV$14:$AV$968)) * (DATABASE!$AV$14:CA$968='Résultats Projection'!$A45 ) * (DATABASE!$AW$14:$AW$968= AH$4))-ROW(DATABASE!$AV$14)+1,AH$5+3)),"")</f>
        <v/>
      </c>
      <c r="AI45" s="116">
        <f t="array" ref="AI45">IFERROR(_xlfn.SINGLE(INDEX(DATABASE!$AV$14:$BC$968,SUMPRODUCT((ROW(DATABASE!$AV$14:$AV$968)) * (DATABASE!$AV$14:CB$968='Résultats Projection'!$A45 ) * (DATABASE!$AW$14:$AW$968= AI$4))-ROW(DATABASE!$AV$14)+1,AI$5+3)),"")</f>
        <v/>
      </c>
      <c r="AJ45" s="116">
        <f t="array" ref="AJ45">IFERROR(_xlfn.SINGLE(INDEX(DATABASE!$AV$14:$BC$968,SUMPRODUCT((ROW(DATABASE!$AV$14:$AV$968)) * (DATABASE!$AV$14:CC$968='Résultats Projection'!$A45 ) * (DATABASE!$AW$14:$AW$968= AJ$4))-ROW(DATABASE!$AV$14)+1,AJ$5+3)),"")</f>
        <v/>
      </c>
      <c r="AK45" s="116">
        <f t="array" ref="AK45">IFERROR(_xlfn.SINGLE(INDEX(DATABASE!$AV$14:$BC$968,SUMPRODUCT((ROW(DATABASE!$AV$14:$AV$968)) * (DATABASE!$AV$14:CD$968='Résultats Projection'!$A45 ) * (DATABASE!$AW$14:$AW$968= AK$4))-ROW(DATABASE!$AV$14)+1,AK$5+3)),"")</f>
        <v/>
      </c>
      <c r="AL45" s="116">
        <f t="array" ref="AL45">IFERROR(_xlfn.SINGLE(INDEX(DATABASE!$AV$14:$BC$968,SUMPRODUCT((ROW(DATABASE!$AV$14:$AV$968)) * (DATABASE!$AV$14:CE$968='Résultats Projection'!$A45 ) * (DATABASE!$AW$14:$AW$968= AL$4))-ROW(DATABASE!$AV$14)+1,AL$5+3)),"")</f>
        <v/>
      </c>
      <c r="AM45" s="116">
        <f t="array" ref="AM45">IFERROR(_xlfn.SINGLE(INDEX(DATABASE!$AV$14:$BC$968,SUMPRODUCT((ROW(DATABASE!$AV$14:$AV$968)) * (DATABASE!$AV$14:CF$968='Résultats Projection'!$A45 ) * (DATABASE!$AW$14:$AW$968= AM$4))-ROW(DATABASE!$AV$14)+1,AM$5+3)),"")</f>
        <v/>
      </c>
      <c r="AN45" s="116">
        <f t="array" ref="AN45">IFERROR(_xlfn.SINGLE(INDEX(DATABASE!$AV$14:$BC$968,SUMPRODUCT((ROW(DATABASE!$AV$14:$AV$968)) * (DATABASE!$AV$14:CG$968='Résultats Projection'!$A45 ) * (DATABASE!$AW$14:$AW$968= AN$4))-ROW(DATABASE!$AV$14)+1,AN$5+3)),"")</f>
        <v/>
      </c>
      <c r="AO45" s="116">
        <f t="array" ref="AO45">IFERROR(_xlfn.SINGLE(INDEX(DATABASE!$AV$14:$BC$968,SUMPRODUCT((ROW(DATABASE!$AV$14:$AV$968)) * (DATABASE!$AV$14:CH$968='Résultats Projection'!$A45 ) * (DATABASE!$AW$14:$AW$968= AO$4))-ROW(DATABASE!$AV$14)+1,AO$5+3)),"")</f>
        <v/>
      </c>
      <c r="AP45" s="116">
        <f t="array" ref="AP45">IFERROR(_xlfn.SINGLE(INDEX(DATABASE!$AV$14:$BC$968,SUMPRODUCT((ROW(DATABASE!$AV$14:$AV$968)) * (DATABASE!$AV$14:CI$968='Résultats Projection'!$A45 ) * (DATABASE!$AW$14:$AW$968= AP$4))-ROW(DATABASE!$AV$14)+1,AP$5+3)),"")</f>
        <v/>
      </c>
      <c r="AQ45" s="116">
        <f t="array" ref="AQ45">IFERROR(_xlfn.SINGLE(INDEX(DATABASE!$AV$14:$BC$968,SUMPRODUCT((ROW(DATABASE!$AV$14:$AV$968)) * (DATABASE!$AV$14:CJ$968='Résultats Projection'!$A45 ) * (DATABASE!$AW$14:$AW$968= AQ$4))-ROW(DATABASE!$AV$14)+1,AQ$5+3)),"")</f>
        <v/>
      </c>
      <c r="AR45" s="116">
        <f t="array" ref="AR45">IFERROR(_xlfn.SINGLE(INDEX(DATABASE!$AV$14:$BC$968,SUMPRODUCT((ROW(DATABASE!$AV$14:$AV$968)) * (DATABASE!$AV$14:CK$968='Résultats Projection'!$A45 ) * (DATABASE!$AW$14:$AW$968= AR$4))-ROW(DATABASE!$AV$14)+1,AR$5+3)),"")</f>
        <v/>
      </c>
      <c r="AS45" s="116">
        <f t="array" ref="AS45">IFERROR(_xlfn.SINGLE(INDEX(DATABASE!$AV$14:$BC$968,SUMPRODUCT((ROW(DATABASE!$AV$14:$AV$968)) * (DATABASE!$AV$14:CL$968='Résultats Projection'!$A45 ) * (DATABASE!$AW$14:$AW$968= AS$4))-ROW(DATABASE!$AV$14)+1,AS$5+3)),"")</f>
        <v/>
      </c>
      <c r="AT45" s="116">
        <f t="array" ref="AT45">IFERROR(_xlfn.SINGLE(INDEX(DATABASE!$AV$14:$BC$968,SUMPRODUCT((ROW(DATABASE!$AV$14:$AV$968)) * (DATABASE!$AV$14:CM$968='Résultats Projection'!$A45 ) * (DATABASE!$AW$14:$AW$968= AT$4))-ROW(DATABASE!$AV$14)+1,AT$5+3)),"")</f>
        <v/>
      </c>
      <c r="AU45" s="116">
        <f t="array" ref="AU45">IFERROR(_xlfn.SINGLE(INDEX(DATABASE!$AV$14:$BC$968,SUMPRODUCT((ROW(DATABASE!$AV$14:$AV$968)) * (DATABASE!$AV$14:CN$968='Résultats Projection'!$A45 ) * (DATABASE!$AW$14:$AW$968= AU$4))-ROW(DATABASE!$AV$14)+1,AU$5+3)),"")</f>
        <v/>
      </c>
      <c r="AV45" s="116">
        <f t="array" ref="AV45">IFERROR(_xlfn.SINGLE(INDEX(DATABASE!$AV$14:$BC$968,SUMPRODUCT((ROW(DATABASE!$AV$14:$AV$968)) * (DATABASE!$AV$14:CO$968='Résultats Projection'!$A45 ) * (DATABASE!$AW$14:$AW$968= AV$4))-ROW(DATABASE!$AV$14)+1,AV$5+3)),"")</f>
        <v/>
      </c>
      <c r="AW45" s="116">
        <f t="array" ref="AW45">IFERROR(_xlfn.SINGLE(INDEX(DATABASE!$AV$14:$BC$968,SUMPRODUCT((ROW(DATABASE!$AV$14:$AV$968)) * (DATABASE!$AV$14:CP$968='Résultats Projection'!$A45 ) * (DATABASE!$AW$14:$AW$968= AW$4))-ROW(DATABASE!$AV$14)+1,AW$5+3)),"")</f>
        <v/>
      </c>
      <c r="AX45" s="116">
        <f t="array" ref="AX45">IFERROR(_xlfn.SINGLE(INDEX(DATABASE!$AV$14:$BC$968,SUMPRODUCT((ROW(DATABASE!$AV$14:$AV$968)) * (DATABASE!$AV$14:CQ$968='Résultats Projection'!$A45 ) * (DATABASE!$AW$14:$AW$968= AX$4))-ROW(DATABASE!$AV$14)+1,AX$5+3)),"")</f>
        <v/>
      </c>
      <c r="AY45" s="116">
        <f t="array" ref="AY45">IFERROR(_xlfn.SINGLE(INDEX(DATABASE!$AV$14:$BC$968,SUMPRODUCT((ROW(DATABASE!$AV$14:$AV$968)) * (DATABASE!$AV$14:CR$968='Résultats Projection'!$A45 ) * (DATABASE!$AW$14:$AW$968= AY$4))-ROW(DATABASE!$AV$14)+1,AY$5+3)),"")</f>
        <v/>
      </c>
      <c r="AZ45" s="116">
        <f t="array" ref="AZ45">IFERROR(_xlfn.SINGLE(INDEX(DATABASE!$AV$14:$BC$968,SUMPRODUCT((ROW(DATABASE!$AV$14:$AV$968)) * (DATABASE!$AV$14:CS$968='Résultats Projection'!$A45 ) * (DATABASE!$AW$14:$AW$968= AZ$4))-ROW(DATABASE!$AV$14)+1,AZ$5+3)),"")</f>
        <v/>
      </c>
      <c r="BA45" s="116">
        <f t="array" ref="BA45">IFERROR(_xlfn.SINGLE(INDEX(DATABASE!$AV$14:$BC$968,SUMPRODUCT((ROW(DATABASE!$AV$14:$AV$968)) * (DATABASE!$AV$14:CT$968='Résultats Projection'!$A45 ) * (DATABASE!$AW$14:$AW$968= BA$4))-ROW(DATABASE!$AV$14)+1,BA$5+3)),"")</f>
        <v/>
      </c>
      <c r="BB45" s="116">
        <f t="array" ref="BB45">IFERROR(_xlfn.SINGLE(INDEX(DATABASE!$AV$14:$BC$968,SUMPRODUCT((ROW(DATABASE!$AV$14:$AV$968)) * (DATABASE!$AV$14:CU$968='Résultats Projection'!$A45 ) * (DATABASE!$AW$14:$AW$968= BB$4))-ROW(DATABASE!$AV$14)+1,BB$5+3)),"")</f>
        <v/>
      </c>
      <c r="BC45" s="116">
        <f t="array" ref="BC45">IFERROR(_xlfn.SINGLE(INDEX(DATABASE!$AV$14:$BC$968,SUMPRODUCT((ROW(DATABASE!$AV$14:$AV$968)) * (DATABASE!$AV$14:CV$968='Résultats Projection'!$A45 ) * (DATABASE!$AW$14:$AW$968= BC$4))-ROW(DATABASE!$AV$14)+1,BC$5+3)),"")</f>
        <v/>
      </c>
      <c r="BD45" s="116">
        <f t="array" ref="BD45">IFERROR(_xlfn.SINGLE(INDEX(DATABASE!$AV$14:$BC$968,SUMPRODUCT((ROW(DATABASE!$AV$14:$AV$968)) * (DATABASE!$AV$14:CW$968='Résultats Projection'!$A45 ) * (DATABASE!$AW$14:$AW$968= BD$4))-ROW(DATABASE!$AV$14)+1,BD$5+3)),"")</f>
        <v/>
      </c>
      <c r="BE45" s="116">
        <f t="array" ref="BE45">IFERROR(_xlfn.SINGLE(INDEX(DATABASE!$AV$14:$BC$968,SUMPRODUCT((ROW(DATABASE!$AV$14:$AV$968)) * (DATABASE!$AV$14:CX$968='Résultats Projection'!$A45 ) * (DATABASE!$AW$14:$AW$968= BE$4))-ROW(DATABASE!$AV$14)+1,BE$5+3)),"")</f>
        <v/>
      </c>
      <c r="BF45" s="116">
        <f t="array" ref="BF45">IFERROR(_xlfn.SINGLE(INDEX(DATABASE!$AV$14:$BC$968,SUMPRODUCT((ROW(DATABASE!$AV$14:$AV$968)) * (DATABASE!$AV$14:CY$968='Résultats Projection'!$A45 ) * (DATABASE!$AW$14:$AW$968= BF$4))-ROW(DATABASE!$AV$14)+1,BF$5+3)),"")</f>
        <v/>
      </c>
      <c r="BG45" s="116">
        <f t="array" ref="BG45">IFERROR(_xlfn.SINGLE(INDEX(DATABASE!$AV$14:$BC$968,SUMPRODUCT((ROW(DATABASE!$AV$14:$AV$968)) * (DATABASE!$AV$14:CZ$968='Résultats Projection'!$A45 ) * (DATABASE!$AW$14:$AW$968= BG$4))-ROW(DATABASE!$AV$14)+1,BG$5+3)),"")</f>
        <v/>
      </c>
      <c r="BH45" s="116">
        <f t="array" ref="BH45">IFERROR(_xlfn.SINGLE(INDEX(DATABASE!$AV$14:$BC$968,SUMPRODUCT((ROW(DATABASE!$AV$14:$AV$968)) * (DATABASE!$AV$14:DA$968='Résultats Projection'!$A45 ) * (DATABASE!$AW$14:$AW$968= BH$4))-ROW(DATABASE!$AV$14)+1,BH$5+3)),"")</f>
        <v/>
      </c>
      <c r="BI45" s="116">
        <f t="array" ref="BI45">IFERROR(_xlfn.SINGLE(INDEX(DATABASE!$AV$14:$BC$968,SUMPRODUCT((ROW(DATABASE!$AV$14:$AV$968)) * (DATABASE!$AV$14:DB$968='Résultats Projection'!$A45 ) * (DATABASE!$AW$14:$AW$968= BI$4))-ROW(DATABASE!$AV$14)+1,BI$5+3)),"")</f>
        <v/>
      </c>
      <c r="BJ45" s="116">
        <f t="array" ref="BJ45">IFERROR(_xlfn.SINGLE(INDEX(DATABASE!$AV$14:$BC$968,SUMPRODUCT((ROW(DATABASE!$AV$14:$AV$968)) * (DATABASE!$AV$14:DC$968='Résultats Projection'!$A45 ) * (DATABASE!$AW$14:$AW$968= BJ$4))-ROW(DATABASE!$AV$14)+1,BJ$5+3)),"")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(DATABASE!AV$14:$AV$968='Résultats Projection'!$A46 ) * (DATABASE!$AW$14:$AW$968= C$4))-ROW(DATABASE!$AV$14)+1,C$5+3)),"")</f>
        <v/>
      </c>
      <c r="D46" s="116">
        <f t="array" ref="D46">IFERROR(_xlfn.SINGLE(INDEX(DATABASE!$AV$14:$BC$968,SUMPRODUCT((ROW(DATABASE!$AV$14:$AV$968)) * (DATABASE!$AV$14:AW$968='Résultats Projection'!$A46 ) * (DATABASE!$AW$14:$AW$968= D$4))-ROW(DATABASE!$AV$14)+1,D$5+3)),"")</f>
        <v/>
      </c>
      <c r="E46" s="116">
        <f t="array" ref="E46">IFERROR(_xlfn.SINGLE(INDEX(DATABASE!$AV$14:$BC$968,SUMPRODUCT((ROW(DATABASE!$AV$14:$AV$968)) * (DATABASE!$AV$14:AX$968='Résultats Projection'!$A46 ) * (DATABASE!$AW$14:$AW$968= E$4))-ROW(DATABASE!$AV$14)+1,E$5+3)),"")</f>
        <v/>
      </c>
      <c r="F46" s="116">
        <f t="array" ref="F46">IFERROR(_xlfn.SINGLE(INDEX(DATABASE!$AV$14:$BC$968,SUMPRODUCT((ROW(DATABASE!$AV$14:$AV$968)) * (DATABASE!$AV$14:AY$968='Résultats Projection'!$A46 ) * (DATABASE!$AW$14:$AW$968= F$4))-ROW(DATABASE!$AV$14)+1,F$5+3)),"")</f>
        <v/>
      </c>
      <c r="G46" s="116">
        <f t="array" ref="G46">IFERROR(_xlfn.SINGLE(INDEX(DATABASE!$AV$14:$BC$968,SUMPRODUCT((ROW(DATABASE!$AV$14:$AV$968)) * (DATABASE!$AV$14:AZ$968='Résultats Projection'!$A46 ) * (DATABASE!$AW$14:$AW$968= G$4))-ROW(DATABASE!$AV$14)+1,G$5+3)),"")</f>
        <v/>
      </c>
      <c r="H46" s="116">
        <f t="array" ref="H46">IFERROR(_xlfn.SINGLE(INDEX(DATABASE!$AV$14:$BC$968,SUMPRODUCT((ROW(DATABASE!$AV$14:$AV$968)) * (DATABASE!$AV$14:BA$968='Résultats Projection'!$A46 ) * (DATABASE!$AW$14:$AW$968= H$4))-ROW(DATABASE!$AV$14)+1,H$5+3)),"")</f>
        <v/>
      </c>
      <c r="I46" s="116">
        <f t="array" ref="I46">IFERROR(_xlfn.SINGLE(INDEX(DATABASE!$AV$14:$BC$968,SUMPRODUCT((ROW(DATABASE!$AV$14:$AV$968)) * (DATABASE!$AV$14:BB$968='Résultats Projection'!$A46 ) * (DATABASE!$AW$14:$AW$968= I$4))-ROW(DATABASE!$AV$14)+1,I$5+3)),"")</f>
        <v/>
      </c>
      <c r="J46" s="116">
        <f t="array" ref="J46">IFERROR(_xlfn.SINGLE(INDEX(DATABASE!$AV$14:$BC$968,SUMPRODUCT((ROW(DATABASE!$AV$14:$AV$968)) * (DATABASE!$AV$14:BC$968='Résultats Projection'!$A46 ) * (DATABASE!$AW$14:$AW$968= J$4))-ROW(DATABASE!$AV$14)+1,J$5+3)),"")</f>
        <v/>
      </c>
      <c r="K46" s="116">
        <f t="array" ref="K46">IFERROR(_xlfn.SINGLE(INDEX(DATABASE!$AV$14:$BC$968,SUMPRODUCT((ROW(DATABASE!$AV$14:$AV$968)) * (DATABASE!$AV$14:BD$968='Résultats Projection'!$A46 ) * (DATABASE!$AW$14:$AW$968= K$4))-ROW(DATABASE!$AV$14)+1,K$5+3)),"")</f>
        <v/>
      </c>
      <c r="L46" s="116">
        <f t="array" ref="L46">IFERROR(_xlfn.SINGLE(INDEX(DATABASE!$AV$14:$BC$968,SUMPRODUCT((ROW(DATABASE!$AV$14:$AV$968)) * (DATABASE!$AV$14:BE$968='Résultats Projection'!$A46 ) * (DATABASE!$AW$14:$AW$968= L$4))-ROW(DATABASE!$AV$14)+1,L$5+3)),"")</f>
        <v/>
      </c>
      <c r="M46" s="116">
        <f t="array" ref="M46">IFERROR(_xlfn.SINGLE(INDEX(DATABASE!$AV$14:$BC$968,SUMPRODUCT((ROW(DATABASE!$AV$14:$AV$968)) * (DATABASE!$AV$14:BF$968='Résultats Projection'!$A46 ) * (DATABASE!$AW$14:$AW$968= M$4))-ROW(DATABASE!$AV$14)+1,M$5+3)),"")</f>
        <v/>
      </c>
      <c r="N46" s="116">
        <f t="array" ref="N46">IFERROR(_xlfn.SINGLE(INDEX(DATABASE!$AV$14:$BC$968,SUMPRODUCT((ROW(DATABASE!$AV$14:$AV$968)) * (DATABASE!$AV$14:BG$968='Résultats Projection'!$A46 ) * (DATABASE!$AW$14:$AW$968= N$4))-ROW(DATABASE!$AV$14)+1,N$5+3)),"")</f>
        <v/>
      </c>
      <c r="O46" s="116">
        <f t="array" ref="O46">IFERROR(_xlfn.SINGLE(INDEX(DATABASE!$AV$14:$BC$968,SUMPRODUCT((ROW(DATABASE!$AV$14:$AV$968)) * (DATABASE!$AV$14:BH$968='Résultats Projection'!$A46 ) * (DATABASE!$AW$14:$AW$968= O$4))-ROW(DATABASE!$AV$14)+1,O$5+3)),"")</f>
        <v/>
      </c>
      <c r="P46" s="116">
        <f t="array" ref="P46">IFERROR(_xlfn.SINGLE(INDEX(DATABASE!$AV$14:$BC$968,SUMPRODUCT((ROW(DATABASE!$AV$14:$AV$968)) * (DATABASE!$AV$14:BI$968='Résultats Projection'!$A46 ) * (DATABASE!$AW$14:$AW$968= P$4))-ROW(DATABASE!$AV$14)+1,P$5+3)),"")</f>
        <v/>
      </c>
      <c r="Q46" s="116">
        <f t="array" ref="Q46">IFERROR(_xlfn.SINGLE(INDEX(DATABASE!$AV$14:$BC$968,SUMPRODUCT((ROW(DATABASE!$AV$14:$AV$968)) * (DATABASE!$AV$14:BJ$968='Résultats Projection'!$A46 ) * (DATABASE!$AW$14:$AW$968= Q$4))-ROW(DATABASE!$AV$14)+1,Q$5+3)),"")</f>
        <v/>
      </c>
      <c r="R46" s="116">
        <f t="array" ref="R46">IFERROR(_xlfn.SINGLE(INDEX(DATABASE!$AV$14:$BC$968,SUMPRODUCT((ROW(DATABASE!$AV$14:$AV$968)) * (DATABASE!$AV$14:BK$968='Résultats Projection'!$A46 ) * (DATABASE!$AW$14:$AW$968= R$4))-ROW(DATABASE!$AV$14)+1,R$5+3)),"")</f>
        <v/>
      </c>
      <c r="S46" s="116">
        <f t="array" ref="S46">IFERROR(_xlfn.SINGLE(INDEX(DATABASE!$AV$14:$BC$968,SUMPRODUCT((ROW(DATABASE!$AV$14:$AV$968)) * (DATABASE!$AV$14:BL$968='Résultats Projection'!$A46 ) * (DATABASE!$AW$14:$AW$968= S$4))-ROW(DATABASE!$AV$14)+1,S$5+3)),"")</f>
        <v/>
      </c>
      <c r="T46" s="116">
        <f t="array" ref="T46">IFERROR(_xlfn.SINGLE(INDEX(DATABASE!$AV$14:$BC$968,SUMPRODUCT((ROW(DATABASE!$AV$14:$AV$968)) * (DATABASE!$AV$14:BM$968='Résultats Projection'!$A46 ) * (DATABASE!$AW$14:$AW$968= T$4))-ROW(DATABASE!$AV$14)+1,T$5+3)),"")</f>
        <v/>
      </c>
      <c r="U46" s="116">
        <f t="array" ref="U46">IFERROR(_xlfn.SINGLE(INDEX(DATABASE!$AV$14:$BC$968,SUMPRODUCT((ROW(DATABASE!$AV$14:$AV$968)) * (DATABASE!$AV$14:BN$968='Résultats Projection'!$A46 ) * (DATABASE!$AW$14:$AW$968= U$4))-ROW(DATABASE!$AV$14)+1,U$5+3)),"")</f>
        <v/>
      </c>
      <c r="V46" s="116">
        <f t="array" ref="V46">IFERROR(_xlfn.SINGLE(INDEX(DATABASE!$AV$14:$BC$968,SUMPRODUCT((ROW(DATABASE!$AV$14:$AV$968)) * (DATABASE!$AV$14:BO$968='Résultats Projection'!$A46 ) * (DATABASE!$AW$14:$AW$968= V$4))-ROW(DATABASE!$AV$14)+1,V$5+3)),"")</f>
        <v/>
      </c>
      <c r="W46" s="116">
        <f t="array" ref="W46">IFERROR(_xlfn.SINGLE(INDEX(DATABASE!$AV$14:$BC$968,SUMPRODUCT((ROW(DATABASE!$AV$14:$AV$968)) * (DATABASE!$AV$14:BP$968='Résultats Projection'!$A46 ) * (DATABASE!$AW$14:$AW$968= W$4))-ROW(DATABASE!$AV$14)+1,W$5+3)),"")</f>
        <v/>
      </c>
      <c r="X46" s="116">
        <f t="array" ref="X46">IFERROR(_xlfn.SINGLE(INDEX(DATABASE!$AV$14:$BC$968,SUMPRODUCT((ROW(DATABASE!$AV$14:$AV$968)) * (DATABASE!$AV$14:BQ$968='Résultats Projection'!$A46 ) * (DATABASE!$AW$14:$AW$968= X$4))-ROW(DATABASE!$AV$14)+1,X$5+3)),"")</f>
        <v/>
      </c>
      <c r="Y46" s="116">
        <f t="array" ref="Y46">IFERROR(_xlfn.SINGLE(INDEX(DATABASE!$AV$14:$BC$968,SUMPRODUCT((ROW(DATABASE!$AV$14:$AV$968)) * (DATABASE!$AV$14:BR$968='Résultats Projection'!$A46 ) * (DATABASE!$AW$14:$AW$968= Y$4))-ROW(DATABASE!$AV$14)+1,Y$5+3)),"")</f>
        <v/>
      </c>
      <c r="Z46" s="116">
        <f t="array" ref="Z46">IFERROR(_xlfn.SINGLE(INDEX(DATABASE!$AV$14:$BC$968,SUMPRODUCT((ROW(DATABASE!$AV$14:$AV$968)) * (DATABASE!$AV$14:BS$968='Résultats Projection'!$A46 ) * (DATABASE!$AW$14:$AW$968= Z$4))-ROW(DATABASE!$AV$14)+1,Z$5+3)),"")</f>
        <v/>
      </c>
      <c r="AA46" s="116">
        <f t="array" ref="AA46">IFERROR(_xlfn.SINGLE(INDEX(DATABASE!$AV$14:$BC$968,SUMPRODUCT((ROW(DATABASE!$AV$14:$AV$968)) * (DATABASE!$AV$14:BT$968='Résultats Projection'!$A46 ) * (DATABASE!$AW$14:$AW$968= AA$4))-ROW(DATABASE!$AV$14)+1,AA$5+3)),"")</f>
        <v/>
      </c>
      <c r="AB46" s="116">
        <f t="array" ref="AB46">IFERROR(_xlfn.SINGLE(INDEX(DATABASE!$AV$14:$BC$968,SUMPRODUCT((ROW(DATABASE!$AV$14:$AV$968)) * (DATABASE!$AV$14:BU$968='Résultats Projection'!$A46 ) * (DATABASE!$AW$14:$AW$968= AB$4))-ROW(DATABASE!$AV$14)+1,AB$5+3)),"")</f>
        <v/>
      </c>
      <c r="AC46" s="116">
        <f t="array" ref="AC46">IFERROR(_xlfn.SINGLE(INDEX(DATABASE!$AV$14:$BC$968,SUMPRODUCT((ROW(DATABASE!$AV$14:$AV$968)) * (DATABASE!$AV$14:BV$968='Résultats Projection'!$A46 ) * (DATABASE!$AW$14:$AW$968= AC$4))-ROW(DATABASE!$AV$14)+1,AC$5+3)),"")</f>
        <v/>
      </c>
      <c r="AD46" s="116">
        <f t="array" ref="AD46">IFERROR(_xlfn.SINGLE(INDEX(DATABASE!$AV$14:$BC$968,SUMPRODUCT((ROW(DATABASE!$AV$14:$AV$968)) * (DATABASE!$AV$14:BW$968='Résultats Projection'!$A46 ) * (DATABASE!$AW$14:$AW$968= AD$4))-ROW(DATABASE!$AV$14)+1,AD$5+3)),"")</f>
        <v/>
      </c>
      <c r="AE46" s="116">
        <f t="array" ref="AE46">IFERROR(_xlfn.SINGLE(INDEX(DATABASE!$AV$14:$BC$968,SUMPRODUCT((ROW(DATABASE!$AV$14:$AV$968)) * (DATABASE!$AV$14:BX$968='Résultats Projection'!$A46 ) * (DATABASE!$AW$14:$AW$968= AE$4))-ROW(DATABASE!$AV$14)+1,AE$5+3)),"")</f>
        <v/>
      </c>
      <c r="AF46" s="116">
        <f t="array" ref="AF46">IFERROR(_xlfn.SINGLE(INDEX(DATABASE!$AV$14:$BC$968,SUMPRODUCT((ROW(DATABASE!$AV$14:$AV$968)) * (DATABASE!$AV$14:BY$968='Résultats Projection'!$A46 ) * (DATABASE!$AW$14:$AW$968= AF$4))-ROW(DATABASE!$AV$14)+1,AF$5+3)),"")</f>
        <v/>
      </c>
      <c r="AG46" s="116">
        <f t="array" ref="AG46">IFERROR(_xlfn.SINGLE(INDEX(DATABASE!$AV$14:$BC$968,SUMPRODUCT((ROW(DATABASE!$AV$14:$AV$968)) * (DATABASE!$AV$14:BZ$968='Résultats Projection'!$A46 ) * (DATABASE!$AW$14:$AW$968= AG$4))-ROW(DATABASE!$AV$14)+1,AG$5+3)),"")</f>
        <v/>
      </c>
      <c r="AH46" s="116">
        <f t="array" ref="AH46">IFERROR(_xlfn.SINGLE(INDEX(DATABASE!$AV$14:$BC$968,SUMPRODUCT((ROW(DATABASE!$AV$14:$AV$968)) * (DATABASE!$AV$14:CA$968='Résultats Projection'!$A46 ) * (DATABASE!$AW$14:$AW$968= AH$4))-ROW(DATABASE!$AV$14)+1,AH$5+3)),"")</f>
        <v/>
      </c>
      <c r="AI46" s="116">
        <f t="array" ref="AI46">IFERROR(_xlfn.SINGLE(INDEX(DATABASE!$AV$14:$BC$968,SUMPRODUCT((ROW(DATABASE!$AV$14:$AV$968)) * (DATABASE!$AV$14:CB$968='Résultats Projection'!$A46 ) * (DATABASE!$AW$14:$AW$968= AI$4))-ROW(DATABASE!$AV$14)+1,AI$5+3)),"")</f>
        <v/>
      </c>
      <c r="AJ46" s="116">
        <f t="array" ref="AJ46">IFERROR(_xlfn.SINGLE(INDEX(DATABASE!$AV$14:$BC$968,SUMPRODUCT((ROW(DATABASE!$AV$14:$AV$968)) * (DATABASE!$AV$14:CC$968='Résultats Projection'!$A46 ) * (DATABASE!$AW$14:$AW$968= AJ$4))-ROW(DATABASE!$AV$14)+1,AJ$5+3)),"")</f>
        <v/>
      </c>
      <c r="AK46" s="116">
        <f t="array" ref="AK46">IFERROR(_xlfn.SINGLE(INDEX(DATABASE!$AV$14:$BC$968,SUMPRODUCT((ROW(DATABASE!$AV$14:$AV$968)) * (DATABASE!$AV$14:CD$968='Résultats Projection'!$A46 ) * (DATABASE!$AW$14:$AW$968= AK$4))-ROW(DATABASE!$AV$14)+1,AK$5+3)),"")</f>
        <v/>
      </c>
      <c r="AL46" s="116">
        <f t="array" ref="AL46">IFERROR(_xlfn.SINGLE(INDEX(DATABASE!$AV$14:$BC$968,SUMPRODUCT((ROW(DATABASE!$AV$14:$AV$968)) * (DATABASE!$AV$14:CE$968='Résultats Projection'!$A46 ) * (DATABASE!$AW$14:$AW$968= AL$4))-ROW(DATABASE!$AV$14)+1,AL$5+3)),"")</f>
        <v/>
      </c>
      <c r="AM46" s="116">
        <f t="array" ref="AM46">IFERROR(_xlfn.SINGLE(INDEX(DATABASE!$AV$14:$BC$968,SUMPRODUCT((ROW(DATABASE!$AV$14:$AV$968)) * (DATABASE!$AV$14:CF$968='Résultats Projection'!$A46 ) * (DATABASE!$AW$14:$AW$968= AM$4))-ROW(DATABASE!$AV$14)+1,AM$5+3)),"")</f>
        <v/>
      </c>
      <c r="AN46" s="116">
        <f t="array" ref="AN46">IFERROR(_xlfn.SINGLE(INDEX(DATABASE!$AV$14:$BC$968,SUMPRODUCT((ROW(DATABASE!$AV$14:$AV$968)) * (DATABASE!$AV$14:CG$968='Résultats Projection'!$A46 ) * (DATABASE!$AW$14:$AW$968= AN$4))-ROW(DATABASE!$AV$14)+1,AN$5+3)),"")</f>
        <v/>
      </c>
      <c r="AO46" s="116">
        <f t="array" ref="AO46">IFERROR(_xlfn.SINGLE(INDEX(DATABASE!$AV$14:$BC$968,SUMPRODUCT((ROW(DATABASE!$AV$14:$AV$968)) * (DATABASE!$AV$14:CH$968='Résultats Projection'!$A46 ) * (DATABASE!$AW$14:$AW$968= AO$4))-ROW(DATABASE!$AV$14)+1,AO$5+3)),"")</f>
        <v/>
      </c>
      <c r="AP46" s="116">
        <f t="array" ref="AP46">IFERROR(_xlfn.SINGLE(INDEX(DATABASE!$AV$14:$BC$968,SUMPRODUCT((ROW(DATABASE!$AV$14:$AV$968)) * (DATABASE!$AV$14:CI$968='Résultats Projection'!$A46 ) * (DATABASE!$AW$14:$AW$968= AP$4))-ROW(DATABASE!$AV$14)+1,AP$5+3)),"")</f>
        <v/>
      </c>
      <c r="AQ46" s="116">
        <f t="array" ref="AQ46">IFERROR(_xlfn.SINGLE(INDEX(DATABASE!$AV$14:$BC$968,SUMPRODUCT((ROW(DATABASE!$AV$14:$AV$968)) * (DATABASE!$AV$14:CJ$968='Résultats Projection'!$A46 ) * (DATABASE!$AW$14:$AW$968= AQ$4))-ROW(DATABASE!$AV$14)+1,AQ$5+3)),"")</f>
        <v/>
      </c>
      <c r="AR46" s="116">
        <f t="array" ref="AR46">IFERROR(_xlfn.SINGLE(INDEX(DATABASE!$AV$14:$BC$968,SUMPRODUCT((ROW(DATABASE!$AV$14:$AV$968)) * (DATABASE!$AV$14:CK$968='Résultats Projection'!$A46 ) * (DATABASE!$AW$14:$AW$968= AR$4))-ROW(DATABASE!$AV$14)+1,AR$5+3)),"")</f>
        <v/>
      </c>
      <c r="AS46" s="116">
        <f t="array" ref="AS46">IFERROR(_xlfn.SINGLE(INDEX(DATABASE!$AV$14:$BC$968,SUMPRODUCT((ROW(DATABASE!$AV$14:$AV$968)) * (DATABASE!$AV$14:CL$968='Résultats Projection'!$A46 ) * (DATABASE!$AW$14:$AW$968= AS$4))-ROW(DATABASE!$AV$14)+1,AS$5+3)),"")</f>
        <v/>
      </c>
      <c r="AT46" s="116">
        <f t="array" ref="AT46">IFERROR(_xlfn.SINGLE(INDEX(DATABASE!$AV$14:$BC$968,SUMPRODUCT((ROW(DATABASE!$AV$14:$AV$968)) * (DATABASE!$AV$14:CM$968='Résultats Projection'!$A46 ) * (DATABASE!$AW$14:$AW$968= AT$4))-ROW(DATABASE!$AV$14)+1,AT$5+3)),"")</f>
        <v/>
      </c>
      <c r="AU46" s="116">
        <f t="array" ref="AU46">IFERROR(_xlfn.SINGLE(INDEX(DATABASE!$AV$14:$BC$968,SUMPRODUCT((ROW(DATABASE!$AV$14:$AV$968)) * (DATABASE!$AV$14:CN$968='Résultats Projection'!$A46 ) * (DATABASE!$AW$14:$AW$968= AU$4))-ROW(DATABASE!$AV$14)+1,AU$5+3)),"")</f>
        <v/>
      </c>
      <c r="AV46" s="116">
        <f t="array" ref="AV46">IFERROR(_xlfn.SINGLE(INDEX(DATABASE!$AV$14:$BC$968,SUMPRODUCT((ROW(DATABASE!$AV$14:$AV$968)) * (DATABASE!$AV$14:CO$968='Résultats Projection'!$A46 ) * (DATABASE!$AW$14:$AW$968= AV$4))-ROW(DATABASE!$AV$14)+1,AV$5+3)),"")</f>
        <v/>
      </c>
      <c r="AW46" s="116">
        <f t="array" ref="AW46">IFERROR(_xlfn.SINGLE(INDEX(DATABASE!$AV$14:$BC$968,SUMPRODUCT((ROW(DATABASE!$AV$14:$AV$968)) * (DATABASE!$AV$14:CP$968='Résultats Projection'!$A46 ) * (DATABASE!$AW$14:$AW$968= AW$4))-ROW(DATABASE!$AV$14)+1,AW$5+3)),"")</f>
        <v/>
      </c>
      <c r="AX46" s="116">
        <f t="array" ref="AX46">IFERROR(_xlfn.SINGLE(INDEX(DATABASE!$AV$14:$BC$968,SUMPRODUCT((ROW(DATABASE!$AV$14:$AV$968)) * (DATABASE!$AV$14:CQ$968='Résultats Projection'!$A46 ) * (DATABASE!$AW$14:$AW$968= AX$4))-ROW(DATABASE!$AV$14)+1,AX$5+3)),"")</f>
        <v/>
      </c>
      <c r="AY46" s="116">
        <f t="array" ref="AY46">IFERROR(_xlfn.SINGLE(INDEX(DATABASE!$AV$14:$BC$968,SUMPRODUCT((ROW(DATABASE!$AV$14:$AV$968)) * (DATABASE!$AV$14:CR$968='Résultats Projection'!$A46 ) * (DATABASE!$AW$14:$AW$968= AY$4))-ROW(DATABASE!$AV$14)+1,AY$5+3)),"")</f>
        <v/>
      </c>
      <c r="AZ46" s="116">
        <f t="array" ref="AZ46">IFERROR(_xlfn.SINGLE(INDEX(DATABASE!$AV$14:$BC$968,SUMPRODUCT((ROW(DATABASE!$AV$14:$AV$968)) * (DATABASE!$AV$14:CS$968='Résultats Projection'!$A46 ) * (DATABASE!$AW$14:$AW$968= AZ$4))-ROW(DATABASE!$AV$14)+1,AZ$5+3)),"")</f>
        <v/>
      </c>
      <c r="BA46" s="116">
        <f t="array" ref="BA46">IFERROR(_xlfn.SINGLE(INDEX(DATABASE!$AV$14:$BC$968,SUMPRODUCT((ROW(DATABASE!$AV$14:$AV$968)) * (DATABASE!$AV$14:CT$968='Résultats Projection'!$A46 ) * (DATABASE!$AW$14:$AW$968= BA$4))-ROW(DATABASE!$AV$14)+1,BA$5+3)),"")</f>
        <v/>
      </c>
      <c r="BB46" s="116">
        <f t="array" ref="BB46">IFERROR(_xlfn.SINGLE(INDEX(DATABASE!$AV$14:$BC$968,SUMPRODUCT((ROW(DATABASE!$AV$14:$AV$968)) * (DATABASE!$AV$14:CU$968='Résultats Projection'!$A46 ) * (DATABASE!$AW$14:$AW$968= BB$4))-ROW(DATABASE!$AV$14)+1,BB$5+3)),"")</f>
        <v/>
      </c>
      <c r="BC46" s="116">
        <f t="array" ref="BC46">IFERROR(_xlfn.SINGLE(INDEX(DATABASE!$AV$14:$BC$968,SUMPRODUCT((ROW(DATABASE!$AV$14:$AV$968)) * (DATABASE!$AV$14:CV$968='Résultats Projection'!$A46 ) * (DATABASE!$AW$14:$AW$968= BC$4))-ROW(DATABASE!$AV$14)+1,BC$5+3)),"")</f>
        <v/>
      </c>
      <c r="BD46" s="116">
        <f t="array" ref="BD46">IFERROR(_xlfn.SINGLE(INDEX(DATABASE!$AV$14:$BC$968,SUMPRODUCT((ROW(DATABASE!$AV$14:$AV$968)) * (DATABASE!$AV$14:CW$968='Résultats Projection'!$A46 ) * (DATABASE!$AW$14:$AW$968= BD$4))-ROW(DATABASE!$AV$14)+1,BD$5+3)),"")</f>
        <v/>
      </c>
      <c r="BE46" s="116">
        <f t="array" ref="BE46">IFERROR(_xlfn.SINGLE(INDEX(DATABASE!$AV$14:$BC$968,SUMPRODUCT((ROW(DATABASE!$AV$14:$AV$968)) * (DATABASE!$AV$14:CX$968='Résultats Projection'!$A46 ) * (DATABASE!$AW$14:$AW$968= BE$4))-ROW(DATABASE!$AV$14)+1,BE$5+3)),"")</f>
        <v/>
      </c>
      <c r="BF46" s="116">
        <f t="array" ref="BF46">IFERROR(_xlfn.SINGLE(INDEX(DATABASE!$AV$14:$BC$968,SUMPRODUCT((ROW(DATABASE!$AV$14:$AV$968)) * (DATABASE!$AV$14:CY$968='Résultats Projection'!$A46 ) * (DATABASE!$AW$14:$AW$968= BF$4))-ROW(DATABASE!$AV$14)+1,BF$5+3)),"")</f>
        <v/>
      </c>
      <c r="BG46" s="116">
        <f t="array" ref="BG46">IFERROR(_xlfn.SINGLE(INDEX(DATABASE!$AV$14:$BC$968,SUMPRODUCT((ROW(DATABASE!$AV$14:$AV$968)) * (DATABASE!$AV$14:CZ$968='Résultats Projection'!$A46 ) * (DATABASE!$AW$14:$AW$968= BG$4))-ROW(DATABASE!$AV$14)+1,BG$5+3)),"")</f>
        <v/>
      </c>
      <c r="BH46" s="116">
        <f t="array" ref="BH46">IFERROR(_xlfn.SINGLE(INDEX(DATABASE!$AV$14:$BC$968,SUMPRODUCT((ROW(DATABASE!$AV$14:$AV$968)) * (DATABASE!$AV$14:DA$968='Résultats Projection'!$A46 ) * (DATABASE!$AW$14:$AW$968= BH$4))-ROW(DATABASE!$AV$14)+1,BH$5+3)),"")</f>
        <v/>
      </c>
      <c r="BI46" s="116">
        <f t="array" ref="BI46">IFERROR(_xlfn.SINGLE(INDEX(DATABASE!$AV$14:$BC$968,SUMPRODUCT((ROW(DATABASE!$AV$14:$AV$968)) * (DATABASE!$AV$14:DB$968='Résultats Projection'!$A46 ) * (DATABASE!$AW$14:$AW$968= BI$4))-ROW(DATABASE!$AV$14)+1,BI$5+3)),"")</f>
        <v/>
      </c>
      <c r="BJ46" s="116">
        <f t="array" ref="BJ46">IFERROR(_xlfn.SINGLE(INDEX(DATABASE!$AV$14:$BC$968,SUMPRODUCT((ROW(DATABASE!$AV$14:$AV$968)) * (DATABASE!$AV$14:DC$968='Résultats Projection'!$A46 ) * (DATABASE!$AW$14:$AW$968= BJ$4))-ROW(DATABASE!$AV$14)+1,BJ$5+3)),"")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(DATABASE!AV$14:$AV$968='Résultats Projection'!$A47 ) * (DATABASE!$AW$14:$AW$968= C$4))-ROW(DATABASE!$AV$14)+1,C$5+3)),"")</f>
        <v/>
      </c>
      <c r="D47" s="116">
        <f t="array" ref="D47">IFERROR(_xlfn.SINGLE(INDEX(DATABASE!$AV$14:$BC$968,SUMPRODUCT((ROW(DATABASE!$AV$14:$AV$968)) * (DATABASE!$AV$14:AW$968='Résultats Projection'!$A47 ) * (DATABASE!$AW$14:$AW$968= D$4))-ROW(DATABASE!$AV$14)+1,D$5+3)),"")</f>
        <v/>
      </c>
      <c r="E47" s="116">
        <f t="array" ref="E47">IFERROR(_xlfn.SINGLE(INDEX(DATABASE!$AV$14:$BC$968,SUMPRODUCT((ROW(DATABASE!$AV$14:$AV$968)) * (DATABASE!$AV$14:AX$968='Résultats Projection'!$A47 ) * (DATABASE!$AW$14:$AW$968= E$4))-ROW(DATABASE!$AV$14)+1,E$5+3)),"")</f>
        <v/>
      </c>
      <c r="F47" s="116">
        <f t="array" ref="F47">IFERROR(_xlfn.SINGLE(INDEX(DATABASE!$AV$14:$BC$968,SUMPRODUCT((ROW(DATABASE!$AV$14:$AV$968)) * (DATABASE!$AV$14:AY$968='Résultats Projection'!$A47 ) * (DATABASE!$AW$14:$AW$968= F$4))-ROW(DATABASE!$AV$14)+1,F$5+3)),"")</f>
        <v/>
      </c>
      <c r="G47" s="116">
        <f t="array" ref="G47">IFERROR(_xlfn.SINGLE(INDEX(DATABASE!$AV$14:$BC$968,SUMPRODUCT((ROW(DATABASE!$AV$14:$AV$968)) * (DATABASE!$AV$14:AZ$968='Résultats Projection'!$A47 ) * (DATABASE!$AW$14:$AW$968= G$4))-ROW(DATABASE!$AV$14)+1,G$5+3)),"")</f>
        <v/>
      </c>
      <c r="H47" s="116">
        <f t="array" ref="H47">IFERROR(_xlfn.SINGLE(INDEX(DATABASE!$AV$14:$BC$968,SUMPRODUCT((ROW(DATABASE!$AV$14:$AV$968)) * (DATABASE!$AV$14:BA$968='Résultats Projection'!$A47 ) * (DATABASE!$AW$14:$AW$968= H$4))-ROW(DATABASE!$AV$14)+1,H$5+3)),"")</f>
        <v/>
      </c>
      <c r="I47" s="116">
        <f t="array" ref="I47">IFERROR(_xlfn.SINGLE(INDEX(DATABASE!$AV$14:$BC$968,SUMPRODUCT((ROW(DATABASE!$AV$14:$AV$968)) * (DATABASE!$AV$14:BB$968='Résultats Projection'!$A47 ) * (DATABASE!$AW$14:$AW$968= I$4))-ROW(DATABASE!$AV$14)+1,I$5+3)),"")</f>
        <v/>
      </c>
      <c r="J47" s="116">
        <f t="array" ref="J47">IFERROR(_xlfn.SINGLE(INDEX(DATABASE!$AV$14:$BC$968,SUMPRODUCT((ROW(DATABASE!$AV$14:$AV$968)) * (DATABASE!$AV$14:BC$968='Résultats Projection'!$A47 ) * (DATABASE!$AW$14:$AW$968= J$4))-ROW(DATABASE!$AV$14)+1,J$5+3)),"")</f>
        <v/>
      </c>
      <c r="K47" s="116">
        <f t="array" ref="K47">IFERROR(_xlfn.SINGLE(INDEX(DATABASE!$AV$14:$BC$968,SUMPRODUCT((ROW(DATABASE!$AV$14:$AV$968)) * (DATABASE!$AV$14:BD$968='Résultats Projection'!$A47 ) * (DATABASE!$AW$14:$AW$968= K$4))-ROW(DATABASE!$AV$14)+1,K$5+3)),"")</f>
        <v/>
      </c>
      <c r="L47" s="116">
        <f t="array" ref="L47">IFERROR(_xlfn.SINGLE(INDEX(DATABASE!$AV$14:$BC$968,SUMPRODUCT((ROW(DATABASE!$AV$14:$AV$968)) * (DATABASE!$AV$14:BE$968='Résultats Projection'!$A47 ) * (DATABASE!$AW$14:$AW$968= L$4))-ROW(DATABASE!$AV$14)+1,L$5+3)),"")</f>
        <v/>
      </c>
      <c r="M47" s="116">
        <f t="array" ref="M47">IFERROR(_xlfn.SINGLE(INDEX(DATABASE!$AV$14:$BC$968,SUMPRODUCT((ROW(DATABASE!$AV$14:$AV$968)) * (DATABASE!$AV$14:BF$968='Résultats Projection'!$A47 ) * (DATABASE!$AW$14:$AW$968= M$4))-ROW(DATABASE!$AV$14)+1,M$5+3)),"")</f>
        <v/>
      </c>
      <c r="N47" s="116">
        <f t="array" ref="N47">IFERROR(_xlfn.SINGLE(INDEX(DATABASE!$AV$14:$BC$968,SUMPRODUCT((ROW(DATABASE!$AV$14:$AV$968)) * (DATABASE!$AV$14:BG$968='Résultats Projection'!$A47 ) * (DATABASE!$AW$14:$AW$968= N$4))-ROW(DATABASE!$AV$14)+1,N$5+3)),"")</f>
        <v/>
      </c>
      <c r="O47" s="116">
        <f t="array" ref="O47">IFERROR(_xlfn.SINGLE(INDEX(DATABASE!$AV$14:$BC$968,SUMPRODUCT((ROW(DATABASE!$AV$14:$AV$968)) * (DATABASE!$AV$14:BH$968='Résultats Projection'!$A47 ) * (DATABASE!$AW$14:$AW$968= O$4))-ROW(DATABASE!$AV$14)+1,O$5+3)),"")</f>
        <v/>
      </c>
      <c r="P47" s="116">
        <f t="array" ref="P47">IFERROR(_xlfn.SINGLE(INDEX(DATABASE!$AV$14:$BC$968,SUMPRODUCT((ROW(DATABASE!$AV$14:$AV$968)) * (DATABASE!$AV$14:BI$968='Résultats Projection'!$A47 ) * (DATABASE!$AW$14:$AW$968= P$4))-ROW(DATABASE!$AV$14)+1,P$5+3)),"")</f>
        <v/>
      </c>
      <c r="Q47" s="116">
        <f t="array" ref="Q47">IFERROR(_xlfn.SINGLE(INDEX(DATABASE!$AV$14:$BC$968,SUMPRODUCT((ROW(DATABASE!$AV$14:$AV$968)) * (DATABASE!$AV$14:BJ$968='Résultats Projection'!$A47 ) * (DATABASE!$AW$14:$AW$968= Q$4))-ROW(DATABASE!$AV$14)+1,Q$5+3)),"")</f>
        <v/>
      </c>
      <c r="R47" s="116">
        <f t="array" ref="R47">IFERROR(_xlfn.SINGLE(INDEX(DATABASE!$AV$14:$BC$968,SUMPRODUCT((ROW(DATABASE!$AV$14:$AV$968)) * (DATABASE!$AV$14:BK$968='Résultats Projection'!$A47 ) * (DATABASE!$AW$14:$AW$968= R$4))-ROW(DATABASE!$AV$14)+1,R$5+3)),"")</f>
        <v/>
      </c>
      <c r="S47" s="116">
        <f t="array" ref="S47">IFERROR(_xlfn.SINGLE(INDEX(DATABASE!$AV$14:$BC$968,SUMPRODUCT((ROW(DATABASE!$AV$14:$AV$968)) * (DATABASE!$AV$14:BL$968='Résultats Projection'!$A47 ) * (DATABASE!$AW$14:$AW$968= S$4))-ROW(DATABASE!$AV$14)+1,S$5+3)),"")</f>
        <v/>
      </c>
      <c r="T47" s="116">
        <f t="array" ref="T47">IFERROR(_xlfn.SINGLE(INDEX(DATABASE!$AV$14:$BC$968,SUMPRODUCT((ROW(DATABASE!$AV$14:$AV$968)) * (DATABASE!$AV$14:BM$968='Résultats Projection'!$A47 ) * (DATABASE!$AW$14:$AW$968= T$4))-ROW(DATABASE!$AV$14)+1,T$5+3)),"")</f>
        <v/>
      </c>
      <c r="U47" s="116">
        <f t="array" ref="U47">IFERROR(_xlfn.SINGLE(INDEX(DATABASE!$AV$14:$BC$968,SUMPRODUCT((ROW(DATABASE!$AV$14:$AV$968)) * (DATABASE!$AV$14:BN$968='Résultats Projection'!$A47 ) * (DATABASE!$AW$14:$AW$968= U$4))-ROW(DATABASE!$AV$14)+1,U$5+3)),"")</f>
        <v/>
      </c>
      <c r="V47" s="116">
        <f t="array" ref="V47">IFERROR(_xlfn.SINGLE(INDEX(DATABASE!$AV$14:$BC$968,SUMPRODUCT((ROW(DATABASE!$AV$14:$AV$968)) * (DATABASE!$AV$14:BO$968='Résultats Projection'!$A47 ) * (DATABASE!$AW$14:$AW$968= V$4))-ROW(DATABASE!$AV$14)+1,V$5+3)),"")</f>
        <v/>
      </c>
      <c r="W47" s="116">
        <f t="array" ref="W47">IFERROR(_xlfn.SINGLE(INDEX(DATABASE!$AV$14:$BC$968,SUMPRODUCT((ROW(DATABASE!$AV$14:$AV$968)) * (DATABASE!$AV$14:BP$968='Résultats Projection'!$A47 ) * (DATABASE!$AW$14:$AW$968= W$4))-ROW(DATABASE!$AV$14)+1,W$5+3)),"")</f>
        <v/>
      </c>
      <c r="X47" s="116">
        <f t="array" ref="X47">IFERROR(_xlfn.SINGLE(INDEX(DATABASE!$AV$14:$BC$968,SUMPRODUCT((ROW(DATABASE!$AV$14:$AV$968)) * (DATABASE!$AV$14:BQ$968='Résultats Projection'!$A47 ) * (DATABASE!$AW$14:$AW$968= X$4))-ROW(DATABASE!$AV$14)+1,X$5+3)),"")</f>
        <v/>
      </c>
      <c r="Y47" s="116">
        <f t="array" ref="Y47">IFERROR(_xlfn.SINGLE(INDEX(DATABASE!$AV$14:$BC$968,SUMPRODUCT((ROW(DATABASE!$AV$14:$AV$968)) * (DATABASE!$AV$14:BR$968='Résultats Projection'!$A47 ) * (DATABASE!$AW$14:$AW$968= Y$4))-ROW(DATABASE!$AV$14)+1,Y$5+3)),"")</f>
        <v/>
      </c>
      <c r="Z47" s="116">
        <f t="array" ref="Z47">IFERROR(_xlfn.SINGLE(INDEX(DATABASE!$AV$14:$BC$968,SUMPRODUCT((ROW(DATABASE!$AV$14:$AV$968)) * (DATABASE!$AV$14:BS$968='Résultats Projection'!$A47 ) * (DATABASE!$AW$14:$AW$968= Z$4))-ROW(DATABASE!$AV$14)+1,Z$5+3)),"")</f>
        <v/>
      </c>
      <c r="AA47" s="116">
        <f t="array" ref="AA47">IFERROR(_xlfn.SINGLE(INDEX(DATABASE!$AV$14:$BC$968,SUMPRODUCT((ROW(DATABASE!$AV$14:$AV$968)) * (DATABASE!$AV$14:BT$968='Résultats Projection'!$A47 ) * (DATABASE!$AW$14:$AW$968= AA$4))-ROW(DATABASE!$AV$14)+1,AA$5+3)),"")</f>
        <v/>
      </c>
      <c r="AB47" s="116">
        <f t="array" ref="AB47">IFERROR(_xlfn.SINGLE(INDEX(DATABASE!$AV$14:$BC$968,SUMPRODUCT((ROW(DATABASE!$AV$14:$AV$968)) * (DATABASE!$AV$14:BU$968='Résultats Projection'!$A47 ) * (DATABASE!$AW$14:$AW$968= AB$4))-ROW(DATABASE!$AV$14)+1,AB$5+3)),"")</f>
        <v/>
      </c>
      <c r="AC47" s="116">
        <f t="array" ref="AC47">IFERROR(_xlfn.SINGLE(INDEX(DATABASE!$AV$14:$BC$968,SUMPRODUCT((ROW(DATABASE!$AV$14:$AV$968)) * (DATABASE!$AV$14:BV$968='Résultats Projection'!$A47 ) * (DATABASE!$AW$14:$AW$968= AC$4))-ROW(DATABASE!$AV$14)+1,AC$5+3)),"")</f>
        <v/>
      </c>
      <c r="AD47" s="116">
        <f t="array" ref="AD47">IFERROR(_xlfn.SINGLE(INDEX(DATABASE!$AV$14:$BC$968,SUMPRODUCT((ROW(DATABASE!$AV$14:$AV$968)) * (DATABASE!$AV$14:BW$968='Résultats Projection'!$A47 ) * (DATABASE!$AW$14:$AW$968= AD$4))-ROW(DATABASE!$AV$14)+1,AD$5+3)),"")</f>
        <v/>
      </c>
      <c r="AE47" s="116">
        <f t="array" ref="AE47">IFERROR(_xlfn.SINGLE(INDEX(DATABASE!$AV$14:$BC$968,SUMPRODUCT((ROW(DATABASE!$AV$14:$AV$968)) * (DATABASE!$AV$14:BX$968='Résultats Projection'!$A47 ) * (DATABASE!$AW$14:$AW$968= AE$4))-ROW(DATABASE!$AV$14)+1,AE$5+3)),"")</f>
        <v/>
      </c>
      <c r="AF47" s="116">
        <f t="array" ref="AF47">IFERROR(_xlfn.SINGLE(INDEX(DATABASE!$AV$14:$BC$968,SUMPRODUCT((ROW(DATABASE!$AV$14:$AV$968)) * (DATABASE!$AV$14:BY$968='Résultats Projection'!$A47 ) * (DATABASE!$AW$14:$AW$968= AF$4))-ROW(DATABASE!$AV$14)+1,AF$5+3)),"")</f>
        <v/>
      </c>
      <c r="AG47" s="116">
        <f t="array" ref="AG47">IFERROR(_xlfn.SINGLE(INDEX(DATABASE!$AV$14:$BC$968,SUMPRODUCT((ROW(DATABASE!$AV$14:$AV$968)) * (DATABASE!$AV$14:BZ$968='Résultats Projection'!$A47 ) * (DATABASE!$AW$14:$AW$968= AG$4))-ROW(DATABASE!$AV$14)+1,AG$5+3)),"")</f>
        <v/>
      </c>
      <c r="AH47" s="116">
        <f t="array" ref="AH47">IFERROR(_xlfn.SINGLE(INDEX(DATABASE!$AV$14:$BC$968,SUMPRODUCT((ROW(DATABASE!$AV$14:$AV$968)) * (DATABASE!$AV$14:CA$968='Résultats Projection'!$A47 ) * (DATABASE!$AW$14:$AW$968= AH$4))-ROW(DATABASE!$AV$14)+1,AH$5+3)),"")</f>
        <v/>
      </c>
      <c r="AI47" s="116">
        <f t="array" ref="AI47">IFERROR(_xlfn.SINGLE(INDEX(DATABASE!$AV$14:$BC$968,SUMPRODUCT((ROW(DATABASE!$AV$14:$AV$968)) * (DATABASE!$AV$14:CB$968='Résultats Projection'!$A47 ) * (DATABASE!$AW$14:$AW$968= AI$4))-ROW(DATABASE!$AV$14)+1,AI$5+3)),"")</f>
        <v/>
      </c>
      <c r="AJ47" s="116">
        <f t="array" ref="AJ47">IFERROR(_xlfn.SINGLE(INDEX(DATABASE!$AV$14:$BC$968,SUMPRODUCT((ROW(DATABASE!$AV$14:$AV$968)) * (DATABASE!$AV$14:CC$968='Résultats Projection'!$A47 ) * (DATABASE!$AW$14:$AW$968= AJ$4))-ROW(DATABASE!$AV$14)+1,AJ$5+3)),"")</f>
        <v/>
      </c>
      <c r="AK47" s="116">
        <f t="array" ref="AK47">IFERROR(_xlfn.SINGLE(INDEX(DATABASE!$AV$14:$BC$968,SUMPRODUCT((ROW(DATABASE!$AV$14:$AV$968)) * (DATABASE!$AV$14:CD$968='Résultats Projection'!$A47 ) * (DATABASE!$AW$14:$AW$968= AK$4))-ROW(DATABASE!$AV$14)+1,AK$5+3)),"")</f>
        <v/>
      </c>
      <c r="AL47" s="116">
        <f t="array" ref="AL47">IFERROR(_xlfn.SINGLE(INDEX(DATABASE!$AV$14:$BC$968,SUMPRODUCT((ROW(DATABASE!$AV$14:$AV$968)) * (DATABASE!$AV$14:CE$968='Résultats Projection'!$A47 ) * (DATABASE!$AW$14:$AW$968= AL$4))-ROW(DATABASE!$AV$14)+1,AL$5+3)),"")</f>
        <v/>
      </c>
      <c r="AM47" s="116">
        <f t="array" ref="AM47">IFERROR(_xlfn.SINGLE(INDEX(DATABASE!$AV$14:$BC$968,SUMPRODUCT((ROW(DATABASE!$AV$14:$AV$968)) * (DATABASE!$AV$14:CF$968='Résultats Projection'!$A47 ) * (DATABASE!$AW$14:$AW$968= AM$4))-ROW(DATABASE!$AV$14)+1,AM$5+3)),"")</f>
        <v/>
      </c>
      <c r="AN47" s="116">
        <f t="array" ref="AN47">IFERROR(_xlfn.SINGLE(INDEX(DATABASE!$AV$14:$BC$968,SUMPRODUCT((ROW(DATABASE!$AV$14:$AV$968)) * (DATABASE!$AV$14:CG$968='Résultats Projection'!$A47 ) * (DATABASE!$AW$14:$AW$968= AN$4))-ROW(DATABASE!$AV$14)+1,AN$5+3)),"")</f>
        <v/>
      </c>
      <c r="AO47" s="116">
        <f t="array" ref="AO47">IFERROR(_xlfn.SINGLE(INDEX(DATABASE!$AV$14:$BC$968,SUMPRODUCT((ROW(DATABASE!$AV$14:$AV$968)) * (DATABASE!$AV$14:CH$968='Résultats Projection'!$A47 ) * (DATABASE!$AW$14:$AW$968= AO$4))-ROW(DATABASE!$AV$14)+1,AO$5+3)),"")</f>
        <v/>
      </c>
      <c r="AP47" s="116">
        <f t="array" ref="AP47">IFERROR(_xlfn.SINGLE(INDEX(DATABASE!$AV$14:$BC$968,SUMPRODUCT((ROW(DATABASE!$AV$14:$AV$968)) * (DATABASE!$AV$14:CI$968='Résultats Projection'!$A47 ) * (DATABASE!$AW$14:$AW$968= AP$4))-ROW(DATABASE!$AV$14)+1,AP$5+3)),"")</f>
        <v/>
      </c>
      <c r="AQ47" s="116">
        <f t="array" ref="AQ47">IFERROR(_xlfn.SINGLE(INDEX(DATABASE!$AV$14:$BC$968,SUMPRODUCT((ROW(DATABASE!$AV$14:$AV$968)) * (DATABASE!$AV$14:CJ$968='Résultats Projection'!$A47 ) * (DATABASE!$AW$14:$AW$968= AQ$4))-ROW(DATABASE!$AV$14)+1,AQ$5+3)),"")</f>
        <v/>
      </c>
      <c r="AR47" s="116">
        <f t="array" ref="AR47">IFERROR(_xlfn.SINGLE(INDEX(DATABASE!$AV$14:$BC$968,SUMPRODUCT((ROW(DATABASE!$AV$14:$AV$968)) * (DATABASE!$AV$14:CK$968='Résultats Projection'!$A47 ) * (DATABASE!$AW$14:$AW$968= AR$4))-ROW(DATABASE!$AV$14)+1,AR$5+3)),"")</f>
        <v/>
      </c>
      <c r="AS47" s="116">
        <f t="array" ref="AS47">IFERROR(_xlfn.SINGLE(INDEX(DATABASE!$AV$14:$BC$968,SUMPRODUCT((ROW(DATABASE!$AV$14:$AV$968)) * (DATABASE!$AV$14:CL$968='Résultats Projection'!$A47 ) * (DATABASE!$AW$14:$AW$968= AS$4))-ROW(DATABASE!$AV$14)+1,AS$5+3)),"")</f>
        <v/>
      </c>
      <c r="AT47" s="116">
        <f t="array" ref="AT47">IFERROR(_xlfn.SINGLE(INDEX(DATABASE!$AV$14:$BC$968,SUMPRODUCT((ROW(DATABASE!$AV$14:$AV$968)) * (DATABASE!$AV$14:CM$968='Résultats Projection'!$A47 ) * (DATABASE!$AW$14:$AW$968= AT$4))-ROW(DATABASE!$AV$14)+1,AT$5+3)),"")</f>
        <v/>
      </c>
      <c r="AU47" s="116">
        <f t="array" ref="AU47">IFERROR(_xlfn.SINGLE(INDEX(DATABASE!$AV$14:$BC$968,SUMPRODUCT((ROW(DATABASE!$AV$14:$AV$968)) * (DATABASE!$AV$14:CN$968='Résultats Projection'!$A47 ) * (DATABASE!$AW$14:$AW$968= AU$4))-ROW(DATABASE!$AV$14)+1,AU$5+3)),"")</f>
        <v/>
      </c>
      <c r="AV47" s="116">
        <f t="array" ref="AV47">IFERROR(_xlfn.SINGLE(INDEX(DATABASE!$AV$14:$BC$968,SUMPRODUCT((ROW(DATABASE!$AV$14:$AV$968)) * (DATABASE!$AV$14:CO$968='Résultats Projection'!$A47 ) * (DATABASE!$AW$14:$AW$968= AV$4))-ROW(DATABASE!$AV$14)+1,AV$5+3)),"")</f>
        <v/>
      </c>
      <c r="AW47" s="116">
        <f t="array" ref="AW47">IFERROR(_xlfn.SINGLE(INDEX(DATABASE!$AV$14:$BC$968,SUMPRODUCT((ROW(DATABASE!$AV$14:$AV$968)) * (DATABASE!$AV$14:CP$968='Résultats Projection'!$A47 ) * (DATABASE!$AW$14:$AW$968= AW$4))-ROW(DATABASE!$AV$14)+1,AW$5+3)),"")</f>
        <v/>
      </c>
      <c r="AX47" s="116">
        <f t="array" ref="AX47">IFERROR(_xlfn.SINGLE(INDEX(DATABASE!$AV$14:$BC$968,SUMPRODUCT((ROW(DATABASE!$AV$14:$AV$968)) * (DATABASE!$AV$14:CQ$968='Résultats Projection'!$A47 ) * (DATABASE!$AW$14:$AW$968= AX$4))-ROW(DATABASE!$AV$14)+1,AX$5+3)),"")</f>
        <v/>
      </c>
      <c r="AY47" s="116">
        <f t="array" ref="AY47">IFERROR(_xlfn.SINGLE(INDEX(DATABASE!$AV$14:$BC$968,SUMPRODUCT((ROW(DATABASE!$AV$14:$AV$968)) * (DATABASE!$AV$14:CR$968='Résultats Projection'!$A47 ) * (DATABASE!$AW$14:$AW$968= AY$4))-ROW(DATABASE!$AV$14)+1,AY$5+3)),"")</f>
        <v/>
      </c>
      <c r="AZ47" s="116">
        <f t="array" ref="AZ47">IFERROR(_xlfn.SINGLE(INDEX(DATABASE!$AV$14:$BC$968,SUMPRODUCT((ROW(DATABASE!$AV$14:$AV$968)) * (DATABASE!$AV$14:CS$968='Résultats Projection'!$A47 ) * (DATABASE!$AW$14:$AW$968= AZ$4))-ROW(DATABASE!$AV$14)+1,AZ$5+3)),"")</f>
        <v/>
      </c>
      <c r="BA47" s="116">
        <f t="array" ref="BA47">IFERROR(_xlfn.SINGLE(INDEX(DATABASE!$AV$14:$BC$968,SUMPRODUCT((ROW(DATABASE!$AV$14:$AV$968)) * (DATABASE!$AV$14:CT$968='Résultats Projection'!$A47 ) * (DATABASE!$AW$14:$AW$968= BA$4))-ROW(DATABASE!$AV$14)+1,BA$5+3)),"")</f>
        <v/>
      </c>
      <c r="BB47" s="116">
        <f t="array" ref="BB47">IFERROR(_xlfn.SINGLE(INDEX(DATABASE!$AV$14:$BC$968,SUMPRODUCT((ROW(DATABASE!$AV$14:$AV$968)) * (DATABASE!$AV$14:CU$968='Résultats Projection'!$A47 ) * (DATABASE!$AW$14:$AW$968= BB$4))-ROW(DATABASE!$AV$14)+1,BB$5+3)),"")</f>
        <v/>
      </c>
      <c r="BC47" s="116">
        <f t="array" ref="BC47">IFERROR(_xlfn.SINGLE(INDEX(DATABASE!$AV$14:$BC$968,SUMPRODUCT((ROW(DATABASE!$AV$14:$AV$968)) * (DATABASE!$AV$14:CV$968='Résultats Projection'!$A47 ) * (DATABASE!$AW$14:$AW$968= BC$4))-ROW(DATABASE!$AV$14)+1,BC$5+3)),"")</f>
        <v/>
      </c>
      <c r="BD47" s="116">
        <f t="array" ref="BD47">IFERROR(_xlfn.SINGLE(INDEX(DATABASE!$AV$14:$BC$968,SUMPRODUCT((ROW(DATABASE!$AV$14:$AV$968)) * (DATABASE!$AV$14:CW$968='Résultats Projection'!$A47 ) * (DATABASE!$AW$14:$AW$968= BD$4))-ROW(DATABASE!$AV$14)+1,BD$5+3)),"")</f>
        <v/>
      </c>
      <c r="BE47" s="116">
        <f t="array" ref="BE47">IFERROR(_xlfn.SINGLE(INDEX(DATABASE!$AV$14:$BC$968,SUMPRODUCT((ROW(DATABASE!$AV$14:$AV$968)) * (DATABASE!$AV$14:CX$968='Résultats Projection'!$A47 ) * (DATABASE!$AW$14:$AW$968= BE$4))-ROW(DATABASE!$AV$14)+1,BE$5+3)),"")</f>
        <v/>
      </c>
      <c r="BF47" s="116">
        <f t="array" ref="BF47">IFERROR(_xlfn.SINGLE(INDEX(DATABASE!$AV$14:$BC$968,SUMPRODUCT((ROW(DATABASE!$AV$14:$AV$968)) * (DATABASE!$AV$14:CY$968='Résultats Projection'!$A47 ) * (DATABASE!$AW$14:$AW$968= BF$4))-ROW(DATABASE!$AV$14)+1,BF$5+3)),"")</f>
        <v/>
      </c>
      <c r="BG47" s="116">
        <f t="array" ref="BG47">IFERROR(_xlfn.SINGLE(INDEX(DATABASE!$AV$14:$BC$968,SUMPRODUCT((ROW(DATABASE!$AV$14:$AV$968)) * (DATABASE!$AV$14:CZ$968='Résultats Projection'!$A47 ) * (DATABASE!$AW$14:$AW$968= BG$4))-ROW(DATABASE!$AV$14)+1,BG$5+3)),"")</f>
        <v/>
      </c>
      <c r="BH47" s="116">
        <f t="array" ref="BH47">IFERROR(_xlfn.SINGLE(INDEX(DATABASE!$AV$14:$BC$968,SUMPRODUCT((ROW(DATABASE!$AV$14:$AV$968)) * (DATABASE!$AV$14:DA$968='Résultats Projection'!$A47 ) * (DATABASE!$AW$14:$AW$968= BH$4))-ROW(DATABASE!$AV$14)+1,BH$5+3)),"")</f>
        <v/>
      </c>
      <c r="BI47" s="116">
        <f t="array" ref="BI47">IFERROR(_xlfn.SINGLE(INDEX(DATABASE!$AV$14:$BC$968,SUMPRODUCT((ROW(DATABASE!$AV$14:$AV$968)) * (DATABASE!$AV$14:DB$968='Résultats Projection'!$A47 ) * (DATABASE!$AW$14:$AW$968= BI$4))-ROW(DATABASE!$AV$14)+1,BI$5+3)),"")</f>
        <v/>
      </c>
      <c r="BJ47" s="116">
        <f t="array" ref="BJ47">IFERROR(_xlfn.SINGLE(INDEX(DATABASE!$AV$14:$BC$968,SUMPRODUCT((ROW(DATABASE!$AV$14:$AV$968)) * (DATABASE!$AV$14:DC$968='Résultats Projection'!$A47 ) * (DATABASE!$AW$14:$AW$968= BJ$4))-ROW(DATABASE!$AV$14)+1,BJ$5+3)),"")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(DATABASE!AV$14:$AV$968='Résultats Projection'!$A48 ) * (DATABASE!$AW$14:$AW$968= C$4))-ROW(DATABASE!$AV$14)+1,C$5+3)),"")</f>
        <v/>
      </c>
      <c r="D48" s="116">
        <f t="array" ref="D48">IFERROR(_xlfn.SINGLE(INDEX(DATABASE!$AV$14:$BC$968,SUMPRODUCT((ROW(DATABASE!$AV$14:$AV$968)) * (DATABASE!$AV$14:AW$968='Résultats Projection'!$A48 ) * (DATABASE!$AW$14:$AW$968= D$4))-ROW(DATABASE!$AV$14)+1,D$5+3)),"")</f>
        <v/>
      </c>
      <c r="E48" s="116">
        <f t="array" ref="E48">IFERROR(_xlfn.SINGLE(INDEX(DATABASE!$AV$14:$BC$968,SUMPRODUCT((ROW(DATABASE!$AV$14:$AV$968)) * (DATABASE!$AV$14:AX$968='Résultats Projection'!$A48 ) * (DATABASE!$AW$14:$AW$968= E$4))-ROW(DATABASE!$AV$14)+1,E$5+3)),"")</f>
        <v/>
      </c>
      <c r="F48" s="116">
        <f t="array" ref="F48">IFERROR(_xlfn.SINGLE(INDEX(DATABASE!$AV$14:$BC$968,SUMPRODUCT((ROW(DATABASE!$AV$14:$AV$968)) * (DATABASE!$AV$14:AY$968='Résultats Projection'!$A48 ) * (DATABASE!$AW$14:$AW$968= F$4))-ROW(DATABASE!$AV$14)+1,F$5+3)),"")</f>
        <v/>
      </c>
      <c r="G48" s="116">
        <f t="array" ref="G48">IFERROR(_xlfn.SINGLE(INDEX(DATABASE!$AV$14:$BC$968,SUMPRODUCT((ROW(DATABASE!$AV$14:$AV$968)) * (DATABASE!$AV$14:AZ$968='Résultats Projection'!$A48 ) * (DATABASE!$AW$14:$AW$968= G$4))-ROW(DATABASE!$AV$14)+1,G$5+3)),"")</f>
        <v/>
      </c>
      <c r="H48" s="116">
        <f t="array" ref="H48">IFERROR(_xlfn.SINGLE(INDEX(DATABASE!$AV$14:$BC$968,SUMPRODUCT((ROW(DATABASE!$AV$14:$AV$968)) * (DATABASE!$AV$14:BA$968='Résultats Projection'!$A48 ) * (DATABASE!$AW$14:$AW$968= H$4))-ROW(DATABASE!$AV$14)+1,H$5+3)),"")</f>
        <v/>
      </c>
      <c r="I48" s="116">
        <f t="array" ref="I48">IFERROR(_xlfn.SINGLE(INDEX(DATABASE!$AV$14:$BC$968,SUMPRODUCT((ROW(DATABASE!$AV$14:$AV$968)) * (DATABASE!$AV$14:BB$968='Résultats Projection'!$A48 ) * (DATABASE!$AW$14:$AW$968= I$4))-ROW(DATABASE!$AV$14)+1,I$5+3)),"")</f>
        <v/>
      </c>
      <c r="J48" s="116">
        <f t="array" ref="J48">IFERROR(_xlfn.SINGLE(INDEX(DATABASE!$AV$14:$BC$968,SUMPRODUCT((ROW(DATABASE!$AV$14:$AV$968)) * (DATABASE!$AV$14:BC$968='Résultats Projection'!$A48 ) * (DATABASE!$AW$14:$AW$968= J$4))-ROW(DATABASE!$AV$14)+1,J$5+3)),"")</f>
        <v/>
      </c>
      <c r="K48" s="116">
        <f t="array" ref="K48">IFERROR(_xlfn.SINGLE(INDEX(DATABASE!$AV$14:$BC$968,SUMPRODUCT((ROW(DATABASE!$AV$14:$AV$968)) * (DATABASE!$AV$14:BD$968='Résultats Projection'!$A48 ) * (DATABASE!$AW$14:$AW$968= K$4))-ROW(DATABASE!$AV$14)+1,K$5+3)),"")</f>
        <v/>
      </c>
      <c r="L48" s="116">
        <f t="array" ref="L48">IFERROR(_xlfn.SINGLE(INDEX(DATABASE!$AV$14:$BC$968,SUMPRODUCT((ROW(DATABASE!$AV$14:$AV$968)) * (DATABASE!$AV$14:BE$968='Résultats Projection'!$A48 ) * (DATABASE!$AW$14:$AW$968= L$4))-ROW(DATABASE!$AV$14)+1,L$5+3)),"")</f>
        <v/>
      </c>
      <c r="M48" s="116">
        <f t="array" ref="M48">IFERROR(_xlfn.SINGLE(INDEX(DATABASE!$AV$14:$BC$968,SUMPRODUCT((ROW(DATABASE!$AV$14:$AV$968)) * (DATABASE!$AV$14:BF$968='Résultats Projection'!$A48 ) * (DATABASE!$AW$14:$AW$968= M$4))-ROW(DATABASE!$AV$14)+1,M$5+3)),"")</f>
        <v/>
      </c>
      <c r="N48" s="116">
        <f t="array" ref="N48">IFERROR(_xlfn.SINGLE(INDEX(DATABASE!$AV$14:$BC$968,SUMPRODUCT((ROW(DATABASE!$AV$14:$AV$968)) * (DATABASE!$AV$14:BG$968='Résultats Projection'!$A48 ) * (DATABASE!$AW$14:$AW$968= N$4))-ROW(DATABASE!$AV$14)+1,N$5+3)),"")</f>
        <v/>
      </c>
      <c r="O48" s="116">
        <f t="array" ref="O48">IFERROR(_xlfn.SINGLE(INDEX(DATABASE!$AV$14:$BC$968,SUMPRODUCT((ROW(DATABASE!$AV$14:$AV$968)) * (DATABASE!$AV$14:BH$968='Résultats Projection'!$A48 ) * (DATABASE!$AW$14:$AW$968= O$4))-ROW(DATABASE!$AV$14)+1,O$5+3)),"")</f>
        <v/>
      </c>
      <c r="P48" s="116">
        <f t="array" ref="P48">IFERROR(_xlfn.SINGLE(INDEX(DATABASE!$AV$14:$BC$968,SUMPRODUCT((ROW(DATABASE!$AV$14:$AV$968)) * (DATABASE!$AV$14:BI$968='Résultats Projection'!$A48 ) * (DATABASE!$AW$14:$AW$968= P$4))-ROW(DATABASE!$AV$14)+1,P$5+3)),"")</f>
        <v/>
      </c>
      <c r="Q48" s="116">
        <f t="array" ref="Q48">IFERROR(_xlfn.SINGLE(INDEX(DATABASE!$AV$14:$BC$968,SUMPRODUCT((ROW(DATABASE!$AV$14:$AV$968)) * (DATABASE!$AV$14:BJ$968='Résultats Projection'!$A48 ) * (DATABASE!$AW$14:$AW$968= Q$4))-ROW(DATABASE!$AV$14)+1,Q$5+3)),"")</f>
        <v/>
      </c>
      <c r="R48" s="116">
        <f t="array" ref="R48">IFERROR(_xlfn.SINGLE(INDEX(DATABASE!$AV$14:$BC$968,SUMPRODUCT((ROW(DATABASE!$AV$14:$AV$968)) * (DATABASE!$AV$14:BK$968='Résultats Projection'!$A48 ) * (DATABASE!$AW$14:$AW$968= R$4))-ROW(DATABASE!$AV$14)+1,R$5+3)),"")</f>
        <v/>
      </c>
      <c r="S48" s="116">
        <f t="array" ref="S48">IFERROR(_xlfn.SINGLE(INDEX(DATABASE!$AV$14:$BC$968,SUMPRODUCT((ROW(DATABASE!$AV$14:$AV$968)) * (DATABASE!$AV$14:BL$968='Résultats Projection'!$A48 ) * (DATABASE!$AW$14:$AW$968= S$4))-ROW(DATABASE!$AV$14)+1,S$5+3)),"")</f>
        <v/>
      </c>
      <c r="T48" s="116">
        <f t="array" ref="T48">IFERROR(_xlfn.SINGLE(INDEX(DATABASE!$AV$14:$BC$968,SUMPRODUCT((ROW(DATABASE!$AV$14:$AV$968)) * (DATABASE!$AV$14:BM$968='Résultats Projection'!$A48 ) * (DATABASE!$AW$14:$AW$968= T$4))-ROW(DATABASE!$AV$14)+1,T$5+3)),"")</f>
        <v/>
      </c>
      <c r="U48" s="116">
        <f t="array" ref="U48">IFERROR(_xlfn.SINGLE(INDEX(DATABASE!$AV$14:$BC$968,SUMPRODUCT((ROW(DATABASE!$AV$14:$AV$968)) * (DATABASE!$AV$14:BN$968='Résultats Projection'!$A48 ) * (DATABASE!$AW$14:$AW$968= U$4))-ROW(DATABASE!$AV$14)+1,U$5+3)),"")</f>
        <v/>
      </c>
      <c r="V48" s="116">
        <f t="array" ref="V48">IFERROR(_xlfn.SINGLE(INDEX(DATABASE!$AV$14:$BC$968,SUMPRODUCT((ROW(DATABASE!$AV$14:$AV$968)) * (DATABASE!$AV$14:BO$968='Résultats Projection'!$A48 ) * (DATABASE!$AW$14:$AW$968= V$4))-ROW(DATABASE!$AV$14)+1,V$5+3)),"")</f>
        <v/>
      </c>
      <c r="W48" s="116">
        <f t="array" ref="W48">IFERROR(_xlfn.SINGLE(INDEX(DATABASE!$AV$14:$BC$968,SUMPRODUCT((ROW(DATABASE!$AV$14:$AV$968)) * (DATABASE!$AV$14:BP$968='Résultats Projection'!$A48 ) * (DATABASE!$AW$14:$AW$968= W$4))-ROW(DATABASE!$AV$14)+1,W$5+3)),"")</f>
        <v/>
      </c>
      <c r="X48" s="116">
        <f t="array" ref="X48">IFERROR(_xlfn.SINGLE(INDEX(DATABASE!$AV$14:$BC$968,SUMPRODUCT((ROW(DATABASE!$AV$14:$AV$968)) * (DATABASE!$AV$14:BQ$968='Résultats Projection'!$A48 ) * (DATABASE!$AW$14:$AW$968= X$4))-ROW(DATABASE!$AV$14)+1,X$5+3)),"")</f>
        <v/>
      </c>
      <c r="Y48" s="116">
        <f t="array" ref="Y48">IFERROR(_xlfn.SINGLE(INDEX(DATABASE!$AV$14:$BC$968,SUMPRODUCT((ROW(DATABASE!$AV$14:$AV$968)) * (DATABASE!$AV$14:BR$968='Résultats Projection'!$A48 ) * (DATABASE!$AW$14:$AW$968= Y$4))-ROW(DATABASE!$AV$14)+1,Y$5+3)),"")</f>
        <v/>
      </c>
      <c r="Z48" s="116">
        <f t="array" ref="Z48">IFERROR(_xlfn.SINGLE(INDEX(DATABASE!$AV$14:$BC$968,SUMPRODUCT((ROW(DATABASE!$AV$14:$AV$968)) * (DATABASE!$AV$14:BS$968='Résultats Projection'!$A48 ) * (DATABASE!$AW$14:$AW$968= Z$4))-ROW(DATABASE!$AV$14)+1,Z$5+3)),"")</f>
        <v/>
      </c>
      <c r="AA48" s="116">
        <f t="array" ref="AA48">IFERROR(_xlfn.SINGLE(INDEX(DATABASE!$AV$14:$BC$968,SUMPRODUCT((ROW(DATABASE!$AV$14:$AV$968)) * (DATABASE!$AV$14:BT$968='Résultats Projection'!$A48 ) * (DATABASE!$AW$14:$AW$968= AA$4))-ROW(DATABASE!$AV$14)+1,AA$5+3)),"")</f>
        <v/>
      </c>
      <c r="AB48" s="116">
        <f t="array" ref="AB48">IFERROR(_xlfn.SINGLE(INDEX(DATABASE!$AV$14:$BC$968,SUMPRODUCT((ROW(DATABASE!$AV$14:$AV$968)) * (DATABASE!$AV$14:BU$968='Résultats Projection'!$A48 ) * (DATABASE!$AW$14:$AW$968= AB$4))-ROW(DATABASE!$AV$14)+1,AB$5+3)),"")</f>
        <v/>
      </c>
      <c r="AC48" s="116">
        <f t="array" ref="AC48">IFERROR(_xlfn.SINGLE(INDEX(DATABASE!$AV$14:$BC$968,SUMPRODUCT((ROW(DATABASE!$AV$14:$AV$968)) * (DATABASE!$AV$14:BV$968='Résultats Projection'!$A48 ) * (DATABASE!$AW$14:$AW$968= AC$4))-ROW(DATABASE!$AV$14)+1,AC$5+3)),"")</f>
        <v/>
      </c>
      <c r="AD48" s="116">
        <f t="array" ref="AD48">IFERROR(_xlfn.SINGLE(INDEX(DATABASE!$AV$14:$BC$968,SUMPRODUCT((ROW(DATABASE!$AV$14:$AV$968)) * (DATABASE!$AV$14:BW$968='Résultats Projection'!$A48 ) * (DATABASE!$AW$14:$AW$968= AD$4))-ROW(DATABASE!$AV$14)+1,AD$5+3)),"")</f>
        <v/>
      </c>
      <c r="AE48" s="116">
        <f t="array" ref="AE48">IFERROR(_xlfn.SINGLE(INDEX(DATABASE!$AV$14:$BC$968,SUMPRODUCT((ROW(DATABASE!$AV$14:$AV$968)) * (DATABASE!$AV$14:BX$968='Résultats Projection'!$A48 ) * (DATABASE!$AW$14:$AW$968= AE$4))-ROW(DATABASE!$AV$14)+1,AE$5+3)),"")</f>
        <v/>
      </c>
      <c r="AF48" s="116">
        <f t="array" ref="AF48">IFERROR(_xlfn.SINGLE(INDEX(DATABASE!$AV$14:$BC$968,SUMPRODUCT((ROW(DATABASE!$AV$14:$AV$968)) * (DATABASE!$AV$14:BY$968='Résultats Projection'!$A48 ) * (DATABASE!$AW$14:$AW$968= AF$4))-ROW(DATABASE!$AV$14)+1,AF$5+3)),"")</f>
        <v/>
      </c>
      <c r="AG48" s="116">
        <f t="array" ref="AG48">IFERROR(_xlfn.SINGLE(INDEX(DATABASE!$AV$14:$BC$968,SUMPRODUCT((ROW(DATABASE!$AV$14:$AV$968)) * (DATABASE!$AV$14:BZ$968='Résultats Projection'!$A48 ) * (DATABASE!$AW$14:$AW$968= AG$4))-ROW(DATABASE!$AV$14)+1,AG$5+3)),"")</f>
        <v/>
      </c>
      <c r="AH48" s="116">
        <f t="array" ref="AH48">IFERROR(_xlfn.SINGLE(INDEX(DATABASE!$AV$14:$BC$968,SUMPRODUCT((ROW(DATABASE!$AV$14:$AV$968)) * (DATABASE!$AV$14:CA$968='Résultats Projection'!$A48 ) * (DATABASE!$AW$14:$AW$968= AH$4))-ROW(DATABASE!$AV$14)+1,AH$5+3)),"")</f>
        <v/>
      </c>
      <c r="AI48" s="116">
        <f t="array" ref="AI48">IFERROR(_xlfn.SINGLE(INDEX(DATABASE!$AV$14:$BC$968,SUMPRODUCT((ROW(DATABASE!$AV$14:$AV$968)) * (DATABASE!$AV$14:CB$968='Résultats Projection'!$A48 ) * (DATABASE!$AW$14:$AW$968= AI$4))-ROW(DATABASE!$AV$14)+1,AI$5+3)),"")</f>
        <v/>
      </c>
      <c r="AJ48" s="116">
        <f t="array" ref="AJ48">IFERROR(_xlfn.SINGLE(INDEX(DATABASE!$AV$14:$BC$968,SUMPRODUCT((ROW(DATABASE!$AV$14:$AV$968)) * (DATABASE!$AV$14:CC$968='Résultats Projection'!$A48 ) * (DATABASE!$AW$14:$AW$968= AJ$4))-ROW(DATABASE!$AV$14)+1,AJ$5+3)),"")</f>
        <v/>
      </c>
      <c r="AK48" s="116">
        <f t="array" ref="AK48">IFERROR(_xlfn.SINGLE(INDEX(DATABASE!$AV$14:$BC$968,SUMPRODUCT((ROW(DATABASE!$AV$14:$AV$968)) * (DATABASE!$AV$14:CD$968='Résultats Projection'!$A48 ) * (DATABASE!$AW$14:$AW$968= AK$4))-ROW(DATABASE!$AV$14)+1,AK$5+3)),"")</f>
        <v/>
      </c>
      <c r="AL48" s="116">
        <f t="array" ref="AL48">IFERROR(_xlfn.SINGLE(INDEX(DATABASE!$AV$14:$BC$968,SUMPRODUCT((ROW(DATABASE!$AV$14:$AV$968)) * (DATABASE!$AV$14:CE$968='Résultats Projection'!$A48 ) * (DATABASE!$AW$14:$AW$968= AL$4))-ROW(DATABASE!$AV$14)+1,AL$5+3)),"")</f>
        <v/>
      </c>
      <c r="AM48" s="116">
        <f t="array" ref="AM48">IFERROR(_xlfn.SINGLE(INDEX(DATABASE!$AV$14:$BC$968,SUMPRODUCT((ROW(DATABASE!$AV$14:$AV$968)) * (DATABASE!$AV$14:CF$968='Résultats Projection'!$A48 ) * (DATABASE!$AW$14:$AW$968= AM$4))-ROW(DATABASE!$AV$14)+1,AM$5+3)),"")</f>
        <v/>
      </c>
      <c r="AN48" s="116">
        <f t="array" ref="AN48">IFERROR(_xlfn.SINGLE(INDEX(DATABASE!$AV$14:$BC$968,SUMPRODUCT((ROW(DATABASE!$AV$14:$AV$968)) * (DATABASE!$AV$14:CG$968='Résultats Projection'!$A48 ) * (DATABASE!$AW$14:$AW$968= AN$4))-ROW(DATABASE!$AV$14)+1,AN$5+3)),"")</f>
        <v/>
      </c>
      <c r="AO48" s="116">
        <f t="array" ref="AO48">IFERROR(_xlfn.SINGLE(INDEX(DATABASE!$AV$14:$BC$968,SUMPRODUCT((ROW(DATABASE!$AV$14:$AV$968)) * (DATABASE!$AV$14:CH$968='Résultats Projection'!$A48 ) * (DATABASE!$AW$14:$AW$968= AO$4))-ROW(DATABASE!$AV$14)+1,AO$5+3)),"")</f>
        <v/>
      </c>
      <c r="AP48" s="116">
        <f t="array" ref="AP48">IFERROR(_xlfn.SINGLE(INDEX(DATABASE!$AV$14:$BC$968,SUMPRODUCT((ROW(DATABASE!$AV$14:$AV$968)) * (DATABASE!$AV$14:CI$968='Résultats Projection'!$A48 ) * (DATABASE!$AW$14:$AW$968= AP$4))-ROW(DATABASE!$AV$14)+1,AP$5+3)),"")</f>
        <v/>
      </c>
      <c r="AQ48" s="116">
        <f t="array" ref="AQ48">IFERROR(_xlfn.SINGLE(INDEX(DATABASE!$AV$14:$BC$968,SUMPRODUCT((ROW(DATABASE!$AV$14:$AV$968)) * (DATABASE!$AV$14:CJ$968='Résultats Projection'!$A48 ) * (DATABASE!$AW$14:$AW$968= AQ$4))-ROW(DATABASE!$AV$14)+1,AQ$5+3)),"")</f>
        <v/>
      </c>
      <c r="AR48" s="116">
        <f t="array" ref="AR48">IFERROR(_xlfn.SINGLE(INDEX(DATABASE!$AV$14:$BC$968,SUMPRODUCT((ROW(DATABASE!$AV$14:$AV$968)) * (DATABASE!$AV$14:CK$968='Résultats Projection'!$A48 ) * (DATABASE!$AW$14:$AW$968= AR$4))-ROW(DATABASE!$AV$14)+1,AR$5+3)),"")</f>
        <v/>
      </c>
      <c r="AS48" s="116">
        <f t="array" ref="AS48">IFERROR(_xlfn.SINGLE(INDEX(DATABASE!$AV$14:$BC$968,SUMPRODUCT((ROW(DATABASE!$AV$14:$AV$968)) * (DATABASE!$AV$14:CL$968='Résultats Projection'!$A48 ) * (DATABASE!$AW$14:$AW$968= AS$4))-ROW(DATABASE!$AV$14)+1,AS$5+3)),"")</f>
        <v/>
      </c>
      <c r="AT48" s="116">
        <f t="array" ref="AT48">IFERROR(_xlfn.SINGLE(INDEX(DATABASE!$AV$14:$BC$968,SUMPRODUCT((ROW(DATABASE!$AV$14:$AV$968)) * (DATABASE!$AV$14:CM$968='Résultats Projection'!$A48 ) * (DATABASE!$AW$14:$AW$968= AT$4))-ROW(DATABASE!$AV$14)+1,AT$5+3)),"")</f>
        <v/>
      </c>
      <c r="AU48" s="116">
        <f t="array" ref="AU48">IFERROR(_xlfn.SINGLE(INDEX(DATABASE!$AV$14:$BC$968,SUMPRODUCT((ROW(DATABASE!$AV$14:$AV$968)) * (DATABASE!$AV$14:CN$968='Résultats Projection'!$A48 ) * (DATABASE!$AW$14:$AW$968= AU$4))-ROW(DATABASE!$AV$14)+1,AU$5+3)),"")</f>
        <v/>
      </c>
      <c r="AV48" s="116">
        <f t="array" ref="AV48">IFERROR(_xlfn.SINGLE(INDEX(DATABASE!$AV$14:$BC$968,SUMPRODUCT((ROW(DATABASE!$AV$14:$AV$968)) * (DATABASE!$AV$14:CO$968='Résultats Projection'!$A48 ) * (DATABASE!$AW$14:$AW$968= AV$4))-ROW(DATABASE!$AV$14)+1,AV$5+3)),"")</f>
        <v/>
      </c>
      <c r="AW48" s="116">
        <f t="array" ref="AW48">IFERROR(_xlfn.SINGLE(INDEX(DATABASE!$AV$14:$BC$968,SUMPRODUCT((ROW(DATABASE!$AV$14:$AV$968)) * (DATABASE!$AV$14:CP$968='Résultats Projection'!$A48 ) * (DATABASE!$AW$14:$AW$968= AW$4))-ROW(DATABASE!$AV$14)+1,AW$5+3)),"")</f>
        <v/>
      </c>
      <c r="AX48" s="116">
        <f t="array" ref="AX48">IFERROR(_xlfn.SINGLE(INDEX(DATABASE!$AV$14:$BC$968,SUMPRODUCT((ROW(DATABASE!$AV$14:$AV$968)) * (DATABASE!$AV$14:CQ$968='Résultats Projection'!$A48 ) * (DATABASE!$AW$14:$AW$968= AX$4))-ROW(DATABASE!$AV$14)+1,AX$5+3)),"")</f>
        <v/>
      </c>
      <c r="AY48" s="116">
        <f t="array" ref="AY48">IFERROR(_xlfn.SINGLE(INDEX(DATABASE!$AV$14:$BC$968,SUMPRODUCT((ROW(DATABASE!$AV$14:$AV$968)) * (DATABASE!$AV$14:CR$968='Résultats Projection'!$A48 ) * (DATABASE!$AW$14:$AW$968= AY$4))-ROW(DATABASE!$AV$14)+1,AY$5+3)),"")</f>
        <v/>
      </c>
      <c r="AZ48" s="116">
        <f t="array" ref="AZ48">IFERROR(_xlfn.SINGLE(INDEX(DATABASE!$AV$14:$BC$968,SUMPRODUCT((ROW(DATABASE!$AV$14:$AV$968)) * (DATABASE!$AV$14:CS$968='Résultats Projection'!$A48 ) * (DATABASE!$AW$14:$AW$968= AZ$4))-ROW(DATABASE!$AV$14)+1,AZ$5+3)),"")</f>
        <v/>
      </c>
      <c r="BA48" s="116">
        <f t="array" ref="BA48">IFERROR(_xlfn.SINGLE(INDEX(DATABASE!$AV$14:$BC$968,SUMPRODUCT((ROW(DATABASE!$AV$14:$AV$968)) * (DATABASE!$AV$14:CT$968='Résultats Projection'!$A48 ) * (DATABASE!$AW$14:$AW$968= BA$4))-ROW(DATABASE!$AV$14)+1,BA$5+3)),"")</f>
        <v/>
      </c>
      <c r="BB48" s="116">
        <f t="array" ref="BB48">IFERROR(_xlfn.SINGLE(INDEX(DATABASE!$AV$14:$BC$968,SUMPRODUCT((ROW(DATABASE!$AV$14:$AV$968)) * (DATABASE!$AV$14:CU$968='Résultats Projection'!$A48 ) * (DATABASE!$AW$14:$AW$968= BB$4))-ROW(DATABASE!$AV$14)+1,BB$5+3)),"")</f>
        <v/>
      </c>
      <c r="BC48" s="116">
        <f t="array" ref="BC48">IFERROR(_xlfn.SINGLE(INDEX(DATABASE!$AV$14:$BC$968,SUMPRODUCT((ROW(DATABASE!$AV$14:$AV$968)) * (DATABASE!$AV$14:CV$968='Résultats Projection'!$A48 ) * (DATABASE!$AW$14:$AW$968= BC$4))-ROW(DATABASE!$AV$14)+1,BC$5+3)),"")</f>
        <v/>
      </c>
      <c r="BD48" s="116">
        <f t="array" ref="BD48">IFERROR(_xlfn.SINGLE(INDEX(DATABASE!$AV$14:$BC$968,SUMPRODUCT((ROW(DATABASE!$AV$14:$AV$968)) * (DATABASE!$AV$14:CW$968='Résultats Projection'!$A48 ) * (DATABASE!$AW$14:$AW$968= BD$4))-ROW(DATABASE!$AV$14)+1,BD$5+3)),"")</f>
        <v/>
      </c>
      <c r="BE48" s="116">
        <f t="array" ref="BE48">IFERROR(_xlfn.SINGLE(INDEX(DATABASE!$AV$14:$BC$968,SUMPRODUCT((ROW(DATABASE!$AV$14:$AV$968)) * (DATABASE!$AV$14:CX$968='Résultats Projection'!$A48 ) * (DATABASE!$AW$14:$AW$968= BE$4))-ROW(DATABASE!$AV$14)+1,BE$5+3)),"")</f>
        <v/>
      </c>
      <c r="BF48" s="116">
        <f t="array" ref="BF48">IFERROR(_xlfn.SINGLE(INDEX(DATABASE!$AV$14:$BC$968,SUMPRODUCT((ROW(DATABASE!$AV$14:$AV$968)) * (DATABASE!$AV$14:CY$968='Résultats Projection'!$A48 ) * (DATABASE!$AW$14:$AW$968= BF$4))-ROW(DATABASE!$AV$14)+1,BF$5+3)),"")</f>
        <v/>
      </c>
      <c r="BG48" s="116">
        <f t="array" ref="BG48">IFERROR(_xlfn.SINGLE(INDEX(DATABASE!$AV$14:$BC$968,SUMPRODUCT((ROW(DATABASE!$AV$14:$AV$968)) * (DATABASE!$AV$14:CZ$968='Résultats Projection'!$A48 ) * (DATABASE!$AW$14:$AW$968= BG$4))-ROW(DATABASE!$AV$14)+1,BG$5+3)),"")</f>
        <v/>
      </c>
      <c r="BH48" s="116">
        <f t="array" ref="BH48">IFERROR(_xlfn.SINGLE(INDEX(DATABASE!$AV$14:$BC$968,SUMPRODUCT((ROW(DATABASE!$AV$14:$AV$968)) * (DATABASE!$AV$14:DA$968='Résultats Projection'!$A48 ) * (DATABASE!$AW$14:$AW$968= BH$4))-ROW(DATABASE!$AV$14)+1,BH$5+3)),"")</f>
        <v/>
      </c>
      <c r="BI48" s="116">
        <f t="array" ref="BI48">IFERROR(_xlfn.SINGLE(INDEX(DATABASE!$AV$14:$BC$968,SUMPRODUCT((ROW(DATABASE!$AV$14:$AV$968)) * (DATABASE!$AV$14:DB$968='Résultats Projection'!$A48 ) * (DATABASE!$AW$14:$AW$968= BI$4))-ROW(DATABASE!$AV$14)+1,BI$5+3)),"")</f>
        <v/>
      </c>
      <c r="BJ48" s="116">
        <f t="array" ref="BJ48">IFERROR(_xlfn.SINGLE(INDEX(DATABASE!$AV$14:$BC$968,SUMPRODUCT((ROW(DATABASE!$AV$14:$AV$968)) * (DATABASE!$AV$14:DC$968='Résultats Projection'!$A48 ) * (DATABASE!$AW$14:$AW$968= BJ$4))-ROW(DATABASE!$AV$14)+1,BJ$5+3)),"")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(DATABASE!AV$14:$AV$968='Résultats Projection'!$A49 ) * (DATABASE!$AW$14:$AW$968= C$4))-ROW(DATABASE!$AV$14)+1,C$5)),"")</f>
        <v/>
      </c>
      <c r="D49" s="116">
        <f t="array" ref="D49">IFERROR(_xlfn.SINGLE(INDEX(DATABASE!$AV$14:$BC$968,SUMPRODUCT((ROW(DATABASE!$AV$14:$AV$968)) * (DATABASE!$AV$14:AW$968='Résultats Projection'!$A49 ) * (DATABASE!$AW$14:$AW$968= D$4))-ROW(DATABASE!$AV$14)+1,D$5)),"")</f>
        <v/>
      </c>
      <c r="E49" s="116">
        <f t="array" ref="E49">IFERROR(_xlfn.SINGLE(INDEX(DATABASE!$AV$14:$BC$968,SUMPRODUCT((ROW(DATABASE!$AV$14:$AV$968)) * (DATABASE!$AV$14:AX$968='Résultats Projection'!$A49 ) * (DATABASE!$AW$14:$AW$968= E$4))-ROW(DATABASE!$AV$14)+1,E$5)),"")</f>
        <v/>
      </c>
      <c r="F49" s="116">
        <f t="array" ref="F49">IFERROR(_xlfn.SINGLE(INDEX(DATABASE!$AV$14:$BC$968,SUMPRODUCT((ROW(DATABASE!$AV$14:$AV$968)) * (DATABASE!$AV$14:AY$968='Résultats Projection'!$A49 ) * (DATABASE!$AW$14:$AW$968= F$4))-ROW(DATABASE!$AV$14)+1,F$5)),"")</f>
        <v/>
      </c>
      <c r="G49" s="116">
        <f t="array" ref="G49">IFERROR(_xlfn.SINGLE(INDEX(DATABASE!$AV$14:$BC$968,SUMPRODUCT((ROW(DATABASE!$AV$14:$AV$968)) * (DATABASE!$AV$14:AZ$968='Résultats Projection'!$A49 ) * (DATABASE!$AW$14:$AW$968= G$4))-ROW(DATABASE!$AV$14)+1,G$5)),"")</f>
        <v/>
      </c>
      <c r="H49" s="116">
        <f t="array" ref="H49">IFERROR(_xlfn.SINGLE(INDEX(DATABASE!$AV$14:$BC$968,SUMPRODUCT((ROW(DATABASE!$AV$14:$AV$968)) * (DATABASE!$AV$14:BA$968='Résultats Projection'!$A49 ) * (DATABASE!$AW$14:$AW$968= H$4))-ROW(DATABASE!$AV$14)+1,H$5)),"")</f>
        <v/>
      </c>
      <c r="I49" s="116">
        <f t="array" ref="I49">IFERROR(_xlfn.SINGLE(INDEX(DATABASE!$AV$14:$BC$968,SUMPRODUCT((ROW(DATABASE!$AV$14:$AV$968)) * (DATABASE!$AV$14:BB$968='Résultats Projection'!$A49 ) * (DATABASE!$AW$14:$AW$968= I$4))-ROW(DATABASE!$AV$14)+1,I$5)),"")</f>
        <v/>
      </c>
      <c r="J49" s="116">
        <f t="array" ref="J49">IFERROR(_xlfn.SINGLE(INDEX(DATABASE!$AV$14:$BC$968,SUMPRODUCT((ROW(DATABASE!$AV$14:$AV$968)) * (DATABASE!$AV$14:BC$968='Résultats Projection'!$A49 ) * (DATABASE!$AW$14:$AW$968= J$4))-ROW(DATABASE!$AV$14)+1,J$5)),"")</f>
        <v/>
      </c>
      <c r="K49" s="116">
        <f t="array" ref="K49">IFERROR(_xlfn.SINGLE(INDEX(DATABASE!$AV$14:$BC$968,SUMPRODUCT((ROW(DATABASE!$AV$14:$AV$968)) * (DATABASE!$AV$14:BD$968='Résultats Projection'!$A49 ) * (DATABASE!$AW$14:$AW$968= K$4))-ROW(DATABASE!$AV$14)+1,K$5)),"")</f>
        <v/>
      </c>
      <c r="L49" s="116">
        <f t="array" ref="L49">IFERROR(_xlfn.SINGLE(INDEX(DATABASE!$AV$14:$BC$968,SUMPRODUCT((ROW(DATABASE!$AV$14:$AV$968)) * (DATABASE!$AV$14:BE$968='Résultats Projection'!$A49 ) * (DATABASE!$AW$14:$AW$968= L$4))-ROW(DATABASE!$AV$14)+1,L$5)),"")</f>
        <v/>
      </c>
      <c r="M49" s="116">
        <f t="array" ref="M49">IFERROR(_xlfn.SINGLE(INDEX(DATABASE!$AV$14:$BC$968,SUMPRODUCT((ROW(DATABASE!$AV$14:$AV$968)) * (DATABASE!$AV$14:BF$968='Résultats Projection'!$A49 ) * (DATABASE!$AW$14:$AW$968= M$4))-ROW(DATABASE!$AV$14)+1,M$5)),"")</f>
        <v/>
      </c>
      <c r="N49" s="116">
        <f t="array" ref="N49">IFERROR(_xlfn.SINGLE(INDEX(DATABASE!$AV$14:$BC$968,SUMPRODUCT((ROW(DATABASE!$AV$14:$AV$968)) * (DATABASE!$AV$14:BG$968='Résultats Projection'!$A49 ) * (DATABASE!$AW$14:$AW$968= N$4))-ROW(DATABASE!$AV$14)+1,N$5)),"")</f>
        <v/>
      </c>
      <c r="O49" s="116">
        <f t="array" ref="O49">IFERROR(_xlfn.SINGLE(INDEX(DATABASE!$AV$14:$BC$968,SUMPRODUCT((ROW(DATABASE!$AV$14:$AV$968)) * (DATABASE!$AV$14:BH$968='Résultats Projection'!$A49 ) * (DATABASE!$AW$14:$AW$968= O$4))-ROW(DATABASE!$AV$14)+1,O$5)),"")</f>
        <v/>
      </c>
      <c r="P49" s="116">
        <f t="array" ref="P49">IFERROR(_xlfn.SINGLE(INDEX(DATABASE!$AV$14:$BC$968,SUMPRODUCT((ROW(DATABASE!$AV$14:$AV$968)) * (DATABASE!$AV$14:BI$968='Résultats Projection'!$A49 ) * (DATABASE!$AW$14:$AW$968= P$4))-ROW(DATABASE!$AV$14)+1,P$5)),"")</f>
        <v/>
      </c>
      <c r="Q49" s="116">
        <f t="array" ref="Q49">IFERROR(_xlfn.SINGLE(INDEX(DATABASE!$AV$14:$BC$968,SUMPRODUCT((ROW(DATABASE!$AV$14:$AV$968)) * (DATABASE!$AV$14:BJ$968='Résultats Projection'!$A49 ) * (DATABASE!$AW$14:$AW$968= Q$4))-ROW(DATABASE!$AV$14)+1,Q$5)),"")</f>
        <v/>
      </c>
      <c r="R49" s="116">
        <f t="array" ref="R49">IFERROR(_xlfn.SINGLE(INDEX(DATABASE!$AV$14:$BC$968,SUMPRODUCT((ROW(DATABASE!$AV$14:$AV$968)) * (DATABASE!$AV$14:BK$968='Résultats Projection'!$A49 ) * (DATABASE!$AW$14:$AW$968= R$4))-ROW(DATABASE!$AV$14)+1,R$5)),"")</f>
        <v/>
      </c>
      <c r="S49" s="116">
        <f t="array" ref="S49">IFERROR(_xlfn.SINGLE(INDEX(DATABASE!$AV$14:$BC$968,SUMPRODUCT((ROW(DATABASE!$AV$14:$AV$968)) * (DATABASE!$AV$14:BL$968='Résultats Projection'!$A49 ) * (DATABASE!$AW$14:$AW$968= S$4))-ROW(DATABASE!$AV$14)+1,S$5)),"")</f>
        <v/>
      </c>
      <c r="T49" s="116">
        <f t="array" ref="T49">IFERROR(_xlfn.SINGLE(INDEX(DATABASE!$AV$14:$BC$968,SUMPRODUCT((ROW(DATABASE!$AV$14:$AV$968)) * (DATABASE!$AV$14:BM$968='Résultats Projection'!$A49 ) * (DATABASE!$AW$14:$AW$968= T$4))-ROW(DATABASE!$AV$14)+1,T$5)),"")</f>
        <v/>
      </c>
      <c r="U49" s="116">
        <f t="array" ref="U49">IFERROR(_xlfn.SINGLE(INDEX(DATABASE!$AV$14:$BC$968,SUMPRODUCT((ROW(DATABASE!$AV$14:$AV$968)) * (DATABASE!$AV$14:BN$968='Résultats Projection'!$A49 ) * (DATABASE!$AW$14:$AW$968= U$4))-ROW(DATABASE!$AV$14)+1,U$5)),"")</f>
        <v/>
      </c>
      <c r="V49" s="116">
        <f t="array" ref="V49">IFERROR(_xlfn.SINGLE(INDEX(DATABASE!$AV$14:$BC$968,SUMPRODUCT((ROW(DATABASE!$AV$14:$AV$968)) * (DATABASE!$AV$14:BO$968='Résultats Projection'!$A49 ) * (DATABASE!$AW$14:$AW$968= V$4))-ROW(DATABASE!$AV$14)+1,V$5)),"")</f>
        <v/>
      </c>
      <c r="W49" s="116">
        <f t="array" ref="W49">IFERROR(_xlfn.SINGLE(INDEX(DATABASE!$AV$14:$BC$968,SUMPRODUCT((ROW(DATABASE!$AV$14:$AV$968)) * (DATABASE!$AV$14:BP$968='Résultats Projection'!$A49 ) * (DATABASE!$AW$14:$AW$968= W$4))-ROW(DATABASE!$AV$14)+1,W$5)),"")</f>
        <v/>
      </c>
      <c r="X49" s="116">
        <f t="array" ref="X49">IFERROR(_xlfn.SINGLE(INDEX(DATABASE!$AV$14:$BC$968,SUMPRODUCT((ROW(DATABASE!$AV$14:$AV$968)) * (DATABASE!$AV$14:BQ$968='Résultats Projection'!$A49 ) * (DATABASE!$AW$14:$AW$968= X$4))-ROW(DATABASE!$AV$14)+1,X$5)),"")</f>
        <v/>
      </c>
      <c r="Y49" s="116">
        <f t="array" ref="Y49">IFERROR(_xlfn.SINGLE(INDEX(DATABASE!$AV$14:$BC$968,SUMPRODUCT((ROW(DATABASE!$AV$14:$AV$968)) * (DATABASE!$AV$14:BR$968='Résultats Projection'!$A49 ) * (DATABASE!$AW$14:$AW$968= Y$4))-ROW(DATABASE!$AV$14)+1,Y$5)),"")</f>
        <v/>
      </c>
      <c r="Z49" s="116">
        <f t="array" ref="Z49">IFERROR(_xlfn.SINGLE(INDEX(DATABASE!$AV$14:$BC$968,SUMPRODUCT((ROW(DATABASE!$AV$14:$AV$968)) * (DATABASE!$AV$14:BS$968='Résultats Projection'!$A49 )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(DATABASE!$AV$14:BT$968='Résultats Projection'!$A49 )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(DATABASE!$AV$14:BU$968='Résultats Projection'!$A49 )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(DATABASE!$AV$14:BV$968='Résultats Projection'!$A49 )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(DATABASE!$AV$14:BW$968='Résultats Projection'!$A49 )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(DATABASE!$AV$14:BX$968='Résultats Projection'!$A49 )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(DATABASE!$AV$14:BY$968='Résultats Projection'!$A49 )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(DATABASE!$AV$14:BZ$968='Résultats Projection'!$A49 )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(DATABASE!$AV$14:CA$968='Résultats Projection'!$A49 )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(DATABASE!$AV$14:CB$968='Résultats Projection'!$A49 )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(DATABASE!$AV$14:CC$968='Résultats Projection'!$A49 )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(DATABASE!$AV$14:CD$968='Résultats Projection'!$A49 )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(DATABASE!$AV$14:CE$968='Résultats Projection'!$A49 )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(DATABASE!$AV$14:CF$968='Résultats Projection'!$A49 )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(DATABASE!$AV$14:CG$968='Résultats Projection'!$A49 )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(DATABASE!$AV$14:CH$968='Résultats Projection'!$A49 )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(DATABASE!$AV$14:CI$968='Résultats Projection'!$A49 )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(DATABASE!$AV$14:CJ$968='Résultats Projection'!$A49 )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(DATABASE!$AV$14:CK$968='Résultats Projection'!$A49 )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(DATABASE!$AV$14:CL$968='Résultats Projection'!$A49 )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(DATABASE!$AV$14:CM$968='Résultats Projection'!$A49 )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(DATABASE!$AV$14:CN$968='Résultats Projection'!$A49 )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(DATABASE!$AV$14:CO$968='Résultats Projection'!$A49 )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(DATABASE!$AV$14:CP$968='Résultats Projection'!$A49 )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(DATABASE!$AV$14:CQ$968='Résultats Projection'!$A49 )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(DATABASE!$AV$14:CR$968='Résultats Projection'!$A49 )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(DATABASE!$AV$14:CS$968='Résultats Projection'!$A49 )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(DATABASE!$AV$14:CT$968='Résultats Projection'!$A49 )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(DATABASE!$AV$14:CU$968='Résultats Projection'!$A49 )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(DATABASE!$AV$14:CV$968='Résultats Projection'!$A49 )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(DATABASE!$AV$14:CW$968='Résultats Projection'!$A49 )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(DATABASE!$AV$14:CX$968='Résultats Projection'!$A49 )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(DATABASE!$AV$14:CY$968='Résultats Projection'!$A49 )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(DATABASE!$AV$14:CZ$968='Résultats Projection'!$A49 )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(DATABASE!$AV$14:DA$968='Résultats Projection'!$A49 )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(DATABASE!$AV$14:DB$968='Résultats Projection'!$A49 )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(DATABASE!$AV$14:DC$968='Résultats Projection'!$A49 )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(DATABASE!AV$14:$AV$968='Résultats Projection'!$A50 ) * (DATABASE!$AW$14:$AW$968= C$4))-ROW(DATABASE!$AV$14)+1,C$5)),"")</f>
        <v/>
      </c>
      <c r="D50" s="116">
        <f t="array" ref="D50">IFERROR(_xlfn.SINGLE(INDEX(DATABASE!$AV$14:$BC$968,SUMPRODUCT((ROW(DATABASE!$AV$14:$AV$968)) * (DATABASE!$AV$14:AW$968='Résultats Projection'!$A50 ) * (DATABASE!$AW$14:$AW$968= D$4))-ROW(DATABASE!$AV$14)+1,D$5)),"")</f>
        <v/>
      </c>
      <c r="E50" s="116">
        <f t="array" ref="E50">IFERROR(_xlfn.SINGLE(INDEX(DATABASE!$AV$14:$BC$968,SUMPRODUCT((ROW(DATABASE!$AV$14:$AV$968)) * (DATABASE!$AV$14:AX$968='Résultats Projection'!$A50 ) * (DATABASE!$AW$14:$AW$968= E$4))-ROW(DATABASE!$AV$14)+1,E$5)),"")</f>
        <v/>
      </c>
      <c r="F50" s="116">
        <f t="array" ref="F50">IFERROR(_xlfn.SINGLE(INDEX(DATABASE!$AV$14:$BC$968,SUMPRODUCT((ROW(DATABASE!$AV$14:$AV$968)) * (DATABASE!$AV$14:AY$968='Résultats Projection'!$A50 ) * (DATABASE!$AW$14:$AW$968= F$4))-ROW(DATABASE!$AV$14)+1,F$5)),"")</f>
        <v/>
      </c>
      <c r="G50" s="116">
        <f t="array" ref="G50">IFERROR(_xlfn.SINGLE(INDEX(DATABASE!$AV$14:$BC$968,SUMPRODUCT((ROW(DATABASE!$AV$14:$AV$968)) * (DATABASE!$AV$14:AZ$968='Résultats Projection'!$A50 ) * (DATABASE!$AW$14:$AW$968= G$4))-ROW(DATABASE!$AV$14)+1,G$5)),"")</f>
        <v/>
      </c>
      <c r="H50" s="116">
        <f t="array" ref="H50">IFERROR(_xlfn.SINGLE(INDEX(DATABASE!$AV$14:$BC$968,SUMPRODUCT((ROW(DATABASE!$AV$14:$AV$968)) * (DATABASE!$AV$14:BA$968='Résultats Projection'!$A50 ) * (DATABASE!$AW$14:$AW$968= H$4))-ROW(DATABASE!$AV$14)+1,H$5)),"")</f>
        <v/>
      </c>
      <c r="I50" s="116">
        <f t="array" ref="I50">IFERROR(_xlfn.SINGLE(INDEX(DATABASE!$AV$14:$BC$968,SUMPRODUCT((ROW(DATABASE!$AV$14:$AV$968)) * (DATABASE!$AV$14:BB$968='Résultats Projection'!$A50 ) * (DATABASE!$AW$14:$AW$968= I$4))-ROW(DATABASE!$AV$14)+1,I$5)),"")</f>
        <v/>
      </c>
      <c r="J50" s="116">
        <f t="array" ref="J50">IFERROR(_xlfn.SINGLE(INDEX(DATABASE!$AV$14:$BC$968,SUMPRODUCT((ROW(DATABASE!$AV$14:$AV$968)) * (DATABASE!$AV$14:BC$968='Résultats Projection'!$A50 ) * (DATABASE!$AW$14:$AW$968= J$4))-ROW(DATABASE!$AV$14)+1,J$5)),"")</f>
        <v/>
      </c>
      <c r="K50" s="116">
        <f t="array" ref="K50">IFERROR(_xlfn.SINGLE(INDEX(DATABASE!$AV$14:$BC$968,SUMPRODUCT((ROW(DATABASE!$AV$14:$AV$968)) * (DATABASE!$AV$14:BD$968='Résultats Projection'!$A50 ) * (DATABASE!$AW$14:$AW$968= K$4))-ROW(DATABASE!$AV$14)+1,K$5)),"")</f>
        <v/>
      </c>
      <c r="L50" s="116">
        <f t="array" ref="L50">IFERROR(_xlfn.SINGLE(INDEX(DATABASE!$AV$14:$BC$968,SUMPRODUCT((ROW(DATABASE!$AV$14:$AV$968)) * (DATABASE!$AV$14:BE$968='Résultats Projection'!$A50 ) * (DATABASE!$AW$14:$AW$968= L$4))-ROW(DATABASE!$AV$14)+1,L$5)),"")</f>
        <v/>
      </c>
      <c r="M50" s="116">
        <f t="array" ref="M50">IFERROR(_xlfn.SINGLE(INDEX(DATABASE!$AV$14:$BC$968,SUMPRODUCT((ROW(DATABASE!$AV$14:$AV$968)) * (DATABASE!$AV$14:BF$968='Résultats Projection'!$A50 ) * (DATABASE!$AW$14:$AW$968= M$4))-ROW(DATABASE!$AV$14)+1,M$5)),"")</f>
        <v/>
      </c>
      <c r="N50" s="116">
        <f t="array" ref="N50">IFERROR(_xlfn.SINGLE(INDEX(DATABASE!$AV$14:$BC$968,SUMPRODUCT((ROW(DATABASE!$AV$14:$AV$968)) * (DATABASE!$AV$14:BG$968='Résultats Projection'!$A50 ) * (DATABASE!$AW$14:$AW$968= N$4))-ROW(DATABASE!$AV$14)+1,N$5)),"")</f>
        <v/>
      </c>
      <c r="O50" s="116">
        <f t="array" ref="O50">IFERROR(_xlfn.SINGLE(INDEX(DATABASE!$AV$14:$BC$968,SUMPRODUCT((ROW(DATABASE!$AV$14:$AV$968)) * (DATABASE!$AV$14:BH$968='Résultats Projection'!$A50 ) * (DATABASE!$AW$14:$AW$968= O$4))-ROW(DATABASE!$AV$14)+1,O$5)),"")</f>
        <v/>
      </c>
      <c r="P50" s="116">
        <f t="array" ref="P50">IFERROR(_xlfn.SINGLE(INDEX(DATABASE!$AV$14:$BC$968,SUMPRODUCT((ROW(DATABASE!$AV$14:$AV$968)) * (DATABASE!$AV$14:BI$968='Résultats Projection'!$A50 ) * (DATABASE!$AW$14:$AW$968= P$4))-ROW(DATABASE!$AV$14)+1,P$5)),"")</f>
        <v/>
      </c>
      <c r="Q50" s="116">
        <f t="array" ref="Q50">IFERROR(_xlfn.SINGLE(INDEX(DATABASE!$AV$14:$BC$968,SUMPRODUCT((ROW(DATABASE!$AV$14:$AV$968)) * (DATABASE!$AV$14:BJ$968='Résultats Projection'!$A50 ) * (DATABASE!$AW$14:$AW$968= Q$4))-ROW(DATABASE!$AV$14)+1,Q$5)),"")</f>
        <v/>
      </c>
      <c r="R50" s="116">
        <f t="array" ref="R50">IFERROR(_xlfn.SINGLE(INDEX(DATABASE!$AV$14:$BC$968,SUMPRODUCT((ROW(DATABASE!$AV$14:$AV$968)) * (DATABASE!$AV$14:BK$968='Résultats Projection'!$A50 ) * (DATABASE!$AW$14:$AW$968= R$4))-ROW(DATABASE!$AV$14)+1,R$5)),"")</f>
        <v/>
      </c>
      <c r="S50" s="116">
        <f t="array" ref="S50">IFERROR(_xlfn.SINGLE(INDEX(DATABASE!$AV$14:$BC$968,SUMPRODUCT((ROW(DATABASE!$AV$14:$AV$968)) * (DATABASE!$AV$14:BL$968='Résultats Projection'!$A50 ) * (DATABASE!$AW$14:$AW$968= S$4))-ROW(DATABASE!$AV$14)+1,S$5)),"")</f>
        <v/>
      </c>
      <c r="T50" s="116">
        <f t="array" ref="T50">IFERROR(_xlfn.SINGLE(INDEX(DATABASE!$AV$14:$BC$968,SUMPRODUCT((ROW(DATABASE!$AV$14:$AV$968)) * (DATABASE!$AV$14:BM$968='Résultats Projection'!$A50 ) * (DATABASE!$AW$14:$AW$968= T$4))-ROW(DATABASE!$AV$14)+1,T$5)),"")</f>
        <v/>
      </c>
      <c r="U50" s="116">
        <f t="array" ref="U50">IFERROR(_xlfn.SINGLE(INDEX(DATABASE!$AV$14:$BC$968,SUMPRODUCT((ROW(DATABASE!$AV$14:$AV$968)) * (DATABASE!$AV$14:BN$968='Résultats Projection'!$A50 ) * (DATABASE!$AW$14:$AW$968= U$4))-ROW(DATABASE!$AV$14)+1,U$5)),"")</f>
        <v/>
      </c>
      <c r="V50" s="116">
        <f t="array" ref="V50">IFERROR(_xlfn.SINGLE(INDEX(DATABASE!$AV$14:$BC$968,SUMPRODUCT((ROW(DATABASE!$AV$14:$AV$968)) * (DATABASE!$AV$14:BO$968='Résultats Projection'!$A50 ) * (DATABASE!$AW$14:$AW$968= V$4))-ROW(DATABASE!$AV$14)+1,V$5)),"")</f>
        <v/>
      </c>
      <c r="W50" s="116">
        <f t="array" ref="W50">IFERROR(_xlfn.SINGLE(INDEX(DATABASE!$AV$14:$BC$968,SUMPRODUCT((ROW(DATABASE!$AV$14:$AV$968)) * (DATABASE!$AV$14:BP$968='Résultats Projection'!$A50 ) * (DATABASE!$AW$14:$AW$968= W$4))-ROW(DATABASE!$AV$14)+1,W$5)),"")</f>
        <v/>
      </c>
      <c r="X50" s="116">
        <f t="array" ref="X50">IFERROR(_xlfn.SINGLE(INDEX(DATABASE!$AV$14:$BC$968,SUMPRODUCT((ROW(DATABASE!$AV$14:$AV$968)) * (DATABASE!$AV$14:BQ$968='Résultats Projection'!$A50 ) * (DATABASE!$AW$14:$AW$968= X$4))-ROW(DATABASE!$AV$14)+1,X$5)),"")</f>
        <v/>
      </c>
      <c r="Y50" s="116">
        <f t="array" ref="Y50">IFERROR(_xlfn.SINGLE(INDEX(DATABASE!$AV$14:$BC$968,SUMPRODUCT((ROW(DATABASE!$AV$14:$AV$968)) * (DATABASE!$AV$14:BR$968='Résultats Projection'!$A50 ) * (DATABASE!$AW$14:$AW$968= Y$4))-ROW(DATABASE!$AV$14)+1,Y$5)),"")</f>
        <v/>
      </c>
      <c r="Z50" s="116">
        <f t="array" ref="Z50">IFERROR(_xlfn.SINGLE(INDEX(DATABASE!$AV$14:$BC$968,SUMPRODUCT((ROW(DATABASE!$AV$14:$AV$968)) * (DATABASE!$AV$14:BS$968='Résultats Projection'!$A50 )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(DATABASE!$AV$14:BT$968='Résultats Projection'!$A50 )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(DATABASE!$AV$14:BU$968='Résultats Projection'!$A50 )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(DATABASE!$AV$14:BV$968='Résultats Projection'!$A50 )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(DATABASE!$AV$14:BW$968='Résultats Projection'!$A50 )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(DATABASE!$AV$14:BX$968='Résultats Projection'!$A50 )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(DATABASE!$AV$14:BY$968='Résultats Projection'!$A50 )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(DATABASE!$AV$14:BZ$968='Résultats Projection'!$A50 )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(DATABASE!$AV$14:CA$968='Résultats Projection'!$A50 )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(DATABASE!$AV$14:CB$968='Résultats Projection'!$A50 )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(DATABASE!$AV$14:CC$968='Résultats Projection'!$A50 )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(DATABASE!$AV$14:CD$968='Résultats Projection'!$A50 )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(DATABASE!$AV$14:CE$968='Résultats Projection'!$A50 )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(DATABASE!$AV$14:CF$968='Résultats Projection'!$A50 )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(DATABASE!$AV$14:CG$968='Résultats Projection'!$A50 )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(DATABASE!$AV$14:CH$968='Résultats Projection'!$A50 )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(DATABASE!$AV$14:CI$968='Résultats Projection'!$A50 )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(DATABASE!$AV$14:CJ$968='Résultats Projection'!$A50 )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(DATABASE!$AV$14:CK$968='Résultats Projection'!$A50 )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(DATABASE!$AV$14:CL$968='Résultats Projection'!$A50 )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(DATABASE!$AV$14:CM$968='Résultats Projection'!$A50 )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(DATABASE!$AV$14:CN$968='Résultats Projection'!$A50 )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(DATABASE!$AV$14:CO$968='Résultats Projection'!$A50 )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(DATABASE!$AV$14:CP$968='Résultats Projection'!$A50 )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(DATABASE!$AV$14:CQ$968='Résultats Projection'!$A50 )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(DATABASE!$AV$14:CR$968='Résultats Projection'!$A50 )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(DATABASE!$AV$14:CS$968='Résultats Projection'!$A50 )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(DATABASE!$AV$14:CT$968='Résultats Projection'!$A50 )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(DATABASE!$AV$14:CU$968='Résultats Projection'!$A50 )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(DATABASE!$AV$14:CV$968='Résultats Projection'!$A50 )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(DATABASE!$AV$14:CW$968='Résultats Projection'!$A50 )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(DATABASE!$AV$14:CX$968='Résultats Projection'!$A50 )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(DATABASE!$AV$14:CY$968='Résultats Projection'!$A50 )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(DATABASE!$AV$14:CZ$968='Résultats Projection'!$A50 )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(DATABASE!$AV$14:DA$968='Résultats Projection'!$A50 )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(DATABASE!$AV$14:DB$968='Résultats Projection'!$A50 )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(DATABASE!$AV$14:DC$968='Résultats Projection'!$A50 )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B8:BD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I7:K7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euil8">
    <outlinePr summaryBelow="1" summaryRight="1"/>
    <pageSetUpPr/>
  </sheetPr>
  <dimension ref="A1:BC854"/>
  <sheetViews>
    <sheetView topLeftCell="AB1" zoomScale="70" zoomScaleNormal="70" workbookViewId="0">
      <selection activeCell="AH42" sqref="AH42"/>
    </sheetView>
  </sheetViews>
  <sheetFormatPr baseColWidth="10" defaultRowHeight="12.75"/>
  <cols>
    <col hidden="1" width="11.42578125" customWidth="1" style="144" min="1" max="27"/>
    <col width="11.42578125" customWidth="1" style="61" min="28" max="28"/>
    <col width="15.5703125" customWidth="1" style="143" min="29" max="29"/>
    <col width="16.85546875" customWidth="1" style="144" min="30" max="30"/>
    <col width="14.7109375" customWidth="1" style="145" min="31" max="31"/>
    <col width="16.85546875" bestFit="1" customWidth="1" style="145" min="32" max="32"/>
    <col width="11.7109375" bestFit="1" customWidth="1" style="145" min="33" max="33"/>
    <col width="8.140625" customWidth="1" style="144" min="34" max="34"/>
    <col width="11.5703125" bestFit="1" customWidth="1" style="144" min="35" max="35"/>
    <col width="9.7109375" customWidth="1" style="143" min="36" max="36"/>
    <col width="5.42578125" customWidth="1" style="144" min="37" max="37"/>
    <col outlineLevel="2" width="17" customWidth="1" style="50" min="38" max="38"/>
    <col outlineLevel="2" width="15.42578125" customWidth="1" style="50" min="39" max="39"/>
    <col outlineLevel="2" width="15.5703125" customWidth="1" style="51" min="40" max="40"/>
    <col outlineLevel="2" width="13.42578125" customWidth="1" style="51" min="41" max="41"/>
    <col outlineLevel="2" width="13.42578125" customWidth="1" style="138" min="42" max="42"/>
    <col outlineLevel="2" width="16.5703125" customWidth="1" style="138" min="43" max="44"/>
    <col outlineLevel="1" width="11.42578125" customWidth="1" style="144" min="45" max="45"/>
    <col outlineLevel="1" width="12.5703125" customWidth="1" style="144" min="46" max="46"/>
    <col outlineLevel="1" width="13.7109375" customWidth="1" style="144" min="47" max="47"/>
    <col outlineLevel="1" width="14.85546875" customWidth="1" style="144" min="48" max="48"/>
    <col outlineLevel="1" width="18.5703125" customWidth="1" style="138" min="49" max="52"/>
    <col outlineLevel="1" width="15.140625" customWidth="1" style="138" min="53" max="55"/>
    <col outlineLevel="1" width="11.42578125" customWidth="1" style="143" min="56" max="56"/>
    <col outlineLevel="1" width="12.140625" customWidth="1" style="145" min="57" max="57"/>
    <col width="12.5703125" bestFit="1" customWidth="1" style="145" min="58" max="58"/>
    <col width="11.42578125" customWidth="1" style="145" min="59" max="59"/>
  </cols>
  <sheetData>
    <row r="1" ht="18.75" customHeight="1" s="144" thickBot="1">
      <c r="A1" s="163" t="n"/>
      <c r="B1" s="163" t="n"/>
      <c r="C1" s="163" t="n"/>
      <c r="D1" s="163" t="n"/>
      <c r="E1" s="163" t="n"/>
      <c r="F1" s="163" t="n"/>
      <c r="G1" s="163" t="n"/>
      <c r="H1" s="163" t="n"/>
      <c r="I1" s="163" t="n"/>
      <c r="J1" s="163" t="n"/>
      <c r="K1" s="163" t="n"/>
      <c r="L1" s="163" t="n"/>
      <c r="M1" s="163" t="n"/>
      <c r="N1" s="163" t="n"/>
      <c r="O1" s="163" t="n"/>
      <c r="P1" s="163" t="n"/>
      <c r="Q1" s="163" t="n"/>
      <c r="R1" s="163" t="n"/>
      <c r="S1" s="163" t="n"/>
      <c r="T1" s="163" t="n"/>
      <c r="U1" s="163" t="n"/>
      <c r="V1" s="163" t="n"/>
      <c r="W1" s="163" t="n"/>
      <c r="X1" s="163" t="n"/>
      <c r="Y1" s="163" t="n"/>
      <c r="Z1" s="163" t="n"/>
      <c r="AA1" s="163" t="n"/>
      <c r="AB1" s="164" t="inlineStr">
        <is>
          <t>BASE DONNEES MESURE</t>
        </is>
      </c>
      <c r="AC1" s="140" t="n"/>
      <c r="AD1" s="140" t="n"/>
      <c r="AE1" s="140" t="n"/>
      <c r="AF1" s="140" t="n"/>
      <c r="AG1" s="140" t="n"/>
      <c r="AH1" s="140" t="n"/>
      <c r="AI1" s="140" t="n"/>
      <c r="AJ1" s="140" t="n"/>
      <c r="AK1" s="141" t="n"/>
      <c r="AQ1" s="149" t="inlineStr">
        <is>
          <t>axe GCR GCR</t>
        </is>
      </c>
      <c r="AR1" s="150" t="n"/>
      <c r="AT1" s="50">
        <f>TODAY()</f>
        <v/>
      </c>
      <c r="AV1" s="137" t="inlineStr">
        <is>
          <t>DECALAGE</t>
        </is>
      </c>
      <c r="AX1" s="137" t="inlineStr">
        <is>
          <t xml:space="preserve">PM </t>
        </is>
      </c>
      <c r="AY1" s="53" t="n">
        <v>0</v>
      </c>
    </row>
    <row r="2" ht="13.5" customHeight="1" s="144" thickBot="1">
      <c r="A2" s="163" t="n"/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3" t="n"/>
      <c r="L2" s="163" t="n"/>
      <c r="M2" s="163" t="n"/>
      <c r="N2" s="163" t="n"/>
      <c r="O2" s="163" t="n"/>
      <c r="P2" s="163" t="n"/>
      <c r="Q2" s="163" t="n"/>
      <c r="R2" s="163" t="n"/>
      <c r="S2" s="163" t="n"/>
      <c r="T2" s="163" t="n"/>
      <c r="U2" s="163" t="n"/>
      <c r="V2" s="163" t="n"/>
      <c r="W2" s="163" t="n"/>
      <c r="X2" s="163" t="n"/>
      <c r="Y2" s="163" t="n"/>
      <c r="Z2" s="163" t="n"/>
      <c r="AA2" s="163" t="n"/>
      <c r="AB2" s="142" t="n"/>
      <c r="AK2" s="146" t="n"/>
      <c r="AN2" s="56" t="inlineStr">
        <is>
          <t>X,Y début droite</t>
        </is>
      </c>
      <c r="AO2" s="57" t="n"/>
      <c r="AQ2" s="149" t="inlineStr">
        <is>
          <t>carrefour</t>
        </is>
      </c>
      <c r="AR2" s="150" t="n"/>
    </row>
    <row r="3" ht="12.75" customHeight="1" s="144">
      <c r="A3" s="163" t="n"/>
      <c r="B3" s="163" t="n"/>
      <c r="C3" s="163" t="n"/>
      <c r="D3" s="163" t="n"/>
      <c r="E3" s="163" t="n"/>
      <c r="F3" s="163" t="n"/>
      <c r="G3" s="163" t="n"/>
      <c r="H3" s="163" t="n"/>
      <c r="I3" s="163" t="n"/>
      <c r="J3" s="163" t="n"/>
      <c r="K3" s="163" t="n"/>
      <c r="L3" s="163" t="n"/>
      <c r="M3" s="163" t="n"/>
      <c r="N3" s="163" t="n"/>
      <c r="O3" s="163" t="n"/>
      <c r="P3" s="163" t="n"/>
      <c r="Q3" s="163" t="n"/>
      <c r="R3" s="163" t="n"/>
      <c r="S3" s="163" t="n"/>
      <c r="T3" s="163" t="n"/>
      <c r="U3" s="163" t="n"/>
      <c r="V3" s="163" t="n"/>
      <c r="W3" s="163" t="n"/>
      <c r="X3" s="163" t="n"/>
      <c r="Y3" s="163" t="n"/>
      <c r="Z3" s="163" t="n"/>
      <c r="AA3" s="163" t="n"/>
      <c r="AB3" s="142" t="n"/>
      <c r="AK3" s="146" t="n"/>
      <c r="AN3" s="58" t="inlineStr">
        <is>
          <t>X</t>
        </is>
      </c>
      <c r="AO3" s="165">
        <f>AQ6</f>
        <v/>
      </c>
      <c r="AT3" s="50" t="n">
        <v>45281</v>
      </c>
    </row>
    <row r="4" ht="12.75" customHeight="1" s="144">
      <c r="A4" s="163" t="n"/>
      <c r="B4" s="163" t="n"/>
      <c r="C4" s="163" t="n"/>
      <c r="D4" s="163" t="n"/>
      <c r="E4" s="163" t="n"/>
      <c r="F4" s="163" t="n"/>
      <c r="G4" s="163" t="n"/>
      <c r="H4" s="163" t="n"/>
      <c r="I4" s="163" t="n"/>
      <c r="J4" s="163" t="n"/>
      <c r="K4" s="163" t="n"/>
      <c r="L4" s="163" t="n"/>
      <c r="M4" s="163" t="n"/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  <c r="AA4" s="163" t="n"/>
      <c r="AB4" s="142" t="n"/>
      <c r="AK4" s="146" t="n"/>
      <c r="AN4" s="60" t="inlineStr">
        <is>
          <t>Y</t>
        </is>
      </c>
      <c r="AO4" s="165">
        <f>AR6</f>
        <v/>
      </c>
      <c r="AV4" s="120" t="inlineStr">
        <is>
          <t>PM</t>
        </is>
      </c>
      <c r="AW4" s="149" t="inlineStr">
        <is>
          <t>deplacement parement (negatif : le parement vient sur nous)</t>
        </is>
      </c>
      <c r="AX4" s="151" t="n"/>
      <c r="AY4" s="150" t="n"/>
    </row>
    <row r="5" ht="15.75" customHeight="1" s="144" thickBot="1">
      <c r="A5" s="163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3" t="n"/>
      <c r="L5" s="163" t="n"/>
      <c r="M5" s="163" t="n"/>
      <c r="N5" s="163" t="n"/>
      <c r="O5" s="163" t="n"/>
      <c r="P5" s="163" t="n"/>
      <c r="Q5" s="163" t="n"/>
      <c r="R5" s="163" t="n"/>
      <c r="S5" s="163" t="n"/>
      <c r="T5" s="163" t="n"/>
      <c r="U5" s="163" t="n"/>
      <c r="V5" s="163" t="n"/>
      <c r="W5" s="163" t="n"/>
      <c r="X5" s="163" t="n"/>
      <c r="Y5" s="163" t="n"/>
      <c r="Z5" s="163" t="n"/>
      <c r="AA5" s="163" t="n"/>
      <c r="AB5" s="142" t="n"/>
      <c r="AK5" s="146" t="n"/>
      <c r="AN5" s="60" t="inlineStr">
        <is>
          <t>GIS</t>
        </is>
      </c>
      <c r="AO5" s="165">
        <f>AQ10</f>
        <v/>
      </c>
      <c r="AP5" s="4" t="n"/>
      <c r="AQ5" s="4" t="inlineStr">
        <is>
          <t>X</t>
        </is>
      </c>
      <c r="AR5" s="4" t="inlineStr">
        <is>
          <t>Y</t>
        </is>
      </c>
      <c r="AT5" s="61" t="n"/>
      <c r="AV5" s="120" t="inlineStr">
        <is>
          <t>H</t>
        </is>
      </c>
      <c r="AW5" s="149" t="inlineStr">
        <is>
          <t>deplacement latéral (gauche : GVA3 , droite : GVA2)</t>
        </is>
      </c>
      <c r="AX5" s="151" t="n"/>
      <c r="AY5" s="150" t="n"/>
    </row>
    <row r="6" ht="15.75" customHeight="1" s="144" thickBot="1">
      <c r="A6" s="163" t="n"/>
      <c r="B6" s="163" t="n"/>
      <c r="C6" s="163" t="n"/>
      <c r="D6" s="163" t="n"/>
      <c r="E6" s="163" t="n"/>
      <c r="F6" s="163" t="n"/>
      <c r="G6" s="163" t="n"/>
      <c r="H6" s="163" t="n"/>
      <c r="I6" s="163" t="n"/>
      <c r="J6" s="163" t="n"/>
      <c r="K6" s="163" t="n"/>
      <c r="L6" s="163" t="n"/>
      <c r="M6" s="163" t="n"/>
      <c r="N6" s="163" t="n"/>
      <c r="O6" s="163" t="n"/>
      <c r="P6" s="163" t="n"/>
      <c r="Q6" s="163" t="n"/>
      <c r="R6" s="163" t="n"/>
      <c r="S6" s="163" t="n"/>
      <c r="T6" s="163" t="n"/>
      <c r="U6" s="163" t="n"/>
      <c r="V6" s="163" t="n"/>
      <c r="W6" s="163" t="n"/>
      <c r="X6" s="163" t="n"/>
      <c r="Y6" s="163" t="n"/>
      <c r="Z6" s="163" t="n"/>
      <c r="AA6" s="163" t="n"/>
      <c r="AB6" s="142" t="n"/>
      <c r="AK6" s="146" t="n"/>
      <c r="AN6" s="62" t="inlineStr">
        <is>
          <t>Zo</t>
        </is>
      </c>
      <c r="AO6" s="63" t="n"/>
      <c r="AP6" s="4" t="inlineStr">
        <is>
          <t>origine</t>
        </is>
      </c>
      <c r="AQ6" s="166" t="n">
        <v>823216.6581</v>
      </c>
      <c r="AR6" s="167" t="n">
        <v>1091503.0821</v>
      </c>
      <c r="AT6" s="61" t="n"/>
      <c r="AV6" s="120" t="inlineStr">
        <is>
          <t>V</t>
        </is>
      </c>
      <c r="AW6" s="149" t="inlineStr">
        <is>
          <t>deplacement alti</t>
        </is>
      </c>
      <c r="AX6" s="151" t="n"/>
      <c r="AY6" s="150" t="n"/>
    </row>
    <row r="7" ht="15.75" customHeight="1" s="144" thickBot="1">
      <c r="A7" s="163" t="n"/>
      <c r="B7" s="163" t="n"/>
      <c r="C7" s="163" t="n"/>
      <c r="D7" s="163" t="n"/>
      <c r="E7" s="163" t="n"/>
      <c r="F7" s="163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163" t="n"/>
      <c r="AA7" s="163" t="n"/>
      <c r="AB7" s="147" t="n"/>
      <c r="AC7" s="128" t="n"/>
      <c r="AD7" s="128" t="n"/>
      <c r="AE7" s="128" t="n"/>
      <c r="AF7" s="128" t="n"/>
      <c r="AG7" s="128" t="n"/>
      <c r="AH7" s="128" t="n"/>
      <c r="AI7" s="128" t="n"/>
      <c r="AJ7" s="128" t="n"/>
      <c r="AK7" s="148" t="n"/>
      <c r="AN7" s="66" t="inlineStr">
        <is>
          <t>Pm début</t>
        </is>
      </c>
      <c r="AO7" s="67" t="n">
        <v>0</v>
      </c>
      <c r="AP7" s="4" t="inlineStr">
        <is>
          <t>arrivé</t>
        </is>
      </c>
      <c r="AQ7" s="68" t="n">
        <v>823258.92</v>
      </c>
      <c r="AR7" s="68" t="n">
        <v>1091412.4514</v>
      </c>
    </row>
    <row r="8">
      <c r="AI8" s="168" t="n"/>
      <c r="AJ8" s="168" t="n"/>
      <c r="AN8" s="70" t="inlineStr">
        <is>
          <t>Zo début</t>
        </is>
      </c>
      <c r="AO8" s="67" t="n">
        <v>-123.621</v>
      </c>
    </row>
    <row r="9" ht="18" customHeight="1" s="144">
      <c r="AD9" s="152" t="inlineStr">
        <is>
          <t>SAISIR CI-DESSOUS LES X Y Z</t>
        </is>
      </c>
      <c r="AH9" s="169" t="n"/>
      <c r="AN9" s="70" t="inlineStr">
        <is>
          <t>Pente</t>
        </is>
      </c>
      <c r="AO9" s="115" t="n">
        <v>0</v>
      </c>
      <c r="AQ9" s="72" t="inlineStr">
        <is>
          <t>Gisement (gon)</t>
        </is>
      </c>
      <c r="AR9" s="72" t="inlineStr">
        <is>
          <t>Dist.Horz</t>
        </is>
      </c>
    </row>
    <row r="10" ht="15.75" customHeight="1" s="144">
      <c r="AD10" s="73" t="n"/>
      <c r="AE10" s="74" t="n"/>
      <c r="AF10" s="74" t="n"/>
      <c r="AG10" s="75" t="n"/>
      <c r="AH10" s="169" t="n"/>
      <c r="AQ10" s="76">
        <f>IF(ATAN2(AR7-AR6,AQ7-AQ6)/PI()*200&gt;0,ATAN2(AR7-AR6,AQ7-AQ6)/PI()*200,400+ATAN2(AR7-AR6,AQ7-AQ6)/PI()*200)</f>
        <v/>
      </c>
      <c r="AR10" s="76">
        <f>SQRT((AR7-AR6)^2+(AQ7-AQ6)^2)</f>
        <v/>
      </c>
    </row>
    <row r="11" ht="14.25" customHeight="1" s="144" thickBot="1">
      <c r="AD11" s="77" t="n"/>
      <c r="AE11" s="74" t="n"/>
      <c r="AF11" s="74" t="n"/>
      <c r="AG11" s="74" t="n"/>
      <c r="AH11" s="169" t="n"/>
    </row>
    <row r="12" ht="18.75" customHeight="1" s="144" thickBot="1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9" t="inlineStr">
        <is>
          <t>DATE</t>
        </is>
      </c>
      <c r="AC12" s="80" t="inlineStr">
        <is>
          <t>NO</t>
        </is>
      </c>
      <c r="AD12" s="80" t="inlineStr">
        <is>
          <t>NO</t>
        </is>
      </c>
      <c r="AE12" s="81" t="inlineStr">
        <is>
          <t>X</t>
        </is>
      </c>
      <c r="AF12" s="81" t="inlineStr">
        <is>
          <t>Y</t>
        </is>
      </c>
      <c r="AG12" s="82" t="inlineStr">
        <is>
          <t>Z</t>
        </is>
      </c>
      <c r="AH12" s="83" t="n"/>
      <c r="AJ12" s="84" t="n"/>
      <c r="AL12" s="85" t="inlineStr">
        <is>
          <t>PM</t>
        </is>
      </c>
      <c r="AM12" s="86" t="inlineStr">
        <is>
          <t>H</t>
        </is>
      </c>
      <c r="AN12" s="86" t="inlineStr">
        <is>
          <t>V</t>
        </is>
      </c>
      <c r="AO12" s="87" t="inlineStr">
        <is>
          <t>Z0</t>
        </is>
      </c>
      <c r="AV12" s="80" t="inlineStr">
        <is>
          <t>DATE</t>
        </is>
      </c>
      <c r="AW12" s="88">
        <f>AC12</f>
        <v/>
      </c>
      <c r="AX12" s="88" t="inlineStr">
        <is>
          <t>X</t>
        </is>
      </c>
      <c r="AY12" s="88" t="inlineStr">
        <is>
          <t>Y</t>
        </is>
      </c>
      <c r="AZ12" s="88" t="inlineStr">
        <is>
          <t>Z</t>
        </is>
      </c>
      <c r="BA12" s="88" t="inlineStr">
        <is>
          <t>PM</t>
        </is>
      </c>
      <c r="BB12" s="88" t="inlineStr">
        <is>
          <t>H</t>
        </is>
      </c>
      <c r="BC12" s="88" t="inlineStr">
        <is>
          <t>V</t>
        </is>
      </c>
    </row>
    <row r="13" ht="15" customHeight="1" s="144">
      <c r="AB13" s="89" t="n"/>
      <c r="AC13" s="90" t="n"/>
      <c r="AD13" s="91" t="n"/>
      <c r="AE13" s="90" t="n"/>
      <c r="AF13" s="90" t="n"/>
      <c r="AG13" s="92" t="n"/>
      <c r="AL13" s="93" t="n"/>
      <c r="AM13" s="94" t="n"/>
      <c r="AN13" s="95" t="n"/>
      <c r="AO13" s="96" t="n"/>
      <c r="AV13" s="90" t="n"/>
      <c r="AW13" s="97" t="n"/>
      <c r="AX13" s="98" t="n"/>
      <c r="AY13" s="98" t="n"/>
      <c r="AZ13" s="98" t="n"/>
      <c r="BA13" s="98" t="n"/>
      <c r="BB13" s="98" t="n"/>
      <c r="BC13" s="99" t="n"/>
    </row>
    <row r="14" ht="15" customHeight="1" s="144">
      <c r="AB14" s="89" t="n">
        <v>45532</v>
      </c>
      <c r="AC14" s="104" t="inlineStr">
        <is>
          <t>V1</t>
        </is>
      </c>
      <c r="AD14" s="91" t="inlineStr">
        <is>
          <t>HA21.3.H</t>
        </is>
      </c>
      <c r="AE14" s="90" t="n">
        <v>823147.6488</v>
      </c>
      <c r="AF14" s="90" t="n">
        <v>1091710.0857</v>
      </c>
      <c r="AG14" s="92" t="n">
        <v>-121.5674</v>
      </c>
      <c r="AL14" s="93">
        <f>IF(ISNUMBER(AE14),COS(ATAN2(AF14-AO$4,AE14-AO$3)-(AO$5/200*PI()))*SQRT((AE14-AO$3)^2+(AF14-AO$4)^2),"-")</f>
        <v/>
      </c>
      <c r="AM14" s="94">
        <f>IF(ISNUMBER(AE14),SIN(ATAN2(AF14-AO$4,AE14-AO$3)-(AO$5/200*PI()))*SQRT((AE14-AO$3)^2+(AF14-AO$4)^2),"-")</f>
        <v/>
      </c>
      <c r="AN14" s="95">
        <f>IF(ISNUMBER(AL14),AG14-AO14,"-")</f>
        <v/>
      </c>
      <c r="AO14" s="96">
        <f>IF(ISNUMBER(AF14),((AL14-$AO$7)*AO$9)+AO$8,"-")</f>
        <v/>
      </c>
      <c r="AV14" s="89">
        <f>AB14</f>
        <v/>
      </c>
      <c r="AW14" s="100">
        <f>AC14</f>
        <v/>
      </c>
      <c r="AX14" s="170">
        <f>AE14</f>
        <v/>
      </c>
      <c r="AY14" s="170">
        <f>AF14</f>
        <v/>
      </c>
      <c r="AZ14" s="170">
        <f>AG14</f>
        <v/>
      </c>
      <c r="BA14" s="170">
        <f>AL14+$AY$1</f>
        <v/>
      </c>
      <c r="BB14" s="170">
        <f>AM14</f>
        <v/>
      </c>
      <c r="BC14" s="171">
        <f>AN14</f>
        <v/>
      </c>
    </row>
    <row r="15" ht="15" customHeight="1" s="144">
      <c r="AB15" s="89" t="n">
        <v>45532</v>
      </c>
      <c r="AC15" s="104" t="inlineStr">
        <is>
          <t>B</t>
        </is>
      </c>
      <c r="AD15" s="91" t="inlineStr">
        <is>
          <t>HA21.3.M</t>
        </is>
      </c>
      <c r="AE15" s="90" t="n">
        <v>823147.5852</v>
      </c>
      <c r="AF15" s="90" t="n">
        <v>1091710.2506</v>
      </c>
      <c r="AG15" s="92" t="n">
        <v>-121.9302</v>
      </c>
      <c r="AL15" s="93">
        <f>IF(ISNUMBER(AE15),COS(ATAN2(AF15-AO$4,AE15-AO$3)-(AO$5/200*PI()))*SQRT((AE15-AO$3)^2+(AF15-AO$4)^2),"-")</f>
        <v/>
      </c>
      <c r="AM15" s="94">
        <f>IF(ISNUMBER(AE15),SIN(ATAN2(AF15-AO$4,AE15-AO$3)-(AO$5/200*PI()))*SQRT((AE15-AO$3)^2+(AF15-AO$4)^2),"-")</f>
        <v/>
      </c>
      <c r="AN15" s="95">
        <f>IF(ISNUMBER(AL15),AG15-AO15,"-")</f>
        <v/>
      </c>
      <c r="AO15" s="96">
        <f>IF(ISNUMBER(AF15),((AL15-$AO$7)*AO$9)+AO$8,"-")</f>
        <v/>
      </c>
      <c r="AV15" s="89">
        <f>AB15</f>
        <v/>
      </c>
      <c r="AW15" s="100">
        <f>AC15</f>
        <v/>
      </c>
      <c r="AX15" s="170">
        <f>AE15</f>
        <v/>
      </c>
      <c r="AY15" s="170">
        <f>AF15</f>
        <v/>
      </c>
      <c r="AZ15" s="170">
        <f>AG15</f>
        <v/>
      </c>
      <c r="BA15" s="170">
        <f>AL15+$AY$1</f>
        <v/>
      </c>
      <c r="BB15" s="170">
        <f>AM15</f>
        <v/>
      </c>
      <c r="BC15" s="171">
        <f>AN15</f>
        <v/>
      </c>
    </row>
    <row r="16" ht="15" customHeight="1" s="144">
      <c r="AB16" s="89" t="n">
        <v>45532</v>
      </c>
      <c r="AC16" s="104" t="inlineStr">
        <is>
          <t>D</t>
        </is>
      </c>
      <c r="AD16" s="91" t="inlineStr">
        <is>
          <t>HA21.3.C</t>
        </is>
      </c>
      <c r="AE16" s="90" t="n">
        <v>823149.98985</v>
      </c>
      <c r="AF16" s="90" t="n">
        <v>1091705.0821</v>
      </c>
      <c r="AG16" s="92" t="n">
        <v>-121.7828</v>
      </c>
      <c r="AL16" s="93">
        <f>IF(ISNUMBER(AE16),COS(ATAN2(AF16-AO$4,AE16-AO$3)-(AO$5/200*PI()))*SQRT((AE16-AO$3)^2+(AF16-AO$4)^2),"-")</f>
        <v/>
      </c>
      <c r="AM16" s="94">
        <f>IF(ISNUMBER(AE16),SIN(ATAN2(AF16-AO$4,AE16-AO$3)-(AO$5/200*PI()))*SQRT((AE16-AO$3)^2+(AF16-AO$4)^2),"-")</f>
        <v/>
      </c>
      <c r="AN16" s="95">
        <f>IF(ISNUMBER(AL16),AG16-AO16,"-")</f>
        <v/>
      </c>
      <c r="AO16" s="96">
        <f>IF(ISNUMBER(AF16),((AL16-$AO$7)*AO$9)+AO$8,"-")</f>
        <v/>
      </c>
      <c r="AQ16" s="103" t="n"/>
      <c r="AV16" s="89">
        <f>AB16</f>
        <v/>
      </c>
      <c r="AW16" s="100">
        <f>AC16</f>
        <v/>
      </c>
      <c r="AX16" s="170">
        <f>AE16</f>
        <v/>
      </c>
      <c r="AY16" s="170">
        <f>AF16</f>
        <v/>
      </c>
      <c r="AZ16" s="170">
        <f>AG16</f>
        <v/>
      </c>
      <c r="BA16" s="170">
        <f>AL16+$AY$1</f>
        <v/>
      </c>
      <c r="BB16" s="170">
        <f>AM16</f>
        <v/>
      </c>
      <c r="BC16" s="171">
        <f>AN16</f>
        <v/>
      </c>
    </row>
    <row r="17" ht="15" customHeight="1" s="144">
      <c r="AB17" s="89" t="n">
        <v>45532</v>
      </c>
      <c r="AC17" s="104" t="inlineStr">
        <is>
          <t>A</t>
        </is>
      </c>
      <c r="AD17" s="91" t="inlineStr">
        <is>
          <t>HA.HA21.3.1</t>
        </is>
      </c>
      <c r="AE17" s="90" t="n">
        <v>823147.6488</v>
      </c>
      <c r="AF17" s="90" t="n">
        <v>1091710.085</v>
      </c>
      <c r="AG17" s="92" t="n">
        <v>-121.5693</v>
      </c>
      <c r="AL17" s="93">
        <f>IF(ISNUMBER(AE17),COS(ATAN2(AF17-AO$4,AE17-AO$3)-(AO$5/200*PI()))*SQRT((AE17-AO$3)^2+(AF17-AO$4)^2),"-")</f>
        <v/>
      </c>
      <c r="AM17" s="94">
        <f>IF(ISNUMBER(AE17),SIN(ATAN2(AF17-AO$4,AE17-AO$3)-(AO$5/200*PI()))*SQRT((AE17-AO$3)^2+(AF17-AO$4)^2),"-")</f>
        <v/>
      </c>
      <c r="AN17" s="95">
        <f>IF(ISNUMBER(AL17),AG17-AO17,"-")</f>
        <v/>
      </c>
      <c r="AO17" s="96">
        <f>IF(ISNUMBER(AF17),((AL17-$AO$7)*AO$9)+AO$8,"-")</f>
        <v/>
      </c>
      <c r="AQ17" s="103" t="n"/>
      <c r="AV17" s="89">
        <f>AB17</f>
        <v/>
      </c>
      <c r="AW17" s="100">
        <f>AC17</f>
        <v/>
      </c>
      <c r="AX17" s="170">
        <f>AE17</f>
        <v/>
      </c>
      <c r="AY17" s="170">
        <f>AF17</f>
        <v/>
      </c>
      <c r="AZ17" s="170">
        <f>AG17</f>
        <v/>
      </c>
      <c r="BA17" s="170">
        <f>AL17+$AY$1</f>
        <v/>
      </c>
      <c r="BB17" s="170">
        <f>AM17</f>
        <v/>
      </c>
      <c r="BC17" s="171">
        <f>AN17</f>
        <v/>
      </c>
    </row>
    <row r="18" ht="15" customHeight="1" s="144">
      <c r="AB18" s="89" t="n">
        <v>45532</v>
      </c>
      <c r="AC18" s="104" t="inlineStr">
        <is>
          <t>B</t>
        </is>
      </c>
      <c r="AD18" s="91" t="inlineStr">
        <is>
          <t>HA.HA21.3.2</t>
        </is>
      </c>
      <c r="AE18" s="90" t="n">
        <v>823147.5902</v>
      </c>
      <c r="AF18" s="90" t="n">
        <v>1091710.2519</v>
      </c>
      <c r="AG18" s="92" t="n">
        <v>-121.9072</v>
      </c>
      <c r="AL18" s="93">
        <f>IF(ISNUMBER(AE18),COS(ATAN2(AF18-AO$4,AE18-AO$3)-(AO$5/200*PI()))*SQRT((AE18-AO$3)^2+(AF18-AO$4)^2),"-")</f>
        <v/>
      </c>
      <c r="AM18" s="94">
        <f>IF(ISNUMBER(AE18),SIN(ATAN2(AF18-AO$4,AE18-AO$3)-(AO$5/200*PI()))*SQRT((AE18-AO$3)^2+(AF18-AO$4)^2),"-")</f>
        <v/>
      </c>
      <c r="AN18" s="95">
        <f>IF(ISNUMBER(AL18),AG18-AO18,"-")</f>
        <v/>
      </c>
      <c r="AO18" s="96">
        <f>IF(ISNUMBER(AF18),((AL18-$AO$7)*AO$9)+AO$8,"-")</f>
        <v/>
      </c>
      <c r="AQ18" s="103" t="n"/>
      <c r="AV18" s="89">
        <f>AB18</f>
        <v/>
      </c>
      <c r="AW18" s="100">
        <f>AC18</f>
        <v/>
      </c>
      <c r="AX18" s="170">
        <f>AE18</f>
        <v/>
      </c>
      <c r="AY18" s="170">
        <f>AF18</f>
        <v/>
      </c>
      <c r="AZ18" s="170">
        <f>AG18</f>
        <v/>
      </c>
      <c r="BA18" s="170">
        <f>AL18+$AY$1</f>
        <v/>
      </c>
      <c r="BB18" s="170">
        <f>AM18</f>
        <v/>
      </c>
      <c r="BC18" s="171">
        <f>AN18</f>
        <v/>
      </c>
    </row>
    <row r="19" ht="15" customHeight="1" s="144">
      <c r="AB19" s="89" t="n">
        <v>45532</v>
      </c>
      <c r="AC19" s="104" t="inlineStr">
        <is>
          <t>D</t>
        </is>
      </c>
      <c r="AD19" s="91" t="inlineStr">
        <is>
          <t>HA.HA21.3.3</t>
        </is>
      </c>
      <c r="AE19" s="90" t="n">
        <v>823149.9893</v>
      </c>
      <c r="AF19" s="90" t="n">
        <v>1091705.0819</v>
      </c>
      <c r="AG19" s="92" t="n">
        <v>-121.7829</v>
      </c>
      <c r="AL19" s="93">
        <f>IF(ISNUMBER(AE19),COS(ATAN2(AF19-AO$4,AE19-AO$3)-(AO$5/200*PI()))*SQRT((AE19-AO$3)^2+(AF19-AO$4)^2),"-")</f>
        <v/>
      </c>
      <c r="AM19" s="94">
        <f>IF(ISNUMBER(AE19),SIN(ATAN2(AF19-AO$4,AE19-AO$3)-(AO$5/200*PI()))*SQRT((AE19-AO$3)^2+(AF19-AO$4)^2),"-")</f>
        <v/>
      </c>
      <c r="AN19" s="95">
        <f>IF(ISNUMBER(AL19),AG19-AO19,"-")</f>
        <v/>
      </c>
      <c r="AO19" s="96">
        <f>IF(ISNUMBER(AF19),((AL19-$AO$7)*AO$9)+AO$8,"-")</f>
        <v/>
      </c>
      <c r="AQ19" s="103" t="n"/>
      <c r="AV19" s="89">
        <f>AB19</f>
        <v/>
      </c>
      <c r="AW19" s="100">
        <f>AC19</f>
        <v/>
      </c>
      <c r="AX19" s="170">
        <f>AE19</f>
        <v/>
      </c>
      <c r="AY19" s="170">
        <f>AF19</f>
        <v/>
      </c>
      <c r="AZ19" s="170">
        <f>AG19</f>
        <v/>
      </c>
      <c r="BA19" s="170">
        <f>AL19+$AY$1</f>
        <v/>
      </c>
      <c r="BB19" s="170">
        <f>AM19</f>
        <v/>
      </c>
      <c r="BC19" s="171">
        <f>AN19</f>
        <v/>
      </c>
    </row>
    <row r="20" ht="15" customHeight="1" s="144">
      <c r="AB20" s="89" t="n">
        <v>45532</v>
      </c>
      <c r="AC20" s="104" t="inlineStr">
        <is>
          <t>A</t>
        </is>
      </c>
      <c r="AD20" s="91" t="inlineStr">
        <is>
          <t>HA21.3.01</t>
        </is>
      </c>
      <c r="AE20" s="90" t="n">
        <v>823147.6495000001</v>
      </c>
      <c r="AF20" s="90" t="n">
        <v>1091710.0851</v>
      </c>
      <c r="AG20" s="92" t="n">
        <v>-121.5695</v>
      </c>
      <c r="AL20" s="93">
        <f>IF(ISNUMBER(AE20),COS(ATAN2(AF20-AO$4,AE20-AO$3)-(AO$5/200*PI()))*SQRT((AE20-AO$3)^2+(AF20-AO$4)^2),"-")</f>
        <v/>
      </c>
      <c r="AM20" s="94">
        <f>IF(ISNUMBER(AE20),SIN(ATAN2(AF20-AO$4,AE20-AO$3)-(AO$5/200*PI()))*SQRT((AE20-AO$3)^2+(AF20-AO$4)^2),"-")</f>
        <v/>
      </c>
      <c r="AN20" s="95">
        <f>IF(ISNUMBER(AL20),AG20-AO20,"-")</f>
        <v/>
      </c>
      <c r="AO20" s="96">
        <f>IF(ISNUMBER(AF20),((AL20-$AO$7)*AO$9)+AO$8,"-")</f>
        <v/>
      </c>
      <c r="AQ20" s="103" t="n"/>
      <c r="AV20" s="89">
        <f>AB20</f>
        <v/>
      </c>
      <c r="AW20" s="100">
        <f>AC20</f>
        <v/>
      </c>
      <c r="AX20" s="170">
        <f>AE20</f>
        <v/>
      </c>
      <c r="AY20" s="170">
        <f>AF20</f>
        <v/>
      </c>
      <c r="AZ20" s="170">
        <f>AG20</f>
        <v/>
      </c>
      <c r="BA20" s="170">
        <f>AL20+$AY$1</f>
        <v/>
      </c>
      <c r="BB20" s="170">
        <f>AM20</f>
        <v/>
      </c>
      <c r="BC20" s="171">
        <f>AN20</f>
        <v/>
      </c>
    </row>
    <row r="21" ht="15" customHeight="1" s="144">
      <c r="AB21" s="89" t="n">
        <v>45532</v>
      </c>
      <c r="AC21" s="104" t="inlineStr">
        <is>
          <t>D</t>
        </is>
      </c>
      <c r="AD21" s="91" t="inlineStr">
        <is>
          <t>HA21.3.03</t>
        </is>
      </c>
      <c r="AE21" s="90" t="n">
        <v>823149.9898</v>
      </c>
      <c r="AF21" s="90" t="n">
        <v>1091705.082</v>
      </c>
      <c r="AG21" s="92" t="n">
        <v>-121.7828</v>
      </c>
      <c r="AL21" s="93">
        <f>IF(ISNUMBER(AE21),COS(ATAN2(AF21-AO$4,AE21-AO$3)-(AO$5/200*PI()))*SQRT((AE21-AO$3)^2+(AF21-AO$4)^2),"-")</f>
        <v/>
      </c>
      <c r="AM21" s="94">
        <f>IF(ISNUMBER(AE21),SIN(ATAN2(AF21-AO$4,AE21-AO$3)-(AO$5/200*PI()))*SQRT((AE21-AO$3)^2+(AF21-AO$4)^2),"-")</f>
        <v/>
      </c>
      <c r="AN21" s="95">
        <f>IF(ISNUMBER(AL21),AG21-AO21,"-")</f>
        <v/>
      </c>
      <c r="AO21" s="96">
        <f>IF(ISNUMBER(AF21),((AL21-$AO$7)*AO$9)+AO$8,"-")</f>
        <v/>
      </c>
      <c r="AQ21" s="103" t="n"/>
      <c r="AV21" s="89">
        <f>AB21</f>
        <v/>
      </c>
      <c r="AW21" s="100">
        <f>AC21</f>
        <v/>
      </c>
      <c r="AX21" s="170">
        <f>AE21</f>
        <v/>
      </c>
      <c r="AY21" s="170">
        <f>AF21</f>
        <v/>
      </c>
      <c r="AZ21" s="170">
        <f>AG21</f>
        <v/>
      </c>
      <c r="BA21" s="170">
        <f>AL21+$AY$1</f>
        <v/>
      </c>
      <c r="BB21" s="170">
        <f>AM21</f>
        <v/>
      </c>
      <c r="BC21" s="171">
        <f>AN21</f>
        <v/>
      </c>
    </row>
    <row r="22" ht="15" customHeight="1" s="144">
      <c r="AB22" s="89" t="n">
        <v>45532</v>
      </c>
      <c r="AC22" s="104" t="inlineStr">
        <is>
          <t>A</t>
        </is>
      </c>
      <c r="AD22" s="91" t="inlineStr">
        <is>
          <t>HA21.3.01</t>
        </is>
      </c>
      <c r="AE22" s="90" t="n">
        <v>823147.6489</v>
      </c>
      <c r="AF22" s="90" t="n">
        <v>1091710.085</v>
      </c>
      <c r="AG22" s="92" t="n">
        <v>-121.5697</v>
      </c>
      <c r="AL22" s="93">
        <f>IF(ISNUMBER(AE22),COS(ATAN2(AF22-AO$4,AE22-AO$3)-(AO$5/200*PI()))*SQRT((AE22-AO$3)^2+(AF22-AO$4)^2),"-")</f>
        <v/>
      </c>
      <c r="AM22" s="94">
        <f>IF(ISNUMBER(AE22),SIN(ATAN2(AF22-AO$4,AE22-AO$3)-(AO$5/200*PI()))*SQRT((AE22-AO$3)^2+(AF22-AO$4)^2),"-")</f>
        <v/>
      </c>
      <c r="AN22" s="95">
        <f>IF(ISNUMBER(AL22),AG22-AO22,"-")</f>
        <v/>
      </c>
      <c r="AO22" s="96">
        <f>IF(ISNUMBER(AF22),((AL22-$AO$7)*AO$9)+AO$8,"-")</f>
        <v/>
      </c>
      <c r="AQ22" s="103" t="n"/>
      <c r="AV22" s="89">
        <f>AB22</f>
        <v/>
      </c>
      <c r="AW22" s="100">
        <f>AC22</f>
        <v/>
      </c>
      <c r="AX22" s="170">
        <f>AE22</f>
        <v/>
      </c>
      <c r="AY22" s="170">
        <f>AF22</f>
        <v/>
      </c>
      <c r="AZ22" s="170">
        <f>AG22</f>
        <v/>
      </c>
      <c r="BA22" s="170">
        <f>AL22+$AY$1</f>
        <v/>
      </c>
      <c r="BB22" s="170">
        <f>AM22</f>
        <v/>
      </c>
      <c r="BC22" s="171">
        <f>AN22</f>
        <v/>
      </c>
    </row>
    <row r="23" ht="15" customHeight="1" s="144">
      <c r="AB23" s="89" t="n">
        <v>45532</v>
      </c>
      <c r="AC23" s="104" t="inlineStr">
        <is>
          <t>B</t>
        </is>
      </c>
      <c r="AD23" s="91" t="inlineStr">
        <is>
          <t>HA21.3.02</t>
        </is>
      </c>
      <c r="AE23" s="90" t="n">
        <v>823147.5903</v>
      </c>
      <c r="AF23" s="90" t="n">
        <v>1091710.2528</v>
      </c>
      <c r="AG23" s="92" t="n">
        <v>-121.9075</v>
      </c>
      <c r="AL23" s="93">
        <f>IF(ISNUMBER(AE23),COS(ATAN2(AF23-AO$4,AE23-AO$3)-(AO$5/200*PI()))*SQRT((AE23-AO$3)^2+(AF23-AO$4)^2),"-")</f>
        <v/>
      </c>
      <c r="AM23" s="94">
        <f>IF(ISNUMBER(AE23),SIN(ATAN2(AF23-AO$4,AE23-AO$3)-(AO$5/200*PI()))*SQRT((AE23-AO$3)^2+(AF23-AO$4)^2),"-")</f>
        <v/>
      </c>
      <c r="AN23" s="95">
        <f>IF(ISNUMBER(AL23),AG23-AO23,"-")</f>
        <v/>
      </c>
      <c r="AO23" s="96">
        <f>IF(ISNUMBER(AF23),((AL23-$AO$7)*AO$9)+AO$8,"-")</f>
        <v/>
      </c>
      <c r="AQ23" s="103" t="n"/>
      <c r="AV23" s="89">
        <f>AB23</f>
        <v/>
      </c>
      <c r="AW23" s="100">
        <f>AC23</f>
        <v/>
      </c>
      <c r="AX23" s="170">
        <f>AE23</f>
        <v/>
      </c>
      <c r="AY23" s="170">
        <f>AF23</f>
        <v/>
      </c>
      <c r="AZ23" s="170">
        <f>AG23</f>
        <v/>
      </c>
      <c r="BA23" s="170">
        <f>AL23+$AY$1</f>
        <v/>
      </c>
      <c r="BB23" s="170">
        <f>AM23</f>
        <v/>
      </c>
      <c r="BC23" s="171">
        <f>AN23</f>
        <v/>
      </c>
    </row>
    <row r="24" ht="15" customHeight="1" s="144">
      <c r="AB24" s="89" t="n">
        <v>45532</v>
      </c>
      <c r="AC24" s="104" t="inlineStr">
        <is>
          <t>D</t>
        </is>
      </c>
      <c r="AD24" s="91" t="inlineStr">
        <is>
          <t>HA21.3.03</t>
        </is>
      </c>
      <c r="AE24" s="90" t="n">
        <v>823149.9889999999</v>
      </c>
      <c r="AF24" s="90" t="n">
        <v>1091705.0823</v>
      </c>
      <c r="AG24" s="92" t="n">
        <v>-121.7827</v>
      </c>
      <c r="AL24" s="93">
        <f>IF(ISNUMBER(AE24),COS(ATAN2(AF24-AO$4,AE24-AO$3)-(AO$5/200*PI()))*SQRT((AE24-AO$3)^2+(AF24-AO$4)^2),"-")</f>
        <v/>
      </c>
      <c r="AM24" s="94">
        <f>IF(ISNUMBER(AE24),SIN(ATAN2(AF24-AO$4,AE24-AO$3)-(AO$5/200*PI()))*SQRT((AE24-AO$3)^2+(AF24-AO$4)^2),"-")</f>
        <v/>
      </c>
      <c r="AN24" s="95">
        <f>IF(ISNUMBER(AL24),AG24-AO24,"-")</f>
        <v/>
      </c>
      <c r="AO24" s="96">
        <f>IF(ISNUMBER(AF24),((AL24-$AO$7)*AO$9)+AO$8,"-")</f>
        <v/>
      </c>
      <c r="AQ24" s="103" t="n"/>
      <c r="AV24" s="89">
        <f>AB24</f>
        <v/>
      </c>
      <c r="AW24" s="100">
        <f>AC24</f>
        <v/>
      </c>
      <c r="AX24" s="170">
        <f>AE24</f>
        <v/>
      </c>
      <c r="AY24" s="170">
        <f>AF24</f>
        <v/>
      </c>
      <c r="AZ24" s="170">
        <f>AG24</f>
        <v/>
      </c>
      <c r="BA24" s="170">
        <f>AL24+$AY$1</f>
        <v/>
      </c>
      <c r="BB24" s="170">
        <f>AM24</f>
        <v/>
      </c>
      <c r="BC24" s="171">
        <f>AN24</f>
        <v/>
      </c>
    </row>
    <row r="25" ht="15" customHeight="1" s="144">
      <c r="AB25" s="89" t="n">
        <v>45532</v>
      </c>
      <c r="AC25" s="104" t="inlineStr">
        <is>
          <t>C</t>
        </is>
      </c>
      <c r="AD25" s="91" t="inlineStr">
        <is>
          <t>HA21.3.04</t>
        </is>
      </c>
      <c r="AE25" s="90" t="n">
        <v>823147.5684</v>
      </c>
      <c r="AF25" s="90" t="n">
        <v>1091710.4223</v>
      </c>
      <c r="AG25" s="92" t="n">
        <v>-122.4346</v>
      </c>
      <c r="AL25" s="93">
        <f>IF(ISNUMBER(AE25),COS(ATAN2(AF25-AO$4,AE25-AO$3)-(AO$5/200*PI()))*SQRT((AE25-AO$3)^2+(AF25-AO$4)^2),"-")</f>
        <v/>
      </c>
      <c r="AM25" s="94">
        <f>IF(ISNUMBER(AE25),SIN(ATAN2(AF25-AO$4,AE25-AO$3)-(AO$5/200*PI()))*SQRT((AE25-AO$3)^2+(AF25-AO$4)^2),"-")</f>
        <v/>
      </c>
      <c r="AN25" s="95">
        <f>IF(ISNUMBER(AL25),AG25-AO25,"-")</f>
        <v/>
      </c>
      <c r="AO25" s="96">
        <f>IF(ISNUMBER(AF25),((AL25-$AO$7)*AO$9)+AO$8,"-")</f>
        <v/>
      </c>
      <c r="AQ25" s="103" t="n"/>
      <c r="AV25" s="89">
        <f>AB25</f>
        <v/>
      </c>
      <c r="AW25" s="100">
        <f>AC25</f>
        <v/>
      </c>
      <c r="AX25" s="170">
        <f>AE25</f>
        <v/>
      </c>
      <c r="AY25" s="170">
        <f>AF25</f>
        <v/>
      </c>
      <c r="AZ25" s="170">
        <f>AG25</f>
        <v/>
      </c>
      <c r="BA25" s="170">
        <f>AL25+$AY$1</f>
        <v/>
      </c>
      <c r="BB25" s="170">
        <f>AM25</f>
        <v/>
      </c>
      <c r="BC25" s="171">
        <f>AN25</f>
        <v/>
      </c>
    </row>
    <row r="26" ht="15" customHeight="1" s="144">
      <c r="AB26" s="89" t="n">
        <v>45532</v>
      </c>
      <c r="AC26" s="104" t="inlineStr">
        <is>
          <t>A</t>
        </is>
      </c>
      <c r="AD26" s="91" t="inlineStr">
        <is>
          <t>HA21.3.1</t>
        </is>
      </c>
      <c r="AE26" s="90" t="n">
        <v>823147.6493</v>
      </c>
      <c r="AF26" s="90" t="n">
        <v>1091710.0849</v>
      </c>
      <c r="AG26" s="92" t="n">
        <v>-121.5695</v>
      </c>
      <c r="AL26" s="93">
        <f>IF(ISNUMBER(AE26),COS(ATAN2(AF26-AO$4,AE26-AO$3)-(AO$5/200*PI()))*SQRT((AE26-AO$3)^2+(AF26-AO$4)^2),"-")</f>
        <v/>
      </c>
      <c r="AM26" s="94">
        <f>IF(ISNUMBER(AE26),SIN(ATAN2(AF26-AO$4,AE26-AO$3)-(AO$5/200*PI()))*SQRT((AE26-AO$3)^2+(AF26-AO$4)^2),"-")</f>
        <v/>
      </c>
      <c r="AN26" s="95">
        <f>IF(ISNUMBER(AL26),AG26-AO26,"-")</f>
        <v/>
      </c>
      <c r="AO26" s="96">
        <f>IF(ISNUMBER(AF26),((AL26-$AO$7)*AO$9)+AO$8,"-")</f>
        <v/>
      </c>
      <c r="AQ26" s="103" t="n"/>
      <c r="AV26" s="89">
        <f>AB26</f>
        <v/>
      </c>
      <c r="AW26" s="100">
        <f>AC26</f>
        <v/>
      </c>
      <c r="AX26" s="170">
        <f>AE26</f>
        <v/>
      </c>
      <c r="AY26" s="170">
        <f>AF26</f>
        <v/>
      </c>
      <c r="AZ26" s="170">
        <f>AG26</f>
        <v/>
      </c>
      <c r="BA26" s="170">
        <f>AL26+$AY$1</f>
        <v/>
      </c>
      <c r="BB26" s="170">
        <f>AM26</f>
        <v/>
      </c>
      <c r="BC26" s="171">
        <f>AN26</f>
        <v/>
      </c>
    </row>
    <row r="27" ht="15" customHeight="1" s="144">
      <c r="AB27" s="89" t="n">
        <v>45532</v>
      </c>
      <c r="AC27" s="104" t="inlineStr">
        <is>
          <t>B</t>
        </is>
      </c>
      <c r="AD27" s="91" t="inlineStr">
        <is>
          <t>HA21.3.2</t>
        </is>
      </c>
      <c r="AE27" s="90" t="n">
        <v>823147.5914</v>
      </c>
      <c r="AF27" s="90" t="n">
        <v>1091710.2523</v>
      </c>
      <c r="AG27" s="92" t="n">
        <v>-121.9076</v>
      </c>
      <c r="AL27" s="93">
        <f>IF(ISNUMBER(AE27),COS(ATAN2(AF27-AO$4,AE27-AO$3)-(AO$5/200*PI()))*SQRT((AE27-AO$3)^2+(AF27-AO$4)^2),"-")</f>
        <v/>
      </c>
      <c r="AM27" s="94">
        <f>IF(ISNUMBER(AE27),SIN(ATAN2(AF27-AO$4,AE27-AO$3)-(AO$5/200*PI()))*SQRT((AE27-AO$3)^2+(AF27-AO$4)^2),"-")</f>
        <v/>
      </c>
      <c r="AN27" s="95">
        <f>IF(ISNUMBER(AL27),AG27-AO27,"-")</f>
        <v/>
      </c>
      <c r="AO27" s="96">
        <f>IF(ISNUMBER(AF27),((AL27-$AO$7)*AO$9)+AO$8,"-")</f>
        <v/>
      </c>
      <c r="AQ27" s="103" t="n"/>
      <c r="AV27" s="89">
        <f>AB27</f>
        <v/>
      </c>
      <c r="AW27" s="100">
        <f>AC27</f>
        <v/>
      </c>
      <c r="AX27" s="170">
        <f>AE27</f>
        <v/>
      </c>
      <c r="AY27" s="170">
        <f>AF27</f>
        <v/>
      </c>
      <c r="AZ27" s="170">
        <f>AG27</f>
        <v/>
      </c>
      <c r="BA27" s="170">
        <f>AL27+$AY$1</f>
        <v/>
      </c>
      <c r="BB27" s="170">
        <f>AM27</f>
        <v/>
      </c>
      <c r="BC27" s="171">
        <f>AN27</f>
        <v/>
      </c>
    </row>
    <row r="28" ht="15" customHeight="1" s="144">
      <c r="AB28" s="89" t="n">
        <v>45532</v>
      </c>
      <c r="AC28" s="104" t="inlineStr">
        <is>
          <t>D</t>
        </is>
      </c>
      <c r="AD28" s="91" t="inlineStr">
        <is>
          <t>HA21.3.3</t>
        </is>
      </c>
      <c r="AE28" s="90" t="n">
        <v>823149.9896</v>
      </c>
      <c r="AF28" s="90" t="n">
        <v>1091705.082</v>
      </c>
      <c r="AG28" s="92" t="n">
        <v>-121.7825</v>
      </c>
      <c r="AL28" s="93">
        <f>IF(ISNUMBER(AE28),COS(ATAN2(AF28-AO$4,AE28-AO$3)-(AO$5/200*PI()))*SQRT((AE28-AO$3)^2+(AF28-AO$4)^2),"-")</f>
        <v/>
      </c>
      <c r="AM28" s="94">
        <f>IF(ISNUMBER(AE28),SIN(ATAN2(AF28-AO$4,AE28-AO$3)-(AO$5/200*PI()))*SQRT((AE28-AO$3)^2+(AF28-AO$4)^2),"-")</f>
        <v/>
      </c>
      <c r="AN28" s="95">
        <f>IF(ISNUMBER(AL28),AG28-AO28,"-")</f>
        <v/>
      </c>
      <c r="AO28" s="96">
        <f>IF(ISNUMBER(AF28),((AL28-$AO$7)*AO$9)+AO$8,"-")</f>
        <v/>
      </c>
      <c r="AQ28" s="103" t="n"/>
      <c r="AV28" s="89">
        <f>AB28</f>
        <v/>
      </c>
      <c r="AW28" s="100">
        <f>AC28</f>
        <v/>
      </c>
      <c r="AX28" s="170">
        <f>AE28</f>
        <v/>
      </c>
      <c r="AY28" s="170">
        <f>AF28</f>
        <v/>
      </c>
      <c r="AZ28" s="170">
        <f>AG28</f>
        <v/>
      </c>
      <c r="BA28" s="170">
        <f>AL28+$AY$1</f>
        <v/>
      </c>
      <c r="BB28" s="170">
        <f>AM28</f>
        <v/>
      </c>
      <c r="BC28" s="171">
        <f>AN28</f>
        <v/>
      </c>
    </row>
    <row r="29" ht="15" customHeight="1" s="144">
      <c r="AB29" s="89" t="n">
        <v>45532</v>
      </c>
      <c r="AC29" s="104" t="inlineStr">
        <is>
          <t>C</t>
        </is>
      </c>
      <c r="AD29" s="91" t="inlineStr">
        <is>
          <t>HA21.3.4</t>
        </is>
      </c>
      <c r="AE29" s="90" t="n">
        <v>823147.5655</v>
      </c>
      <c r="AF29" s="90" t="n">
        <v>1091710.4103</v>
      </c>
      <c r="AG29" s="92" t="n">
        <v>-122.3537</v>
      </c>
      <c r="AL29" s="93">
        <f>IF(ISNUMBER(AE29),COS(ATAN2(AF29-AO$4,AE29-AO$3)-(AO$5/200*PI()))*SQRT((AE29-AO$3)^2+(AF29-AO$4)^2),"-")</f>
        <v/>
      </c>
      <c r="AM29" s="94">
        <f>IF(ISNUMBER(AE29),SIN(ATAN2(AF29-AO$4,AE29-AO$3)-(AO$5/200*PI()))*SQRT((AE29-AO$3)^2+(AF29-AO$4)^2),"-")</f>
        <v/>
      </c>
      <c r="AN29" s="95">
        <f>IF(ISNUMBER(AL29),AG29-AO29,"-")</f>
        <v/>
      </c>
      <c r="AO29" s="96">
        <f>IF(ISNUMBER(AF29),((AL29-$AO$7)*AO$9)+AO$8,"-")</f>
        <v/>
      </c>
      <c r="AQ29" s="103" t="n"/>
      <c r="AV29" s="89">
        <f>AB29</f>
        <v/>
      </c>
      <c r="AW29" s="100">
        <f>AC29</f>
        <v/>
      </c>
      <c r="AX29" s="170">
        <f>AE29</f>
        <v/>
      </c>
      <c r="AY29" s="170">
        <f>AF29</f>
        <v/>
      </c>
      <c r="AZ29" s="170">
        <f>AG29</f>
        <v/>
      </c>
      <c r="BA29" s="170">
        <f>AL29+$AY$1</f>
        <v/>
      </c>
      <c r="BB29" s="170">
        <f>AM29</f>
        <v/>
      </c>
      <c r="BC29" s="171">
        <f>AN29</f>
        <v/>
      </c>
    </row>
    <row r="30" ht="15" customHeight="1" s="144">
      <c r="AB30" s="89" t="n">
        <v>45532</v>
      </c>
      <c r="AC30" s="104" t="inlineStr">
        <is>
          <t>A</t>
        </is>
      </c>
      <c r="AD30" s="91" t="inlineStr">
        <is>
          <t>HA.HA213.1</t>
        </is>
      </c>
      <c r="AE30" s="90" t="n">
        <v>823147.649</v>
      </c>
      <c r="AF30" s="90" t="n">
        <v>1091710.0851</v>
      </c>
      <c r="AG30" s="92" t="n">
        <v>-121.5698</v>
      </c>
      <c r="AL30" s="93">
        <f>IF(ISNUMBER(AE30),COS(ATAN2(AF30-AO$4,AE30-AO$3)-(AO$5/200*PI()))*SQRT((AE30-AO$3)^2+(AF30-AO$4)^2),"-")</f>
        <v/>
      </c>
      <c r="AM30" s="94">
        <f>IF(ISNUMBER(AE30),SIN(ATAN2(AF30-AO$4,AE30-AO$3)-(AO$5/200*PI()))*SQRT((AE30-AO$3)^2+(AF30-AO$4)^2),"-")</f>
        <v/>
      </c>
      <c r="AN30" s="95">
        <f>IF(ISNUMBER(AL30),AG30-AO30,"-")</f>
        <v/>
      </c>
      <c r="AO30" s="96">
        <f>IF(ISNUMBER(AF30),((AL30-$AO$7)*AO$9)+AO$8,"-")</f>
        <v/>
      </c>
      <c r="AQ30" s="103" t="n"/>
      <c r="AV30" s="89">
        <f>AB30</f>
        <v/>
      </c>
      <c r="AW30" s="100">
        <f>AC30</f>
        <v/>
      </c>
      <c r="AX30" s="170">
        <f>AE30</f>
        <v/>
      </c>
      <c r="AY30" s="170">
        <f>AF30</f>
        <v/>
      </c>
      <c r="AZ30" s="170">
        <f>AG30</f>
        <v/>
      </c>
      <c r="BA30" s="170">
        <f>AL30+$AY$1</f>
        <v/>
      </c>
      <c r="BB30" s="170">
        <f>AM30</f>
        <v/>
      </c>
      <c r="BC30" s="171">
        <f>AN30</f>
        <v/>
      </c>
    </row>
    <row r="31" ht="15" customHeight="1" s="144">
      <c r="AB31" s="89" t="n">
        <v>45532</v>
      </c>
      <c r="AC31" s="104" t="inlineStr">
        <is>
          <t>B</t>
        </is>
      </c>
      <c r="AD31" s="91" t="inlineStr">
        <is>
          <t>HA.HA213.2</t>
        </is>
      </c>
      <c r="AE31" s="90" t="n">
        <v>823147.5913</v>
      </c>
      <c r="AF31" s="90" t="n">
        <v>1091710.2524</v>
      </c>
      <c r="AG31" s="92" t="n">
        <v>-121.9078</v>
      </c>
      <c r="AL31" s="93">
        <f>IF(ISNUMBER(AE31),COS(ATAN2(AF31-AO$4,AE31-AO$3)-(AO$5/200*PI()))*SQRT((AE31-AO$3)^2+(AF31-AO$4)^2),"-")</f>
        <v/>
      </c>
      <c r="AM31" s="94">
        <f>IF(ISNUMBER(AE31),SIN(ATAN2(AF31-AO$4,AE31-AO$3)-(AO$5/200*PI()))*SQRT((AE31-AO$3)^2+(AF31-AO$4)^2),"-")</f>
        <v/>
      </c>
      <c r="AN31" s="95">
        <f>IF(ISNUMBER(AL31),AG31-AO31,"-")</f>
        <v/>
      </c>
      <c r="AO31" s="96">
        <f>IF(ISNUMBER(AF31),((AL31-$AO$7)*AO$9)+AO$8,"-")</f>
        <v/>
      </c>
      <c r="AQ31" s="103" t="n"/>
      <c r="AV31" s="89">
        <f>AB31</f>
        <v/>
      </c>
      <c r="AW31" s="100">
        <f>AC31</f>
        <v/>
      </c>
      <c r="AX31" s="170">
        <f>AE31</f>
        <v/>
      </c>
      <c r="AY31" s="170">
        <f>AF31</f>
        <v/>
      </c>
      <c r="AZ31" s="170">
        <f>AG31</f>
        <v/>
      </c>
      <c r="BA31" s="170">
        <f>AL31+$AY$1</f>
        <v/>
      </c>
      <c r="BB31" s="170">
        <f>AM31</f>
        <v/>
      </c>
      <c r="BC31" s="171">
        <f>AN31</f>
        <v/>
      </c>
    </row>
    <row r="32" ht="15" customHeight="1" s="144">
      <c r="AB32" s="89" t="n">
        <v>45532</v>
      </c>
      <c r="AC32" s="104" t="inlineStr">
        <is>
          <t>D</t>
        </is>
      </c>
      <c r="AD32" s="91" t="inlineStr">
        <is>
          <t>HA.HA213.3</t>
        </is>
      </c>
      <c r="AE32" s="90" t="n">
        <v>823149.9898</v>
      </c>
      <c r="AF32" s="90" t="n">
        <v>1091705.0823</v>
      </c>
      <c r="AG32" s="92" t="n">
        <v>-121.7826</v>
      </c>
      <c r="AL32" s="93">
        <f>IF(ISNUMBER(AE32),COS(ATAN2(AF32-AO$4,AE32-AO$3)-(AO$5/200*PI()))*SQRT((AE32-AO$3)^2+(AF32-AO$4)^2),"-")</f>
        <v/>
      </c>
      <c r="AM32" s="94">
        <f>IF(ISNUMBER(AE32),SIN(ATAN2(AF32-AO$4,AE32-AO$3)-(AO$5/200*PI()))*SQRT((AE32-AO$3)^2+(AF32-AO$4)^2),"-")</f>
        <v/>
      </c>
      <c r="AN32" s="95">
        <f>IF(ISNUMBER(AL32),AG32-AO32,"-")</f>
        <v/>
      </c>
      <c r="AO32" s="96">
        <f>IF(ISNUMBER(AF32),((AL32-$AO$7)*AO$9)+AO$8,"-")</f>
        <v/>
      </c>
      <c r="AQ32" s="103" t="n"/>
      <c r="AV32" s="89">
        <f>AB32</f>
        <v/>
      </c>
      <c r="AW32" s="100">
        <f>AC32</f>
        <v/>
      </c>
      <c r="AX32" s="170">
        <f>AE32</f>
        <v/>
      </c>
      <c r="AY32" s="170">
        <f>AF32</f>
        <v/>
      </c>
      <c r="AZ32" s="170">
        <f>AG32</f>
        <v/>
      </c>
      <c r="BA32" s="170">
        <f>AL32+$AY$1</f>
        <v/>
      </c>
      <c r="BB32" s="170">
        <f>AM32</f>
        <v/>
      </c>
      <c r="BC32" s="171">
        <f>AN32</f>
        <v/>
      </c>
    </row>
    <row r="33" ht="15" customHeight="1" s="144">
      <c r="AB33" s="89" t="n">
        <v>45532</v>
      </c>
      <c r="AC33" s="104" t="inlineStr">
        <is>
          <t>C</t>
        </is>
      </c>
      <c r="AD33" s="91" t="inlineStr">
        <is>
          <t>HA.HA213.4</t>
        </is>
      </c>
      <c r="AE33" s="90" t="n">
        <v>823147.5657</v>
      </c>
      <c r="AF33" s="90" t="n">
        <v>1091710.4106</v>
      </c>
      <c r="AG33" s="92" t="n">
        <v>-122.3538</v>
      </c>
      <c r="AL33" s="93">
        <f>IF(ISNUMBER(AE33),COS(ATAN2(AF33-AO$4,AE33-AO$3)-(AO$5/200*PI()))*SQRT((AE33-AO$3)^2+(AF33-AO$4)^2),"-")</f>
        <v/>
      </c>
      <c r="AM33" s="94">
        <f>IF(ISNUMBER(AE33),SIN(ATAN2(AF33-AO$4,AE33-AO$3)-(AO$5/200*PI()))*SQRT((AE33-AO$3)^2+(AF33-AO$4)^2),"-")</f>
        <v/>
      </c>
      <c r="AN33" s="95">
        <f>IF(ISNUMBER(AL33),AG33-AO33,"-")</f>
        <v/>
      </c>
      <c r="AO33" s="96">
        <f>IF(ISNUMBER(AF33),((AL33-$AO$7)*AO$9)+AO$8,"-")</f>
        <v/>
      </c>
      <c r="AQ33" s="103" t="n"/>
      <c r="AV33" s="89">
        <f>AB33</f>
        <v/>
      </c>
      <c r="AW33" s="100">
        <f>AC33</f>
        <v/>
      </c>
      <c r="AX33" s="170">
        <f>AE33</f>
        <v/>
      </c>
      <c r="AY33" s="170">
        <f>AF33</f>
        <v/>
      </c>
      <c r="AZ33" s="170">
        <f>AG33</f>
        <v/>
      </c>
      <c r="BA33" s="170">
        <f>AL33+$AY$1</f>
        <v/>
      </c>
      <c r="BB33" s="170">
        <f>AM33</f>
        <v/>
      </c>
      <c r="BC33" s="171">
        <f>AN33</f>
        <v/>
      </c>
    </row>
    <row r="34" ht="15" customHeight="1" s="144">
      <c r="AB34" s="89" t="n">
        <v>45532</v>
      </c>
      <c r="AC34" s="104" t="inlineStr">
        <is>
          <t>A</t>
        </is>
      </c>
      <c r="AD34" s="91" t="inlineStr">
        <is>
          <t>HA213.1</t>
        </is>
      </c>
      <c r="AE34" s="90" t="n">
        <v>823147.6488</v>
      </c>
      <c r="AF34" s="90" t="n">
        <v>1091710.08488</v>
      </c>
      <c r="AG34" s="92" t="n">
        <v>-121.57022</v>
      </c>
      <c r="AL34" s="93">
        <f>IF(ISNUMBER(AE34),COS(ATAN2(AF34-AO$4,AE34-AO$3)-(AO$5/200*PI()))*SQRT((AE34-AO$3)^2+(AF34-AO$4)^2),"-")</f>
        <v/>
      </c>
      <c r="AM34" s="94">
        <f>IF(ISNUMBER(AE34),SIN(ATAN2(AF34-AO$4,AE34-AO$3)-(AO$5/200*PI()))*SQRT((AE34-AO$3)^2+(AF34-AO$4)^2),"-")</f>
        <v/>
      </c>
      <c r="AN34" s="95">
        <f>IF(ISNUMBER(AL34),AG34-AO34,"-")</f>
        <v/>
      </c>
      <c r="AO34" s="96">
        <f>IF(ISNUMBER(AF34),((AL34-$AO$7)*AO$9)+AO$8,"-")</f>
        <v/>
      </c>
      <c r="AQ34" s="103" t="n"/>
      <c r="AV34" s="89">
        <f>AB34</f>
        <v/>
      </c>
      <c r="AW34" s="100">
        <f>AC34</f>
        <v/>
      </c>
      <c r="AX34" s="170">
        <f>AE34</f>
        <v/>
      </c>
      <c r="AY34" s="170">
        <f>AF34</f>
        <v/>
      </c>
      <c r="AZ34" s="170">
        <f>AG34</f>
        <v/>
      </c>
      <c r="BA34" s="170">
        <f>AL34+$AY$1</f>
        <v/>
      </c>
      <c r="BB34" s="170">
        <f>AM34</f>
        <v/>
      </c>
      <c r="BC34" s="171">
        <f>AN34</f>
        <v/>
      </c>
    </row>
    <row r="35" ht="15" customHeight="1" s="144">
      <c r="AB35" s="89" t="n">
        <v>45532</v>
      </c>
      <c r="AC35" s="104" t="inlineStr">
        <is>
          <t>E</t>
        </is>
      </c>
      <c r="AD35" s="91" t="inlineStr">
        <is>
          <t>HA213.3</t>
        </is>
      </c>
      <c r="AE35" s="90" t="n">
        <v>823152.2125833334</v>
      </c>
      <c r="AF35" s="90" t="n">
        <v>1091706.2957</v>
      </c>
      <c r="AG35" s="92" t="n">
        <v>-121.65225</v>
      </c>
      <c r="AL35" s="93">
        <f>IF(ISNUMBER(AE35),COS(ATAN2(AF35-AO$4,AE35-AO$3)-(AO$5/200*PI()))*SQRT((AE35-AO$3)^2+(AF35-AO$4)^2),"-")</f>
        <v/>
      </c>
      <c r="AM35" s="94">
        <f>IF(ISNUMBER(AE35),SIN(ATAN2(AF35-AO$4,AE35-AO$3)-(AO$5/200*PI()))*SQRT((AE35-AO$3)^2+(AF35-AO$4)^2),"-")</f>
        <v/>
      </c>
      <c r="AN35" s="95">
        <f>IF(ISNUMBER(AL35),AG35-AO35,"-")</f>
        <v/>
      </c>
      <c r="AO35" s="96">
        <f>IF(ISNUMBER(AF35),((AL35-$AO$7)*AO$9)+AO$8,"-")</f>
        <v/>
      </c>
      <c r="AQ35" s="103" t="n"/>
      <c r="AV35" s="89">
        <f>AB35</f>
        <v/>
      </c>
      <c r="AW35" s="100">
        <f>AC35</f>
        <v/>
      </c>
      <c r="AX35" s="170">
        <f>AE35</f>
        <v/>
      </c>
      <c r="AY35" s="170">
        <f>AF35</f>
        <v/>
      </c>
      <c r="AZ35" s="170">
        <f>AG35</f>
        <v/>
      </c>
      <c r="BA35" s="170">
        <f>AL35+$AY$1</f>
        <v/>
      </c>
      <c r="BB35" s="170">
        <f>AM35</f>
        <v/>
      </c>
      <c r="BC35" s="171">
        <f>AN35</f>
        <v/>
      </c>
    </row>
    <row r="36" ht="15" customHeight="1" s="144">
      <c r="AB36" s="89" t="n">
        <v>45532</v>
      </c>
      <c r="AC36" s="104" t="inlineStr">
        <is>
          <t>C</t>
        </is>
      </c>
      <c r="AD36" s="91" t="inlineStr">
        <is>
          <t>HA213.4</t>
        </is>
      </c>
      <c r="AE36" s="90" t="n">
        <v>823147.5652214285</v>
      </c>
      <c r="AF36" s="90" t="n">
        <v>1091710.410157143</v>
      </c>
      <c r="AG36" s="92" t="n">
        <v>-122.3541285714286</v>
      </c>
      <c r="AL36" s="93">
        <f>IF(ISNUMBER(AE36),COS(ATAN2(AF36-AO$4,AE36-AO$3)-(AO$5/200*PI()))*SQRT((AE36-AO$3)^2+(AF36-AO$4)^2),"-")</f>
        <v/>
      </c>
      <c r="AM36" s="94">
        <f>IF(ISNUMBER(AE36),SIN(ATAN2(AF36-AO$4,AE36-AO$3)-(AO$5/200*PI()))*SQRT((AE36-AO$3)^2+(AF36-AO$4)^2),"-")</f>
        <v/>
      </c>
      <c r="AN36" s="95">
        <f>IF(ISNUMBER(AL36),AG36-AO36,"-")</f>
        <v/>
      </c>
      <c r="AO36" s="96">
        <f>IF(ISNUMBER(AF36),((AL36-$AO$7)*AO$9)+AO$8,"-")</f>
        <v/>
      </c>
      <c r="AQ36" s="103" t="n"/>
      <c r="AV36" s="89">
        <f>AB36</f>
        <v/>
      </c>
      <c r="AW36" s="100">
        <f>AC36</f>
        <v/>
      </c>
      <c r="AX36" s="170">
        <f>AE36</f>
        <v/>
      </c>
      <c r="AY36" s="170">
        <f>AF36</f>
        <v/>
      </c>
      <c r="AZ36" s="170">
        <f>AG36</f>
        <v/>
      </c>
      <c r="BA36" s="170">
        <f>AL36+$AY$1</f>
        <v/>
      </c>
      <c r="BB36" s="170">
        <f>AM36</f>
        <v/>
      </c>
      <c r="BC36" s="171">
        <f>AN36</f>
        <v/>
      </c>
    </row>
    <row r="37" ht="15" customHeight="1" s="144">
      <c r="AB37" s="89" t="n">
        <v>45532</v>
      </c>
      <c r="AC37" s="104" t="inlineStr">
        <is>
          <t>A</t>
        </is>
      </c>
      <c r="AD37" s="91" t="inlineStr">
        <is>
          <t>HA21.1</t>
        </is>
      </c>
      <c r="AE37" s="90" t="n">
        <v>823147.649</v>
      </c>
      <c r="AF37" s="90" t="n">
        <v>1091710.0849</v>
      </c>
      <c r="AG37" s="92" t="n">
        <v>-121.5706</v>
      </c>
      <c r="AL37" s="93">
        <f>IF(ISNUMBER(AE37),COS(ATAN2(AF37-AO$4,AE37-AO$3)-(AO$5/200*PI()))*SQRT((AE37-AO$3)^2+(AF37-AO$4)^2),"-")</f>
        <v/>
      </c>
      <c r="AM37" s="94">
        <f>IF(ISNUMBER(AE37),SIN(ATAN2(AF37-AO$4,AE37-AO$3)-(AO$5/200*PI()))*SQRT((AE37-AO$3)^2+(AF37-AO$4)^2),"-")</f>
        <v/>
      </c>
      <c r="AN37" s="95">
        <f>IF(ISNUMBER(AL37),AG37-AO37,"-")</f>
        <v/>
      </c>
      <c r="AO37" s="96">
        <f>IF(ISNUMBER(AF37),((AL37-$AO$7)*AO$9)+AO$8,"-")</f>
        <v/>
      </c>
      <c r="AQ37" s="103" t="n"/>
      <c r="AV37" s="89">
        <f>AB37</f>
        <v/>
      </c>
      <c r="AW37" s="100">
        <f>AC37</f>
        <v/>
      </c>
      <c r="AX37" s="170">
        <f>AE37</f>
        <v/>
      </c>
      <c r="AY37" s="170">
        <f>AF37</f>
        <v/>
      </c>
      <c r="AZ37" s="170">
        <f>AG37</f>
        <v/>
      </c>
      <c r="BA37" s="170">
        <f>AL37+$AY$1</f>
        <v/>
      </c>
      <c r="BB37" s="170">
        <f>AM37</f>
        <v/>
      </c>
      <c r="BC37" s="171">
        <f>AN37</f>
        <v/>
      </c>
    </row>
    <row r="38" ht="15" customHeight="1" s="144">
      <c r="AB38" s="89" t="n">
        <v>45532</v>
      </c>
      <c r="AC38" s="104" t="inlineStr">
        <is>
          <t>B</t>
        </is>
      </c>
      <c r="AD38" s="91" t="inlineStr">
        <is>
          <t>HA21.2</t>
        </is>
      </c>
      <c r="AE38" s="90" t="n">
        <v>823147.5915</v>
      </c>
      <c r="AF38" s="90" t="n">
        <v>1091710.2529</v>
      </c>
      <c r="AG38" s="92" t="n">
        <v>-121.9084</v>
      </c>
      <c r="AL38" s="93">
        <f>IF(ISNUMBER(AE38),COS(ATAN2(AF38-AO$4,AE38-AO$3)-(AO$5/200*PI()))*SQRT((AE38-AO$3)^2+(AF38-AO$4)^2),"-")</f>
        <v/>
      </c>
      <c r="AM38" s="94">
        <f>IF(ISNUMBER(AE38),SIN(ATAN2(AF38-AO$4,AE38-AO$3)-(AO$5/200*PI()))*SQRT((AE38-AO$3)^2+(AF38-AO$4)^2),"-")</f>
        <v/>
      </c>
      <c r="AN38" s="95">
        <f>IF(ISNUMBER(AL38),AG38-AO38,"-")</f>
        <v/>
      </c>
      <c r="AO38" s="96">
        <f>IF(ISNUMBER(AF38),((AL38-$AO$7)*AO$9)+AO$8,"-")</f>
        <v/>
      </c>
      <c r="AQ38" s="103" t="n"/>
      <c r="AV38" s="89">
        <f>AB38</f>
        <v/>
      </c>
      <c r="AW38" s="100">
        <f>AC38</f>
        <v/>
      </c>
      <c r="AX38" s="170">
        <f>AE38</f>
        <v/>
      </c>
      <c r="AY38" s="170">
        <f>AF38</f>
        <v/>
      </c>
      <c r="AZ38" s="170">
        <f>AG38</f>
        <v/>
      </c>
      <c r="BA38" s="170">
        <f>AL38+$AY$1</f>
        <v/>
      </c>
      <c r="BB38" s="170">
        <f>AM38</f>
        <v/>
      </c>
      <c r="BC38" s="171">
        <f>AN38</f>
        <v/>
      </c>
    </row>
    <row r="39" ht="15" customHeight="1" s="144">
      <c r="AB39" s="89" t="n">
        <v>45532</v>
      </c>
      <c r="AC39" s="104" t="inlineStr">
        <is>
          <t>D</t>
        </is>
      </c>
      <c r="AD39" s="91" t="inlineStr">
        <is>
          <t>HA21.3</t>
        </is>
      </c>
      <c r="AE39" s="90" t="n">
        <v>823149.9899</v>
      </c>
      <c r="AF39" s="90" t="n">
        <v>1091705.0825</v>
      </c>
      <c r="AG39" s="92" t="n">
        <v>-121.7829</v>
      </c>
      <c r="AL39" s="93">
        <f>IF(ISNUMBER(AE39),COS(ATAN2(AF39-AO$4,AE39-AO$3)-(AO$5/200*PI()))*SQRT((AE39-AO$3)^2+(AF39-AO$4)^2),"-")</f>
        <v/>
      </c>
      <c r="AM39" s="94">
        <f>IF(ISNUMBER(AE39),SIN(ATAN2(AF39-AO$4,AE39-AO$3)-(AO$5/200*PI()))*SQRT((AE39-AO$3)^2+(AF39-AO$4)^2),"-")</f>
        <v/>
      </c>
      <c r="AN39" s="95">
        <f>IF(ISNUMBER(AL39),AG39-AO39,"-")</f>
        <v/>
      </c>
      <c r="AO39" s="96">
        <f>IF(ISNUMBER(AF39),((AL39-$AO$7)*AO$9)+AO$8,"-")</f>
        <v/>
      </c>
      <c r="AQ39" s="103" t="n"/>
      <c r="AV39" s="89">
        <f>AB39</f>
        <v/>
      </c>
      <c r="AW39" s="100">
        <f>AC39</f>
        <v/>
      </c>
      <c r="AX39" s="170">
        <f>AE39</f>
        <v/>
      </c>
      <c r="AY39" s="170">
        <f>AF39</f>
        <v/>
      </c>
      <c r="AZ39" s="170">
        <f>AG39</f>
        <v/>
      </c>
      <c r="BA39" s="170">
        <f>AL39+$AY$1</f>
        <v/>
      </c>
      <c r="BB39" s="170">
        <f>AM39</f>
        <v/>
      </c>
      <c r="BC39" s="171">
        <f>AN39</f>
        <v/>
      </c>
    </row>
    <row r="40" ht="15" customHeight="1" s="144">
      <c r="AB40" s="89" t="n">
        <v>45532</v>
      </c>
      <c r="AC40" s="104" t="inlineStr">
        <is>
          <t>C</t>
        </is>
      </c>
      <c r="AD40" s="91" t="inlineStr">
        <is>
          <t>HA21.4</t>
        </is>
      </c>
      <c r="AE40" s="90" t="n">
        <v>823147.5657</v>
      </c>
      <c r="AF40" s="90" t="n">
        <v>1091710.4099</v>
      </c>
      <c r="AG40" s="92" t="n">
        <v>-122.3548</v>
      </c>
      <c r="AL40" s="93">
        <f>IF(ISNUMBER(AE40),COS(ATAN2(AF40-AO$4,AE40-AO$3)-(AO$5/200*PI()))*SQRT((AE40-AO$3)^2+(AF40-AO$4)^2),"-")</f>
        <v/>
      </c>
      <c r="AM40" s="94">
        <f>IF(ISNUMBER(AE40),SIN(ATAN2(AF40-AO$4,AE40-AO$3)-(AO$5/200*PI()))*SQRT((AE40-AO$3)^2+(AF40-AO$4)^2),"-")</f>
        <v/>
      </c>
      <c r="AN40" s="95">
        <f>IF(ISNUMBER(AL40),AG40-AO40,"-")</f>
        <v/>
      </c>
      <c r="AO40" s="96">
        <f>IF(ISNUMBER(AF40),((AL40-$AO$7)*AO$9)+AO$8,"-")</f>
        <v/>
      </c>
      <c r="AQ40" s="103" t="n"/>
      <c r="AV40" s="89">
        <f>AB40</f>
        <v/>
      </c>
      <c r="AW40" s="100">
        <f>AC40</f>
        <v/>
      </c>
      <c r="AX40" s="170">
        <f>AE40</f>
        <v/>
      </c>
      <c r="AY40" s="170">
        <f>AF40</f>
        <v/>
      </c>
      <c r="AZ40" s="170">
        <f>AG40</f>
        <v/>
      </c>
      <c r="BA40" s="170">
        <f>AL40+$AY$1</f>
        <v/>
      </c>
      <c r="BB40" s="170">
        <f>AM40</f>
        <v/>
      </c>
      <c r="BC40" s="171">
        <f>AN40</f>
        <v/>
      </c>
    </row>
    <row r="41" ht="15" customHeight="1" s="144">
      <c r="AB41" s="89" t="n">
        <v>45532</v>
      </c>
      <c r="AC41" s="104" t="inlineStr">
        <is>
          <t>A</t>
        </is>
      </c>
      <c r="AD41" s="91" t="inlineStr">
        <is>
          <t>IHA21.1</t>
        </is>
      </c>
      <c r="AE41" s="90" t="n">
        <v>823147.6491</v>
      </c>
      <c r="AF41" s="90" t="n">
        <v>1091710.0851</v>
      </c>
      <c r="AG41" s="92" t="n">
        <v>-121.5704</v>
      </c>
      <c r="AL41" s="93">
        <f>IF(ISNUMBER(AE41),COS(ATAN2(AF41-AO$4,AE41-AO$3)-(AO$5/200*PI()))*SQRT((AE41-AO$3)^2+(AF41-AO$4)^2),"-")</f>
        <v/>
      </c>
      <c r="AM41" s="94">
        <f>IF(ISNUMBER(AE41),SIN(ATAN2(AF41-AO$4,AE41-AO$3)-(AO$5/200*PI()))*SQRT((AE41-AO$3)^2+(AF41-AO$4)^2),"-")</f>
        <v/>
      </c>
      <c r="AN41" s="95">
        <f>IF(ISNUMBER(AL41),AG41-AO41,"-")</f>
        <v/>
      </c>
      <c r="AO41" s="96">
        <f>IF(ISNUMBER(AF41),((AL41-$AO$7)*AO$9)+AO$8,"-")</f>
        <v/>
      </c>
      <c r="AQ41" s="103" t="n"/>
      <c r="AV41" s="89">
        <f>AB41</f>
        <v/>
      </c>
      <c r="AW41" s="100">
        <f>AC41</f>
        <v/>
      </c>
      <c r="AX41" s="170">
        <f>AE41</f>
        <v/>
      </c>
      <c r="AY41" s="170">
        <f>AF41</f>
        <v/>
      </c>
      <c r="AZ41" s="170">
        <f>AG41</f>
        <v/>
      </c>
      <c r="BA41" s="170">
        <f>AL41+$AY$1</f>
        <v/>
      </c>
      <c r="BB41" s="170">
        <f>AM41</f>
        <v/>
      </c>
      <c r="BC41" s="171">
        <f>AN41</f>
        <v/>
      </c>
    </row>
    <row r="42" ht="15" customHeight="1" s="144">
      <c r="AB42" s="89" t="n">
        <v>45532</v>
      </c>
      <c r="AC42" s="104" t="inlineStr">
        <is>
          <t>B</t>
        </is>
      </c>
      <c r="AD42" s="91" t="inlineStr">
        <is>
          <t>IHA21.2</t>
        </is>
      </c>
      <c r="AE42" s="90" t="n">
        <v>823147.5914</v>
      </c>
      <c r="AF42" s="90" t="n">
        <v>1091710.2527</v>
      </c>
      <c r="AG42" s="92" t="n">
        <v>-121.9083</v>
      </c>
      <c r="AL42" s="93">
        <f>IF(ISNUMBER(AE42),COS(ATAN2(AF42-AO$4,AE42-AO$3)-(AO$5/200*PI()))*SQRT((AE42-AO$3)^2+(AF42-AO$4)^2),"-")</f>
        <v/>
      </c>
      <c r="AM42" s="94">
        <f>IF(ISNUMBER(AE42),SIN(ATAN2(AF42-AO$4,AE42-AO$3)-(AO$5/200*PI()))*SQRT((AE42-AO$3)^2+(AF42-AO$4)^2),"-")</f>
        <v/>
      </c>
      <c r="AN42" s="95">
        <f>IF(ISNUMBER(AL42),AG42-AO42,"-")</f>
        <v/>
      </c>
      <c r="AO42" s="96">
        <f>IF(ISNUMBER(AF42),((AL42-$AO$7)*AO$9)+AO$8,"-")</f>
        <v/>
      </c>
      <c r="AQ42" s="103" t="n"/>
      <c r="AV42" s="89">
        <f>AB42</f>
        <v/>
      </c>
      <c r="AW42" s="100">
        <f>AC42</f>
        <v/>
      </c>
      <c r="AX42" s="170">
        <f>AE42</f>
        <v/>
      </c>
      <c r="AY42" s="170">
        <f>AF42</f>
        <v/>
      </c>
      <c r="AZ42" s="170">
        <f>AG42</f>
        <v/>
      </c>
      <c r="BA42" s="170">
        <f>AL42+$AY$1</f>
        <v/>
      </c>
      <c r="BB42" s="170">
        <f>AM42</f>
        <v/>
      </c>
      <c r="BC42" s="171">
        <f>AN42</f>
        <v/>
      </c>
    </row>
    <row r="43" ht="15" customHeight="1" s="144">
      <c r="AB43" s="89" t="n">
        <v>45532</v>
      </c>
      <c r="AC43" s="104" t="inlineStr">
        <is>
          <t>D</t>
        </is>
      </c>
      <c r="AD43" s="91" t="inlineStr">
        <is>
          <t>IHA21.3</t>
        </is>
      </c>
      <c r="AE43" s="90" t="n">
        <v>823149.9894</v>
      </c>
      <c r="AF43" s="90" t="n">
        <v>1091705.0822</v>
      </c>
      <c r="AG43" s="92" t="n">
        <v>-121.7828</v>
      </c>
      <c r="AL43" s="93">
        <f>IF(ISNUMBER(AE43),COS(ATAN2(AF43-AO$4,AE43-AO$3)-(AO$5/200*PI()))*SQRT((AE43-AO$3)^2+(AF43-AO$4)^2),"-")</f>
        <v/>
      </c>
      <c r="AM43" s="94">
        <f>IF(ISNUMBER(AE43),SIN(ATAN2(AF43-AO$4,AE43-AO$3)-(AO$5/200*PI()))*SQRT((AE43-AO$3)^2+(AF43-AO$4)^2),"-")</f>
        <v/>
      </c>
      <c r="AN43" s="95">
        <f>IF(ISNUMBER(AL43),AG43-AO43,"-")</f>
        <v/>
      </c>
      <c r="AO43" s="96">
        <f>IF(ISNUMBER(AF43),((AL43-$AO$7)*AO$9)+AO$8,"-")</f>
        <v/>
      </c>
      <c r="AQ43" s="103" t="n"/>
      <c r="AV43" s="89">
        <f>AB43</f>
        <v/>
      </c>
      <c r="AW43" s="100">
        <f>AC43</f>
        <v/>
      </c>
      <c r="AX43" s="170">
        <f>AE43</f>
        <v/>
      </c>
      <c r="AY43" s="170">
        <f>AF43</f>
        <v/>
      </c>
      <c r="AZ43" s="170">
        <f>AG43</f>
        <v/>
      </c>
      <c r="BA43" s="170">
        <f>AL43+$AY$1</f>
        <v/>
      </c>
      <c r="BB43" s="170">
        <f>AM43</f>
        <v/>
      </c>
      <c r="BC43" s="171">
        <f>AN43</f>
        <v/>
      </c>
    </row>
    <row r="44" ht="15" customHeight="1" s="144">
      <c r="AB44" s="89" t="n">
        <v>45532</v>
      </c>
      <c r="AC44" s="104" t="inlineStr">
        <is>
          <t>C</t>
        </is>
      </c>
      <c r="AD44" s="91" t="inlineStr">
        <is>
          <t>IHA21.4</t>
        </is>
      </c>
      <c r="AE44" s="90" t="n">
        <v>823147.5655</v>
      </c>
      <c r="AF44" s="90" t="n">
        <v>1091710.409733333</v>
      </c>
      <c r="AG44" s="92" t="n">
        <v>-122.3545666666667</v>
      </c>
      <c r="AL44" s="93">
        <f>IF(ISNUMBER(AE44),COS(ATAN2(AF44-AO$4,AE44-AO$3)-(AO$5/200*PI()))*SQRT((AE44-AO$3)^2+(AF44-AO$4)^2),"-")</f>
        <v/>
      </c>
      <c r="AM44" s="94">
        <f>IF(ISNUMBER(AE44),SIN(ATAN2(AF44-AO$4,AE44-AO$3)-(AO$5/200*PI()))*SQRT((AE44-AO$3)^2+(AF44-AO$4)^2),"-")</f>
        <v/>
      </c>
      <c r="AN44" s="95">
        <f>IF(ISNUMBER(AL44),AG44-AO44,"-")</f>
        <v/>
      </c>
      <c r="AO44" s="96">
        <f>IF(ISNUMBER(AF44),((AL44-$AO$7)*AO$9)+AO$8,"-")</f>
        <v/>
      </c>
      <c r="AQ44" s="103" t="n"/>
      <c r="AV44" s="89">
        <f>AB44</f>
        <v/>
      </c>
      <c r="AW44" s="100">
        <f>AC44</f>
        <v/>
      </c>
      <c r="AX44" s="170">
        <f>AE44</f>
        <v/>
      </c>
      <c r="AY44" s="170">
        <f>AF44</f>
        <v/>
      </c>
      <c r="AZ44" s="170">
        <f>AG44</f>
        <v/>
      </c>
      <c r="BA44" s="170">
        <f>AL44+$AY$1</f>
        <v/>
      </c>
      <c r="BB44" s="170">
        <f>AM44</f>
        <v/>
      </c>
      <c r="BC44" s="171">
        <f>AN44</f>
        <v/>
      </c>
    </row>
    <row r="45" ht="15" customHeight="1" s="144">
      <c r="AB45" s="89" t="n">
        <v>45532</v>
      </c>
      <c r="AC45" s="104" t="inlineStr">
        <is>
          <t>A</t>
        </is>
      </c>
      <c r="AD45" s="91" t="inlineStr">
        <is>
          <t>IHA21.1</t>
        </is>
      </c>
      <c r="AE45" s="90" t="n">
        <v>823147.6492</v>
      </c>
      <c r="AF45" s="90" t="n">
        <v>1091710.0849</v>
      </c>
      <c r="AG45" s="92" t="n">
        <v>-121.5701</v>
      </c>
      <c r="AL45" s="93">
        <f>IF(ISNUMBER(AE45),COS(ATAN2(AF45-AO$4,AE45-AO$3)-(AO$5/200*PI()))*SQRT((AE45-AO$3)^2+(AF45-AO$4)^2),"-")</f>
        <v/>
      </c>
      <c r="AM45" s="94">
        <f>IF(ISNUMBER(AE45),SIN(ATAN2(AF45-AO$4,AE45-AO$3)-(AO$5/200*PI()))*SQRT((AE45-AO$3)^2+(AF45-AO$4)^2),"-")</f>
        <v/>
      </c>
      <c r="AN45" s="95">
        <f>IF(ISNUMBER(AL45),AG45-AO45,"-")</f>
        <v/>
      </c>
      <c r="AO45" s="96">
        <f>IF(ISNUMBER(AF45),((AL45-$AO$7)*AO$9)+AO$8,"-")</f>
        <v/>
      </c>
      <c r="AQ45" s="103" t="n"/>
      <c r="AV45" s="89">
        <f>AB45</f>
        <v/>
      </c>
      <c r="AW45" s="100">
        <f>AC45</f>
        <v/>
      </c>
      <c r="AX45" s="170">
        <f>AE45</f>
        <v/>
      </c>
      <c r="AY45" s="170">
        <f>AF45</f>
        <v/>
      </c>
      <c r="AZ45" s="170">
        <f>AG45</f>
        <v/>
      </c>
      <c r="BA45" s="170">
        <f>AL45+$AY$1</f>
        <v/>
      </c>
      <c r="BB45" s="170">
        <f>AM45</f>
        <v/>
      </c>
      <c r="BC45" s="171">
        <f>AN45</f>
        <v/>
      </c>
    </row>
    <row r="46" ht="15" customHeight="1" s="144">
      <c r="AB46" s="89" t="n">
        <v>45532</v>
      </c>
      <c r="AC46" s="104" t="inlineStr">
        <is>
          <t>B</t>
        </is>
      </c>
      <c r="AD46" s="91" t="inlineStr">
        <is>
          <t>IHA21.2</t>
        </is>
      </c>
      <c r="AE46" s="90" t="n">
        <v>823147.5919999999</v>
      </c>
      <c r="AF46" s="90" t="n">
        <v>1091710.2527</v>
      </c>
      <c r="AG46" s="92" t="n">
        <v>-121.9082</v>
      </c>
      <c r="AL46" s="93">
        <f>IF(ISNUMBER(AE46),COS(ATAN2(AF46-AO$4,AE46-AO$3)-(AO$5/200*PI()))*SQRT((AE46-AO$3)^2+(AF46-AO$4)^2),"-")</f>
        <v/>
      </c>
      <c r="AM46" s="94">
        <f>IF(ISNUMBER(AE46),SIN(ATAN2(AF46-AO$4,AE46-AO$3)-(AO$5/200*PI()))*SQRT((AE46-AO$3)^2+(AF46-AO$4)^2),"-")</f>
        <v/>
      </c>
      <c r="AN46" s="95">
        <f>IF(ISNUMBER(AL46),AG46-AO46,"-")</f>
        <v/>
      </c>
      <c r="AO46" s="96">
        <f>IF(ISNUMBER(AF46),((AL46-$AO$7)*AO$9)+AO$8,"-")</f>
        <v/>
      </c>
      <c r="AQ46" s="103" t="n"/>
      <c r="AV46" s="89">
        <f>AB46</f>
        <v/>
      </c>
      <c r="AW46" s="100">
        <f>AC46</f>
        <v/>
      </c>
      <c r="AX46" s="170">
        <f>AE46</f>
        <v/>
      </c>
      <c r="AY46" s="170">
        <f>AF46</f>
        <v/>
      </c>
      <c r="AZ46" s="170">
        <f>AG46</f>
        <v/>
      </c>
      <c r="BA46" s="170">
        <f>AL46+$AY$1</f>
        <v/>
      </c>
      <c r="BB46" s="170">
        <f>AM46</f>
        <v/>
      </c>
      <c r="BC46" s="171">
        <f>AN46</f>
        <v/>
      </c>
    </row>
    <row r="47" ht="15" customHeight="1" s="144">
      <c r="AB47" s="89" t="n">
        <v>45532</v>
      </c>
      <c r="AC47" s="104" t="inlineStr">
        <is>
          <t>D</t>
        </is>
      </c>
      <c r="AD47" s="91" t="inlineStr">
        <is>
          <t>IHA21.3</t>
        </is>
      </c>
      <c r="AE47" s="90" t="n">
        <v>823149.9896</v>
      </c>
      <c r="AF47" s="90" t="n">
        <v>1091705.0822</v>
      </c>
      <c r="AG47" s="92" t="n">
        <v>-121.7827</v>
      </c>
      <c r="AL47" s="93">
        <f>IF(ISNUMBER(AE47),COS(ATAN2(AF47-AO$4,AE47-AO$3)-(AO$5/200*PI()))*SQRT((AE47-AO$3)^2+(AF47-AO$4)^2),"-")</f>
        <v/>
      </c>
      <c r="AM47" s="94">
        <f>IF(ISNUMBER(AE47),SIN(ATAN2(AF47-AO$4,AE47-AO$3)-(AO$5/200*PI()))*SQRT((AE47-AO$3)^2+(AF47-AO$4)^2),"-")</f>
        <v/>
      </c>
      <c r="AN47" s="95">
        <f>IF(ISNUMBER(AL47),AG47-AO47,"-")</f>
        <v/>
      </c>
      <c r="AO47" s="96">
        <f>IF(ISNUMBER(AF47),((AL47-$AO$7)*AO$9)+AO$8,"-")</f>
        <v/>
      </c>
      <c r="AQ47" s="103" t="n"/>
      <c r="AV47" s="89">
        <f>AB47</f>
        <v/>
      </c>
      <c r="AW47" s="100">
        <f>AC47</f>
        <v/>
      </c>
      <c r="AX47" s="170">
        <f>AE47</f>
        <v/>
      </c>
      <c r="AY47" s="170">
        <f>AF47</f>
        <v/>
      </c>
      <c r="AZ47" s="170">
        <f>AG47</f>
        <v/>
      </c>
      <c r="BA47" s="170">
        <f>AL47+$AY$1</f>
        <v/>
      </c>
      <c r="BB47" s="170">
        <f>AM47</f>
        <v/>
      </c>
      <c r="BC47" s="171">
        <f>AN47</f>
        <v/>
      </c>
    </row>
    <row r="48" ht="15" customHeight="1" s="144">
      <c r="AB48" s="89" t="n">
        <v>45559</v>
      </c>
      <c r="AC48" s="104" t="inlineStr">
        <is>
          <t>C</t>
        </is>
      </c>
      <c r="AD48" s="91" t="inlineStr">
        <is>
          <t>IHA21.4</t>
        </is>
      </c>
      <c r="AE48" s="90" t="n">
        <v>823147.5656666667</v>
      </c>
      <c r="AF48" s="90" t="n">
        <v>1091710.409933333</v>
      </c>
      <c r="AG48" s="92" t="n">
        <v>-122.3546</v>
      </c>
      <c r="AL48" s="93">
        <f>IF(ISNUMBER(AE48),COS(ATAN2(AF48-AO$4,AE48-AO$3)-(AO$5/200*PI()))*SQRT((AE48-AO$3)^2+(AF48-AO$4)^2),"-")</f>
        <v/>
      </c>
      <c r="AM48" s="94">
        <f>IF(ISNUMBER(AE48),SIN(ATAN2(AF48-AO$4,AE48-AO$3)-(AO$5/200*PI()))*SQRT((AE48-AO$3)^2+(AF48-AO$4)^2),"-")</f>
        <v/>
      </c>
      <c r="AN48" s="95">
        <f>IF(ISNUMBER(AL48),AG48-AO48,"-")</f>
        <v/>
      </c>
      <c r="AO48" s="96">
        <f>IF(ISNUMBER(AF48),((AL48-$AO$7)*AO$9)+AO$8,"-")</f>
        <v/>
      </c>
      <c r="AQ48" s="103" t="n"/>
      <c r="AV48" s="89">
        <f>AB48</f>
        <v/>
      </c>
      <c r="AW48" s="100">
        <f>AC48</f>
        <v/>
      </c>
      <c r="AX48" s="170">
        <f>AE48</f>
        <v/>
      </c>
      <c r="AY48" s="170">
        <f>AF48</f>
        <v/>
      </c>
      <c r="AZ48" s="170">
        <f>AG48</f>
        <v/>
      </c>
      <c r="BA48" s="170">
        <f>AL48+$AY$1</f>
        <v/>
      </c>
      <c r="BB48" s="170">
        <f>AM48</f>
        <v/>
      </c>
      <c r="BC48" s="171">
        <f>AN48</f>
        <v/>
      </c>
    </row>
    <row r="49" ht="15" customHeight="1" s="144">
      <c r="AB49" s="89" t="n">
        <v>45560</v>
      </c>
      <c r="AC49" s="104" t="inlineStr">
        <is>
          <t>A</t>
        </is>
      </c>
      <c r="AD49" s="91" t="inlineStr">
        <is>
          <t>IHA21.1</t>
        </is>
      </c>
      <c r="AE49" s="90" t="n">
        <v>823147.6487</v>
      </c>
      <c r="AF49" s="90" t="n">
        <v>1091710.0851</v>
      </c>
      <c r="AG49" s="92" t="n">
        <v>-121.5702</v>
      </c>
      <c r="AL49" s="93">
        <f>IF(ISNUMBER(AE49),COS(ATAN2(AF49-AO$4,AE49-AO$3)-(AO$5/200*PI()))*SQRT((AE49-AO$3)^2+(AF49-AO$4)^2),"-")</f>
        <v/>
      </c>
      <c r="AM49" s="94">
        <f>IF(ISNUMBER(AE49),SIN(ATAN2(AF49-AO$4,AE49-AO$3)-(AO$5/200*PI()))*SQRT((AE49-AO$3)^2+(AF49-AO$4)^2),"-")</f>
        <v/>
      </c>
      <c r="AN49" s="95">
        <f>IF(ISNUMBER(AL49),AG49-AO49,"-")</f>
        <v/>
      </c>
      <c r="AO49" s="96">
        <f>IF(ISNUMBER(AF49),((AL49-$AO$7)*AO$9)+AO$8,"-")</f>
        <v/>
      </c>
      <c r="AQ49" s="103" t="n"/>
      <c r="AV49" s="89">
        <f>AB49</f>
        <v/>
      </c>
      <c r="AW49" s="100">
        <f>AC49</f>
        <v/>
      </c>
      <c r="AX49" s="170">
        <f>AE49</f>
        <v/>
      </c>
      <c r="AY49" s="170">
        <f>AF49</f>
        <v/>
      </c>
      <c r="AZ49" s="170">
        <f>AG49</f>
        <v/>
      </c>
      <c r="BA49" s="170">
        <f>AL49+$AY$1</f>
        <v/>
      </c>
      <c r="BB49" s="170">
        <f>AM49</f>
        <v/>
      </c>
      <c r="BC49" s="171">
        <f>AN49</f>
        <v/>
      </c>
    </row>
    <row r="50" ht="15" customHeight="1" s="144">
      <c r="AB50" s="89" t="n">
        <v>45560</v>
      </c>
      <c r="AC50" s="104" t="inlineStr">
        <is>
          <t>B</t>
        </is>
      </c>
      <c r="AD50" s="91" t="inlineStr">
        <is>
          <t>IHA21.2</t>
        </is>
      </c>
      <c r="AE50" s="90" t="n">
        <v>823147.5913</v>
      </c>
      <c r="AF50" s="90" t="n">
        <v>1091710.2527</v>
      </c>
      <c r="AG50" s="92" t="n">
        <v>-121.9085</v>
      </c>
      <c r="AL50" s="93">
        <f>IF(ISNUMBER(AE50),COS(ATAN2(AF50-AO$4,AE50-AO$3)-(AO$5/200*PI()))*SQRT((AE50-AO$3)^2+(AF50-AO$4)^2),"-")</f>
        <v/>
      </c>
      <c r="AM50" s="94">
        <f>IF(ISNUMBER(AE50),SIN(ATAN2(AF50-AO$4,AE50-AO$3)-(AO$5/200*PI()))*SQRT((AE50-AO$3)^2+(AF50-AO$4)^2),"-")</f>
        <v/>
      </c>
      <c r="AN50" s="95">
        <f>IF(ISNUMBER(AL50),AG50-AO50,"-")</f>
        <v/>
      </c>
      <c r="AO50" s="96">
        <f>IF(ISNUMBER(AF50),((AL50-$AO$7)*AO$9)+AO$8,"-")</f>
        <v/>
      </c>
      <c r="AQ50" s="103" t="n"/>
      <c r="AV50" s="89">
        <f>AB50</f>
        <v/>
      </c>
      <c r="AW50" s="100">
        <f>AC50</f>
        <v/>
      </c>
      <c r="AX50" s="170">
        <f>AE50</f>
        <v/>
      </c>
      <c r="AY50" s="170">
        <f>AF50</f>
        <v/>
      </c>
      <c r="AZ50" s="170">
        <f>AG50</f>
        <v/>
      </c>
      <c r="BA50" s="170">
        <f>AL50+$AY$1</f>
        <v/>
      </c>
      <c r="BB50" s="170">
        <f>AM50</f>
        <v/>
      </c>
      <c r="BC50" s="171">
        <f>AN50</f>
        <v/>
      </c>
    </row>
    <row r="51" ht="15" customHeight="1" s="144">
      <c r="AB51" s="89" t="n">
        <v>45560</v>
      </c>
      <c r="AC51" s="104" t="inlineStr">
        <is>
          <t>D</t>
        </is>
      </c>
      <c r="AD51" s="91" t="inlineStr">
        <is>
          <t>IHA21.3</t>
        </is>
      </c>
      <c r="AE51" s="90" t="n">
        <v>823149.9895</v>
      </c>
      <c r="AF51" s="90" t="n">
        <v>1091705.082325</v>
      </c>
      <c r="AG51" s="92" t="n">
        <v>-121.782675</v>
      </c>
      <c r="AL51" s="93">
        <f>IF(ISNUMBER(AE51),COS(ATAN2(AF51-AO$4,AE51-AO$3)-(AO$5/200*PI()))*SQRT((AE51-AO$3)^2+(AF51-AO$4)^2),"-")</f>
        <v/>
      </c>
      <c r="AM51" s="94">
        <f>IF(ISNUMBER(AE51),SIN(ATAN2(AF51-AO$4,AE51-AO$3)-(AO$5/200*PI()))*SQRT((AE51-AO$3)^2+(AF51-AO$4)^2),"-")</f>
        <v/>
      </c>
      <c r="AN51" s="95">
        <f>IF(ISNUMBER(AL51),AG51-AO51,"-")</f>
        <v/>
      </c>
      <c r="AO51" s="96">
        <f>IF(ISNUMBER(AF51),((AL51-$AO$7)*AO$9)+AO$8,"-")</f>
        <v/>
      </c>
      <c r="AQ51" s="103" t="n"/>
      <c r="AV51" s="89">
        <f>AB51</f>
        <v/>
      </c>
      <c r="AW51" s="100">
        <f>AC51</f>
        <v/>
      </c>
      <c r="AX51" s="170">
        <f>AE51</f>
        <v/>
      </c>
      <c r="AY51" s="170">
        <f>AF51</f>
        <v/>
      </c>
      <c r="AZ51" s="170">
        <f>AG51</f>
        <v/>
      </c>
      <c r="BA51" s="170">
        <f>AL51+$AY$1</f>
        <v/>
      </c>
      <c r="BB51" s="170">
        <f>AM51</f>
        <v/>
      </c>
      <c r="BC51" s="171">
        <f>AN51</f>
        <v/>
      </c>
    </row>
    <row r="52" ht="15" customHeight="1" s="144">
      <c r="AB52" s="89" t="n">
        <v>45560</v>
      </c>
      <c r="AC52" s="104" t="inlineStr">
        <is>
          <t>C</t>
        </is>
      </c>
      <c r="AD52" s="91" t="inlineStr">
        <is>
          <t>IHA21.4</t>
        </is>
      </c>
      <c r="AE52" s="90" t="n">
        <v>823147.5652</v>
      </c>
      <c r="AF52" s="90" t="n">
        <v>1091710.4099</v>
      </c>
      <c r="AG52" s="92" t="n">
        <v>-122.3544</v>
      </c>
      <c r="AL52" s="93">
        <f>IF(ISNUMBER(AE52),COS(ATAN2(AF52-AO$4,AE52-AO$3)-(AO$5/200*PI()))*SQRT((AE52-AO$3)^2+(AF52-AO$4)^2),"-")</f>
        <v/>
      </c>
      <c r="AM52" s="94">
        <f>IF(ISNUMBER(AE52),SIN(ATAN2(AF52-AO$4,AE52-AO$3)-(AO$5/200*PI()))*SQRT((AE52-AO$3)^2+(AF52-AO$4)^2),"-")</f>
        <v/>
      </c>
      <c r="AN52" s="95">
        <f>IF(ISNUMBER(AL52),AG52-AO52,"-")</f>
        <v/>
      </c>
      <c r="AO52" s="96">
        <f>IF(ISNUMBER(AF52),((AL52-$AO$7)*AO$9)+AO$8,"-")</f>
        <v/>
      </c>
      <c r="AQ52" s="103" t="n"/>
      <c r="AV52" s="89">
        <f>AB52</f>
        <v/>
      </c>
      <c r="AW52" s="100">
        <f>AC52</f>
        <v/>
      </c>
      <c r="AX52" s="170">
        <f>AE52</f>
        <v/>
      </c>
      <c r="AY52" s="170">
        <f>AF52</f>
        <v/>
      </c>
      <c r="AZ52" s="170">
        <f>AG52</f>
        <v/>
      </c>
      <c r="BA52" s="170">
        <f>AL52+$AY$1</f>
        <v/>
      </c>
      <c r="BB52" s="170">
        <f>AM52</f>
        <v/>
      </c>
      <c r="BC52" s="171">
        <f>AN52</f>
        <v/>
      </c>
    </row>
    <row r="53" ht="15" customHeight="1" s="144">
      <c r="AB53" s="89" t="n">
        <v>45562</v>
      </c>
      <c r="AC53" s="104" t="inlineStr">
        <is>
          <t>A</t>
        </is>
      </c>
      <c r="AD53" s="91" t="inlineStr">
        <is>
          <t>HA.HA21.1</t>
        </is>
      </c>
      <c r="AE53" s="90" t="n">
        <v>823147.6491</v>
      </c>
      <c r="AF53" s="90" t="n">
        <v>1091710.085</v>
      </c>
      <c r="AG53" s="92" t="n">
        <v>-121.5702</v>
      </c>
      <c r="AI53" s="172" t="n"/>
      <c r="AL53" s="93">
        <f>IF(ISNUMBER(AE53),COS(ATAN2(AF53-AO$4,AE53-AO$3)-(AO$5/200*PI()))*SQRT((AE53-AO$3)^2+(AF53-AO$4)^2),"-")</f>
        <v/>
      </c>
      <c r="AM53" s="94">
        <f>IF(ISNUMBER(AE53),SIN(ATAN2(AF53-AO$4,AE53-AO$3)-(AO$5/200*PI()))*SQRT((AE53-AO$3)^2+(AF53-AO$4)^2),"-")</f>
        <v/>
      </c>
      <c r="AN53" s="95">
        <f>IF(ISNUMBER(AL53),AG53-AO53,"-")</f>
        <v/>
      </c>
      <c r="AO53" s="96">
        <f>IF(ISNUMBER(AF53),((AL53-$AO$7)*AO$9)+AO$8,"-")</f>
        <v/>
      </c>
      <c r="AQ53" s="103" t="n"/>
      <c r="AV53" s="89">
        <f>AB53</f>
        <v/>
      </c>
      <c r="AW53" s="100">
        <f>AC53</f>
        <v/>
      </c>
      <c r="AX53" s="170">
        <f>AE53</f>
        <v/>
      </c>
      <c r="AY53" s="170">
        <f>AF53</f>
        <v/>
      </c>
      <c r="AZ53" s="170">
        <f>AG53</f>
        <v/>
      </c>
      <c r="BA53" s="170">
        <f>AL53+$AY$1</f>
        <v/>
      </c>
      <c r="BB53" s="170">
        <f>AM53</f>
        <v/>
      </c>
      <c r="BC53" s="171">
        <f>AN53</f>
        <v/>
      </c>
    </row>
    <row r="54" ht="15" customHeight="1" s="144">
      <c r="AB54" s="89" t="n">
        <v>45562</v>
      </c>
      <c r="AC54" s="104" t="inlineStr">
        <is>
          <t>B</t>
        </is>
      </c>
      <c r="AD54" s="91" t="inlineStr">
        <is>
          <t>HA.HA21.2</t>
        </is>
      </c>
      <c r="AE54" s="90" t="n">
        <v>823147.5918000001</v>
      </c>
      <c r="AF54" s="90" t="n">
        <v>1091710.253</v>
      </c>
      <c r="AG54" s="92" t="n">
        <v>-121.9083</v>
      </c>
      <c r="AI54" s="172" t="n"/>
      <c r="AL54" s="93">
        <f>IF(ISNUMBER(AE54),COS(ATAN2(AF54-AO$4,AE54-AO$3)-(AO$5/200*PI()))*SQRT((AE54-AO$3)^2+(AF54-AO$4)^2),"-")</f>
        <v/>
      </c>
      <c r="AM54" s="94">
        <f>IF(ISNUMBER(AE54),SIN(ATAN2(AF54-AO$4,AE54-AO$3)-(AO$5/200*PI()))*SQRT((AE54-AO$3)^2+(AF54-AO$4)^2),"-")</f>
        <v/>
      </c>
      <c r="AN54" s="95">
        <f>IF(ISNUMBER(AL54),AG54-AO54,"-")</f>
        <v/>
      </c>
      <c r="AO54" s="96">
        <f>IF(ISNUMBER(AF54),((AL54-$AO$7)*AO$9)+AO$8,"-")</f>
        <v/>
      </c>
      <c r="AQ54" s="103" t="n"/>
      <c r="AV54" s="89">
        <f>AB54</f>
        <v/>
      </c>
      <c r="AW54" s="100">
        <f>AC54</f>
        <v/>
      </c>
      <c r="AX54" s="170">
        <f>AE54</f>
        <v/>
      </c>
      <c r="AY54" s="170">
        <f>AF54</f>
        <v/>
      </c>
      <c r="AZ54" s="170">
        <f>AG54</f>
        <v/>
      </c>
      <c r="BA54" s="170">
        <f>AL54+$AY$1</f>
        <v/>
      </c>
      <c r="BB54" s="170">
        <f>AM54</f>
        <v/>
      </c>
      <c r="BC54" s="171">
        <f>AN54</f>
        <v/>
      </c>
    </row>
    <row r="55" ht="15" customHeight="1" s="144">
      <c r="AB55" s="89" t="n">
        <v>45562</v>
      </c>
      <c r="AC55" s="104" t="inlineStr">
        <is>
          <t>D</t>
        </is>
      </c>
      <c r="AD55" s="91" t="inlineStr">
        <is>
          <t>HA.HA21.3</t>
        </is>
      </c>
      <c r="AE55" s="90" t="n">
        <v>823149.9896</v>
      </c>
      <c r="AF55" s="90" t="n">
        <v>1091705.0822</v>
      </c>
      <c r="AG55" s="92" t="n">
        <v>-121.7826</v>
      </c>
      <c r="AI55" s="172" t="n"/>
      <c r="AL55" s="93">
        <f>IF(ISNUMBER(AE55),COS(ATAN2(AF55-AO$4,AE55-AO$3)-(AO$5/200*PI()))*SQRT((AE55-AO$3)^2+(AF55-AO$4)^2),"-")</f>
        <v/>
      </c>
      <c r="AM55" s="94">
        <f>IF(ISNUMBER(AE55),SIN(ATAN2(AF55-AO$4,AE55-AO$3)-(AO$5/200*PI()))*SQRT((AE55-AO$3)^2+(AF55-AO$4)^2),"-")</f>
        <v/>
      </c>
      <c r="AN55" s="95">
        <f>IF(ISNUMBER(AL55),AG55-AO55,"-")</f>
        <v/>
      </c>
      <c r="AO55" s="96">
        <f>IF(ISNUMBER(AF55),((AL55-$AO$7)*AO$9)+AO$8,"-")</f>
        <v/>
      </c>
      <c r="AQ55" s="103" t="n"/>
      <c r="AV55" s="89">
        <f>AB55</f>
        <v/>
      </c>
      <c r="AW55" s="100">
        <f>AC55</f>
        <v/>
      </c>
      <c r="AX55" s="170">
        <f>AE55</f>
        <v/>
      </c>
      <c r="AY55" s="170">
        <f>AF55</f>
        <v/>
      </c>
      <c r="AZ55" s="170">
        <f>AG55</f>
        <v/>
      </c>
      <c r="BA55" s="170">
        <f>AL55+$AY$1</f>
        <v/>
      </c>
      <c r="BB55" s="170">
        <f>AM55</f>
        <v/>
      </c>
      <c r="BC55" s="171">
        <f>AN55</f>
        <v/>
      </c>
    </row>
    <row r="56" ht="15" customHeight="1" s="144">
      <c r="AB56" s="89" t="n">
        <v>45562</v>
      </c>
      <c r="AC56" s="104" t="inlineStr">
        <is>
          <t>C</t>
        </is>
      </c>
      <c r="AD56" s="91" t="inlineStr">
        <is>
          <t>HA.HA21.4</t>
        </is>
      </c>
      <c r="AE56" s="90" t="n">
        <v>823147.5657</v>
      </c>
      <c r="AF56" s="90" t="n">
        <v>1091710.41</v>
      </c>
      <c r="AG56" s="92" t="n">
        <v>-122.3545</v>
      </c>
      <c r="AI56" s="172" t="n"/>
      <c r="AL56" s="93">
        <f>IF(ISNUMBER(AE56),COS(ATAN2(AF56-AO$4,AE56-AO$3)-(AO$5/200*PI()))*SQRT((AE56-AO$3)^2+(AF56-AO$4)^2),"-")</f>
        <v/>
      </c>
      <c r="AM56" s="94">
        <f>IF(ISNUMBER(AE56),SIN(ATAN2(AF56-AO$4,AE56-AO$3)-(AO$5/200*PI()))*SQRT((AE56-AO$3)^2+(AF56-AO$4)^2),"-")</f>
        <v/>
      </c>
      <c r="AN56" s="95">
        <f>IF(ISNUMBER(AL56),AG56-AO56,"-")</f>
        <v/>
      </c>
      <c r="AO56" s="96">
        <f>IF(ISNUMBER(AF56),((AL56-$AO$7)*AO$9)+AO$8,"-")</f>
        <v/>
      </c>
      <c r="AQ56" s="103" t="n"/>
      <c r="AV56" s="89">
        <f>AB56</f>
        <v/>
      </c>
      <c r="AW56" s="100">
        <f>AC56</f>
        <v/>
      </c>
      <c r="AX56" s="170">
        <f>AE56</f>
        <v/>
      </c>
      <c r="AY56" s="170">
        <f>AF56</f>
        <v/>
      </c>
      <c r="AZ56" s="170">
        <f>AG56</f>
        <v/>
      </c>
      <c r="BA56" s="170">
        <f>AL56+$AY$1</f>
        <v/>
      </c>
      <c r="BB56" s="170">
        <f>AM56</f>
        <v/>
      </c>
      <c r="BC56" s="171">
        <f>AN56</f>
        <v/>
      </c>
    </row>
    <row r="57" ht="15" customHeight="1" s="144">
      <c r="AB57" s="89" t="n">
        <v>45565</v>
      </c>
      <c r="AC57" s="104" t="inlineStr">
        <is>
          <t>A</t>
        </is>
      </c>
      <c r="AD57" s="91" t="inlineStr">
        <is>
          <t>GER.HA21.1</t>
        </is>
      </c>
      <c r="AE57" s="90" t="n">
        <v>823147.6486</v>
      </c>
      <c r="AF57" s="90" t="n">
        <v>1091710.0845</v>
      </c>
      <c r="AG57" s="92" t="n">
        <v>-121.5704</v>
      </c>
      <c r="AL57" s="93">
        <f>IF(ISNUMBER(AE57),COS(ATAN2(AF57-AO$4,AE57-AO$3)-(AO$5/200*PI()))*SQRT((AE57-AO$3)^2+(AF57-AO$4)^2),"-")</f>
        <v/>
      </c>
      <c r="AM57" s="94">
        <f>IF(ISNUMBER(AE57),SIN(ATAN2(AF57-AO$4,AE57-AO$3)-(AO$5/200*PI()))*SQRT((AE57-AO$3)^2+(AF57-AO$4)^2),"-")</f>
        <v/>
      </c>
      <c r="AN57" s="95">
        <f>IF(ISNUMBER(AL57),AG57-AO57,"-")</f>
        <v/>
      </c>
      <c r="AO57" s="96">
        <f>IF(ISNUMBER(AF57),((AL57-$AO$7)*AO$9)+AO$8,"-")</f>
        <v/>
      </c>
      <c r="AQ57" s="103" t="n"/>
      <c r="AV57" s="89">
        <f>AB57</f>
        <v/>
      </c>
      <c r="AW57" s="100">
        <f>AC57</f>
        <v/>
      </c>
      <c r="AX57" s="170">
        <f>AE57</f>
        <v/>
      </c>
      <c r="AY57" s="170">
        <f>AF57</f>
        <v/>
      </c>
      <c r="AZ57" s="170">
        <f>AG57</f>
        <v/>
      </c>
      <c r="BA57" s="170">
        <f>AL57+$AY$1</f>
        <v/>
      </c>
      <c r="BB57" s="170">
        <f>AM57</f>
        <v/>
      </c>
      <c r="BC57" s="171">
        <f>AN57</f>
        <v/>
      </c>
    </row>
    <row r="58" ht="15" customHeight="1" s="144">
      <c r="AB58" s="89" t="n">
        <v>45565</v>
      </c>
      <c r="AC58" s="104" t="inlineStr">
        <is>
          <t>B</t>
        </is>
      </c>
      <c r="AD58" s="91" t="inlineStr">
        <is>
          <t>GER.HA21.2</t>
        </is>
      </c>
      <c r="AE58" s="90" t="n">
        <v>823147.5918000001</v>
      </c>
      <c r="AF58" s="90" t="n">
        <v>1091710.2524</v>
      </c>
      <c r="AG58" s="92" t="n">
        <v>-121.908</v>
      </c>
      <c r="AL58" s="93">
        <f>IF(ISNUMBER(AE58),COS(ATAN2(AF58-AO$4,AE58-AO$3)-(AO$5/200*PI()))*SQRT((AE58-AO$3)^2+(AF58-AO$4)^2),"-")</f>
        <v/>
      </c>
      <c r="AM58" s="94">
        <f>IF(ISNUMBER(AE58),SIN(ATAN2(AF58-AO$4,AE58-AO$3)-(AO$5/200*PI()))*SQRT((AE58-AO$3)^2+(AF58-AO$4)^2),"-")</f>
        <v/>
      </c>
      <c r="AN58" s="95">
        <f>IF(ISNUMBER(AL58),AG58-AO58,"-")</f>
        <v/>
      </c>
      <c r="AO58" s="96">
        <f>IF(ISNUMBER(AF58),((AL58-$AO$7)*AO$9)+AO$8,"-")</f>
        <v/>
      </c>
      <c r="AQ58" s="103" t="n"/>
      <c r="AV58" s="89">
        <f>AB58</f>
        <v/>
      </c>
      <c r="AW58" s="100">
        <f>AC58</f>
        <v/>
      </c>
      <c r="AX58" s="170">
        <f>AE58</f>
        <v/>
      </c>
      <c r="AY58" s="170">
        <f>AF58</f>
        <v/>
      </c>
      <c r="AZ58" s="170">
        <f>AG58</f>
        <v/>
      </c>
      <c r="BA58" s="170">
        <f>AL58+$AY$1</f>
        <v/>
      </c>
      <c r="BB58" s="170">
        <f>AM58</f>
        <v/>
      </c>
      <c r="BC58" s="171">
        <f>AN58</f>
        <v/>
      </c>
    </row>
    <row r="59" ht="15" customHeight="1" s="144">
      <c r="AB59" s="89" t="n">
        <v>45565</v>
      </c>
      <c r="AC59" s="104" t="inlineStr">
        <is>
          <t>D</t>
        </is>
      </c>
      <c r="AD59" s="91" t="inlineStr">
        <is>
          <t>GER.HA21.3</t>
        </is>
      </c>
      <c r="AE59" s="90" t="n">
        <v>823149.9891</v>
      </c>
      <c r="AF59" s="90" t="n">
        <v>1091705.0819</v>
      </c>
      <c r="AG59" s="92" t="n">
        <v>-121.7827</v>
      </c>
      <c r="AL59" s="93">
        <f>IF(ISNUMBER(AE59),COS(ATAN2(AF59-AO$4,AE59-AO$3)-(AO$5/200*PI()))*SQRT((AE59-AO$3)^2+(AF59-AO$4)^2),"-")</f>
        <v/>
      </c>
      <c r="AM59" s="94">
        <f>IF(ISNUMBER(AE59),SIN(ATAN2(AF59-AO$4,AE59-AO$3)-(AO$5/200*PI()))*SQRT((AE59-AO$3)^2+(AF59-AO$4)^2),"-")</f>
        <v/>
      </c>
      <c r="AN59" s="95">
        <f>IF(ISNUMBER(AL59),AG59-AO59,"-")</f>
        <v/>
      </c>
      <c r="AO59" s="96">
        <f>IF(ISNUMBER(AF59),((AL59-$AO$7)*AO$9)+AO$8,"-")</f>
        <v/>
      </c>
      <c r="AQ59" s="103" t="n"/>
      <c r="AV59" s="89">
        <f>AB59</f>
        <v/>
      </c>
      <c r="AW59" s="100">
        <f>AC59</f>
        <v/>
      </c>
      <c r="AX59" s="170">
        <f>AE59</f>
        <v/>
      </c>
      <c r="AY59" s="170">
        <f>AF59</f>
        <v/>
      </c>
      <c r="AZ59" s="170">
        <f>AG59</f>
        <v/>
      </c>
      <c r="BA59" s="170">
        <f>AL59+$AY$1</f>
        <v/>
      </c>
      <c r="BB59" s="170">
        <f>AM59</f>
        <v/>
      </c>
      <c r="BC59" s="171">
        <f>AN59</f>
        <v/>
      </c>
    </row>
    <row r="60" ht="15" customHeight="1" s="144">
      <c r="AB60" s="89" t="n">
        <v>45565</v>
      </c>
      <c r="AC60" s="104" t="inlineStr">
        <is>
          <t>C</t>
        </is>
      </c>
      <c r="AD60" s="91" t="inlineStr">
        <is>
          <t>GER.HA21.4</t>
        </is>
      </c>
      <c r="AE60" s="90" t="n">
        <v>823147.5653</v>
      </c>
      <c r="AF60" s="90" t="n">
        <v>1091710.4097</v>
      </c>
      <c r="AG60" s="92" t="n">
        <v>-122.3547</v>
      </c>
      <c r="AL60" s="93">
        <f>IF(ISNUMBER(AE60),COS(ATAN2(AF60-AO$4,AE60-AO$3)-(AO$5/200*PI()))*SQRT((AE60-AO$3)^2+(AF60-AO$4)^2),"-")</f>
        <v/>
      </c>
      <c r="AM60" s="94">
        <f>IF(ISNUMBER(AE60),SIN(ATAN2(AF60-AO$4,AE60-AO$3)-(AO$5/200*PI()))*SQRT((AE60-AO$3)^2+(AF60-AO$4)^2),"-")</f>
        <v/>
      </c>
      <c r="AN60" s="95">
        <f>IF(ISNUMBER(AL60),AG60-AO60,"-")</f>
        <v/>
      </c>
      <c r="AO60" s="96">
        <f>IF(ISNUMBER(AF60),((AL60-$AO$7)*AO$9)+AO$8,"-")</f>
        <v/>
      </c>
      <c r="AQ60" s="103" t="n"/>
      <c r="AV60" s="89">
        <f>AB60</f>
        <v/>
      </c>
      <c r="AW60" s="100">
        <f>AC60</f>
        <v/>
      </c>
      <c r="AX60" s="170">
        <f>AE60</f>
        <v/>
      </c>
      <c r="AY60" s="170">
        <f>AF60</f>
        <v/>
      </c>
      <c r="AZ60" s="170">
        <f>AG60</f>
        <v/>
      </c>
      <c r="BA60" s="170">
        <f>AL60+$AY$1</f>
        <v/>
      </c>
      <c r="BB60" s="170">
        <f>AM60</f>
        <v/>
      </c>
      <c r="BC60" s="171">
        <f>AN60</f>
        <v/>
      </c>
    </row>
    <row r="61" ht="15" customHeight="1" s="144">
      <c r="AB61" s="89" t="n">
        <v>45567</v>
      </c>
      <c r="AC61" s="90" t="inlineStr">
        <is>
          <t>A</t>
        </is>
      </c>
      <c r="AD61" s="91" t="inlineStr">
        <is>
          <t>HA3.1</t>
        </is>
      </c>
      <c r="AE61" s="90" t="n">
        <v>823147.6492</v>
      </c>
      <c r="AF61" s="90" t="n">
        <v>1091710.0849</v>
      </c>
      <c r="AG61" s="92" t="n">
        <v>-121.5702</v>
      </c>
      <c r="AL61" s="93">
        <f>IF(ISNUMBER(AE61),COS(ATAN2(AF61-AO$4,AE61-AO$3)-(AO$5/200*PI()))*SQRT((AE61-AO$3)^2+(AF61-AO$4)^2),"-")</f>
        <v/>
      </c>
      <c r="AM61" s="94">
        <f>IF(ISNUMBER(AE61),SIN(ATAN2(AF61-AO$4,AE61-AO$3)-(AO$5/200*PI()))*SQRT((AE61-AO$3)^2+(AF61-AO$4)^2),"-")</f>
        <v/>
      </c>
      <c r="AN61" s="95">
        <f>IF(ISNUMBER(AL61),AG61-AO61,"-")</f>
        <v/>
      </c>
      <c r="AO61" s="96">
        <f>IF(ISNUMBER(AF61),((AL61-$AO$7)*AO$9)+AO$8,"-")</f>
        <v/>
      </c>
      <c r="AQ61" s="103" t="n"/>
      <c r="AV61" s="89">
        <f>AB61</f>
        <v/>
      </c>
      <c r="AW61" s="100">
        <f>AC61</f>
        <v/>
      </c>
      <c r="AX61" s="170">
        <f>AE61</f>
        <v/>
      </c>
      <c r="AY61" s="170">
        <f>AF61</f>
        <v/>
      </c>
      <c r="AZ61" s="170">
        <f>AG61</f>
        <v/>
      </c>
      <c r="BA61" s="170">
        <f>AL61+$AY$1</f>
        <v/>
      </c>
      <c r="BB61" s="170">
        <f>AM61</f>
        <v/>
      </c>
      <c r="BC61" s="171">
        <f>AN61</f>
        <v/>
      </c>
    </row>
    <row r="62" ht="15" customHeight="1" s="144">
      <c r="AB62" s="89" t="n">
        <v>45567</v>
      </c>
      <c r="AC62" s="90" t="inlineStr">
        <is>
          <t>B</t>
        </is>
      </c>
      <c r="AD62" s="91" t="inlineStr">
        <is>
          <t>HA3.2</t>
        </is>
      </c>
      <c r="AE62" s="90" t="n">
        <v>823147.5918000001</v>
      </c>
      <c r="AF62" s="90" t="n">
        <v>1091710.2522</v>
      </c>
      <c r="AG62" s="92" t="n">
        <v>-121.9081</v>
      </c>
      <c r="AL62" s="93">
        <f>IF(ISNUMBER(AE62),COS(ATAN2(AF62-AO$4,AE62-AO$3)-(AO$5/200*PI()))*SQRT((AE62-AO$3)^2+(AF62-AO$4)^2),"-")</f>
        <v/>
      </c>
      <c r="AM62" s="94">
        <f>IF(ISNUMBER(AE62),SIN(ATAN2(AF62-AO$4,AE62-AO$3)-(AO$5/200*PI()))*SQRT((AE62-AO$3)^2+(AF62-AO$4)^2),"-")</f>
        <v/>
      </c>
      <c r="AN62" s="95">
        <f>IF(ISNUMBER(AL62),AG62-AO62,"-")</f>
        <v/>
      </c>
      <c r="AO62" s="96">
        <f>IF(ISNUMBER(AF62),((AL62-$AO$7)*AO$9)+AO$8,"-")</f>
        <v/>
      </c>
      <c r="AQ62" s="103" t="n"/>
      <c r="AV62" s="89">
        <f>AB62</f>
        <v/>
      </c>
      <c r="AW62" s="100">
        <f>AC62</f>
        <v/>
      </c>
      <c r="AX62" s="170">
        <f>AE62</f>
        <v/>
      </c>
      <c r="AY62" s="170">
        <f>AF62</f>
        <v/>
      </c>
      <c r="AZ62" s="170">
        <f>AG62</f>
        <v/>
      </c>
      <c r="BA62" s="170">
        <f>AL62+$AY$1</f>
        <v/>
      </c>
      <c r="BB62" s="170">
        <f>AM62</f>
        <v/>
      </c>
      <c r="BC62" s="171">
        <f>AN62</f>
        <v/>
      </c>
    </row>
    <row r="63" ht="15" customHeight="1" s="144">
      <c r="AB63" s="89" t="n">
        <v>45567</v>
      </c>
      <c r="AC63" s="90" t="inlineStr">
        <is>
          <t>D</t>
        </is>
      </c>
      <c r="AD63" s="91" t="inlineStr">
        <is>
          <t>HA3.3</t>
        </is>
      </c>
      <c r="AE63" s="90" t="n">
        <v>823149.9898</v>
      </c>
      <c r="AF63" s="90" t="n">
        <v>1091705.0821</v>
      </c>
      <c r="AG63" s="92" t="n">
        <v>-121.7825</v>
      </c>
      <c r="AL63" s="93">
        <f>IF(ISNUMBER(AE63),COS(ATAN2(AF63-AO$4,AE63-AO$3)-(AO$5/200*PI()))*SQRT((AE63-AO$3)^2+(AF63-AO$4)^2),"-")</f>
        <v/>
      </c>
      <c r="AM63" s="94">
        <f>IF(ISNUMBER(AE63),SIN(ATAN2(AF63-AO$4,AE63-AO$3)-(AO$5/200*PI()))*SQRT((AE63-AO$3)^2+(AF63-AO$4)^2),"-")</f>
        <v/>
      </c>
      <c r="AN63" s="95">
        <f>IF(ISNUMBER(AL63),AG63-AO63,"-")</f>
        <v/>
      </c>
      <c r="AO63" s="96">
        <f>IF(ISNUMBER(AF63),((AL63-$AO$7)*AO$9)+AO$8,"-")</f>
        <v/>
      </c>
      <c r="AQ63" s="103" t="n"/>
      <c r="AV63" s="89">
        <f>AB63</f>
        <v/>
      </c>
      <c r="AW63" s="100">
        <f>AC63</f>
        <v/>
      </c>
      <c r="AX63" s="170">
        <f>AE63</f>
        <v/>
      </c>
      <c r="AY63" s="170">
        <f>AF63</f>
        <v/>
      </c>
      <c r="AZ63" s="170">
        <f>AG63</f>
        <v/>
      </c>
      <c r="BA63" s="170">
        <f>AL63+$AY$1</f>
        <v/>
      </c>
      <c r="BB63" s="170">
        <f>AM63</f>
        <v/>
      </c>
      <c r="BC63" s="171">
        <f>AN63</f>
        <v/>
      </c>
    </row>
    <row r="64" ht="15" customHeight="1" s="144">
      <c r="AB64" s="89" t="n">
        <v>45567</v>
      </c>
      <c r="AC64" s="90" t="inlineStr">
        <is>
          <t>C</t>
        </is>
      </c>
      <c r="AD64" s="91" t="inlineStr">
        <is>
          <t>HA3.4</t>
        </is>
      </c>
      <c r="AE64" s="90" t="n">
        <v>823147.5658</v>
      </c>
      <c r="AF64" s="90" t="n">
        <v>1091710.4099</v>
      </c>
      <c r="AG64" s="92" t="n">
        <v>-122.3545</v>
      </c>
      <c r="AL64" s="93">
        <f>IF(ISNUMBER(AE64),COS(ATAN2(AF64-AO$4,AE64-AO$3)-(AO$5/200*PI()))*SQRT((AE64-AO$3)^2+(AF64-AO$4)^2),"-")</f>
        <v/>
      </c>
      <c r="AM64" s="94">
        <f>IF(ISNUMBER(AE64),SIN(ATAN2(AF64-AO$4,AE64-AO$3)-(AO$5/200*PI()))*SQRT((AE64-AO$3)^2+(AF64-AO$4)^2),"-")</f>
        <v/>
      </c>
      <c r="AN64" s="95">
        <f>IF(ISNUMBER(AL64),AG64-AO64,"-")</f>
        <v/>
      </c>
      <c r="AO64" s="96">
        <f>IF(ISNUMBER(AF64),((AL64-$AO$7)*AO$9)+AO$8,"-")</f>
        <v/>
      </c>
      <c r="AQ64" s="103" t="n"/>
      <c r="AV64" s="89">
        <f>AB64</f>
        <v/>
      </c>
      <c r="AW64" s="100">
        <f>AC64</f>
        <v/>
      </c>
      <c r="AX64" s="170">
        <f>AE64</f>
        <v/>
      </c>
      <c r="AY64" s="170">
        <f>AF64</f>
        <v/>
      </c>
      <c r="AZ64" s="170">
        <f>AG64</f>
        <v/>
      </c>
      <c r="BA64" s="170">
        <f>AL64+$AY$1</f>
        <v/>
      </c>
      <c r="BB64" s="170">
        <f>AM64</f>
        <v/>
      </c>
      <c r="BC64" s="171">
        <f>AN64</f>
        <v/>
      </c>
    </row>
    <row r="65" ht="15" customHeight="1" s="144">
      <c r="AB65" s="89" t="n">
        <v>45569</v>
      </c>
      <c r="AC65" s="90" t="inlineStr">
        <is>
          <t>A</t>
        </is>
      </c>
      <c r="AD65" s="91" t="n">
        <v>1</v>
      </c>
      <c r="AE65" s="90" t="n">
        <v>823147.6493</v>
      </c>
      <c r="AF65" s="90" t="n">
        <v>1091710.0854</v>
      </c>
      <c r="AG65" s="92" t="n">
        <v>-121.5705</v>
      </c>
      <c r="AL65" s="93">
        <f>IF(ISNUMBER(AE65),COS(ATAN2(AF65-AO$4,AE65-AO$3)-(AO$5/200*PI()))*SQRT((AE65-AO$3)^2+(AF65-AO$4)^2),"-")</f>
        <v/>
      </c>
      <c r="AM65" s="94">
        <f>IF(ISNUMBER(AE65),SIN(ATAN2(AF65-AO$4,AE65-AO$3)-(AO$5/200*PI()))*SQRT((AE65-AO$3)^2+(AF65-AO$4)^2),"-")</f>
        <v/>
      </c>
      <c r="AN65" s="95">
        <f>IF(ISNUMBER(AL65),AG65-AO65,"-")</f>
        <v/>
      </c>
      <c r="AO65" s="96">
        <f>IF(ISNUMBER(AF65),((AL65-$AO$7)*AO$9)+AO$8,"-")</f>
        <v/>
      </c>
      <c r="AQ65" s="103" t="n"/>
      <c r="AV65" s="89">
        <f>AB65</f>
        <v/>
      </c>
      <c r="AW65" s="100">
        <f>AC65</f>
        <v/>
      </c>
      <c r="AX65" s="170">
        <f>AE65</f>
        <v/>
      </c>
      <c r="AY65" s="170">
        <f>AF65</f>
        <v/>
      </c>
      <c r="AZ65" s="170">
        <f>AG65</f>
        <v/>
      </c>
      <c r="BA65" s="170">
        <f>AL65+$AY$1</f>
        <v/>
      </c>
      <c r="BB65" s="170">
        <f>AM65</f>
        <v/>
      </c>
      <c r="BC65" s="171">
        <f>AN65</f>
        <v/>
      </c>
    </row>
    <row r="66" ht="15" customHeight="1" s="144">
      <c r="AB66" s="89" t="n">
        <v>45569</v>
      </c>
      <c r="AC66" s="90" t="inlineStr">
        <is>
          <t>B</t>
        </is>
      </c>
      <c r="AD66" s="91" t="n">
        <v>2</v>
      </c>
      <c r="AE66" s="90" t="n">
        <v>823147.5917</v>
      </c>
      <c r="AF66" s="90" t="n">
        <v>1091710.2521</v>
      </c>
      <c r="AG66" s="92" t="n">
        <v>-121.9085</v>
      </c>
      <c r="AL66" s="93">
        <f>IF(ISNUMBER(AE66),COS(ATAN2(AF66-AO$4,AE66-AO$3)-(AO$5/200*PI()))*SQRT((AE66-AO$3)^2+(AF66-AO$4)^2),"-")</f>
        <v/>
      </c>
      <c r="AM66" s="94">
        <f>IF(ISNUMBER(AE66),SIN(ATAN2(AF66-AO$4,AE66-AO$3)-(AO$5/200*PI()))*SQRT((AE66-AO$3)^2+(AF66-AO$4)^2),"-")</f>
        <v/>
      </c>
      <c r="AN66" s="95">
        <f>IF(ISNUMBER(AL66),AG66-AO66,"-")</f>
        <v/>
      </c>
      <c r="AO66" s="96">
        <f>IF(ISNUMBER(AF66),((AL66-$AO$7)*AO$9)+AO$8,"-")</f>
        <v/>
      </c>
      <c r="AQ66" s="103" t="n"/>
      <c r="AV66" s="89">
        <f>AB66</f>
        <v/>
      </c>
      <c r="AW66" s="100">
        <f>AC66</f>
        <v/>
      </c>
      <c r="AX66" s="170">
        <f>AE66</f>
        <v/>
      </c>
      <c r="AY66" s="170">
        <f>AF66</f>
        <v/>
      </c>
      <c r="AZ66" s="170">
        <f>AG66</f>
        <v/>
      </c>
      <c r="BA66" s="170">
        <f>AL66+$AY$1</f>
        <v/>
      </c>
      <c r="BB66" s="170">
        <f>AM66</f>
        <v/>
      </c>
      <c r="BC66" s="171">
        <f>AN66</f>
        <v/>
      </c>
    </row>
    <row r="67" ht="15" customHeight="1" s="144">
      <c r="AB67" s="89" t="n">
        <v>45569</v>
      </c>
      <c r="AC67" s="90" t="inlineStr">
        <is>
          <t>D</t>
        </is>
      </c>
      <c r="AD67" s="91" t="n">
        <v>3</v>
      </c>
      <c r="AE67" s="90" t="n">
        <v>823149.9897</v>
      </c>
      <c r="AF67" s="90" t="n">
        <v>1091705.0827</v>
      </c>
      <c r="AG67" s="92" t="n">
        <v>-121.7827</v>
      </c>
      <c r="AL67" s="93">
        <f>IF(ISNUMBER(AE67),COS(ATAN2(AF67-AO$4,AE67-AO$3)-(AO$5/200*PI()))*SQRT((AE67-AO$3)^2+(AF67-AO$4)^2),"-")</f>
        <v/>
      </c>
      <c r="AM67" s="94">
        <f>IF(ISNUMBER(AE67),SIN(ATAN2(AF67-AO$4,AE67-AO$3)-(AO$5/200*PI()))*SQRT((AE67-AO$3)^2+(AF67-AO$4)^2),"-")</f>
        <v/>
      </c>
      <c r="AN67" s="95">
        <f>IF(ISNUMBER(AL67),AG67-AO67,"-")</f>
        <v/>
      </c>
      <c r="AO67" s="96">
        <f>IF(ISNUMBER(AF67),((AL67-$AO$7)*AO$9)+AO$8,"-")</f>
        <v/>
      </c>
      <c r="AQ67" s="103" t="n"/>
      <c r="AV67" s="89">
        <f>AB67</f>
        <v/>
      </c>
      <c r="AW67" s="100">
        <f>AC67</f>
        <v/>
      </c>
      <c r="AX67" s="170">
        <f>AE67</f>
        <v/>
      </c>
      <c r="AY67" s="170">
        <f>AF67</f>
        <v/>
      </c>
      <c r="AZ67" s="170">
        <f>AG67</f>
        <v/>
      </c>
      <c r="BA67" s="170">
        <f>AL67+$AY$1</f>
        <v/>
      </c>
      <c r="BB67" s="170">
        <f>AM67</f>
        <v/>
      </c>
      <c r="BC67" s="171">
        <f>AN67</f>
        <v/>
      </c>
    </row>
    <row r="68" ht="15" customHeight="1" s="144">
      <c r="AB68" s="89" t="n">
        <v>45569</v>
      </c>
      <c r="AC68" s="90" t="inlineStr">
        <is>
          <t>C</t>
        </is>
      </c>
      <c r="AD68" s="91" t="n">
        <v>4</v>
      </c>
      <c r="AE68" s="90" t="n">
        <v>823147.566</v>
      </c>
      <c r="AF68" s="90" t="n">
        <v>1091710.4109</v>
      </c>
      <c r="AG68" s="92" t="n">
        <v>-122.3547</v>
      </c>
      <c r="AL68" s="93">
        <f>IF(ISNUMBER(AE68),COS(ATAN2(AF68-AO$4,AE68-AO$3)-(AO$5/200*PI()))*SQRT((AE68-AO$3)^2+(AF68-AO$4)^2),"-")</f>
        <v/>
      </c>
      <c r="AM68" s="94">
        <f>IF(ISNUMBER(AE68),SIN(ATAN2(AF68-AO$4,AE68-AO$3)-(AO$5/200*PI()))*SQRT((AE68-AO$3)^2+(AF68-AO$4)^2),"-")</f>
        <v/>
      </c>
      <c r="AN68" s="95">
        <f>IF(ISNUMBER(AL68),AG68-AO68,"-")</f>
        <v/>
      </c>
      <c r="AO68" s="96">
        <f>IF(ISNUMBER(AF68),((AL68-$AO$7)*AO$9)+AO$8,"-")</f>
        <v/>
      </c>
      <c r="AQ68" s="103" t="n"/>
      <c r="AV68" s="89">
        <f>AB68</f>
        <v/>
      </c>
      <c r="AW68" s="100">
        <f>AC68</f>
        <v/>
      </c>
      <c r="AX68" s="170">
        <f>AE68</f>
        <v/>
      </c>
      <c r="AY68" s="170">
        <f>AF68</f>
        <v/>
      </c>
      <c r="AZ68" s="170">
        <f>AG68</f>
        <v/>
      </c>
      <c r="BA68" s="170">
        <f>AL68+$AY$1</f>
        <v/>
      </c>
      <c r="BB68" s="170">
        <f>AM68</f>
        <v/>
      </c>
      <c r="BC68" s="171">
        <f>AN68</f>
        <v/>
      </c>
    </row>
    <row r="69" ht="15" customHeight="1" s="144">
      <c r="AB69" s="89" t="n">
        <v>45572</v>
      </c>
      <c r="AC69" s="90" t="inlineStr">
        <is>
          <t>A</t>
        </is>
      </c>
      <c r="AD69" s="91" t="inlineStr">
        <is>
          <t>HA3.C1</t>
        </is>
      </c>
      <c r="AE69" s="90" t="n">
        <v>823147.6493</v>
      </c>
      <c r="AF69" s="90" t="n">
        <v>1091710.0855</v>
      </c>
      <c r="AG69" s="92" t="n">
        <v>-121.5702</v>
      </c>
      <c r="AL69" s="93">
        <f>IF(ISNUMBER(AE69),COS(ATAN2(AF69-AO$4,AE69-AO$3)-(AO$5/200*PI()))*SQRT((AE69-AO$3)^2+(AF69-AO$4)^2),"-")</f>
        <v/>
      </c>
      <c r="AM69" s="94">
        <f>IF(ISNUMBER(AE69),SIN(ATAN2(AF69-AO$4,AE69-AO$3)-(AO$5/200*PI()))*SQRT((AE69-AO$3)^2+(AF69-AO$4)^2),"-")</f>
        <v/>
      </c>
      <c r="AN69" s="95">
        <f>IF(ISNUMBER(AL69),AG69-AO69,"-")</f>
        <v/>
      </c>
      <c r="AO69" s="96">
        <f>IF(ISNUMBER(AF69),((AL69-$AO$7)*AO$9)+AO$8,"-")</f>
        <v/>
      </c>
      <c r="AQ69" s="103" t="n"/>
      <c r="AV69" s="89">
        <f>AB69</f>
        <v/>
      </c>
      <c r="AW69" s="100">
        <f>AC69</f>
        <v/>
      </c>
      <c r="AX69" s="170">
        <f>AE69</f>
        <v/>
      </c>
      <c r="AY69" s="170">
        <f>AF69</f>
        <v/>
      </c>
      <c r="AZ69" s="170">
        <f>AG69</f>
        <v/>
      </c>
      <c r="BA69" s="170">
        <f>AL69+$AY$1</f>
        <v/>
      </c>
      <c r="BB69" s="170">
        <f>AM69</f>
        <v/>
      </c>
      <c r="BC69" s="171">
        <f>AN69</f>
        <v/>
      </c>
    </row>
    <row r="70" ht="15" customHeight="1" s="144">
      <c r="AB70" s="89" t="n">
        <v>45572</v>
      </c>
      <c r="AC70" s="90" t="inlineStr">
        <is>
          <t>B</t>
        </is>
      </c>
      <c r="AD70" s="91" t="inlineStr">
        <is>
          <t>HA3.C2</t>
        </is>
      </c>
      <c r="AE70" s="90" t="n">
        <v>823147.5917</v>
      </c>
      <c r="AF70" s="90" t="n">
        <v>1091710.2524</v>
      </c>
      <c r="AG70" s="92" t="n">
        <v>-121.9085</v>
      </c>
      <c r="AL70" s="93">
        <f>IF(ISNUMBER(AE70),COS(ATAN2(AF70-AO$4,AE70-AO$3)-(AO$5/200*PI()))*SQRT((AE70-AO$3)^2+(AF70-AO$4)^2),"-")</f>
        <v/>
      </c>
      <c r="AM70" s="94">
        <f>IF(ISNUMBER(AE70),SIN(ATAN2(AF70-AO$4,AE70-AO$3)-(AO$5/200*PI()))*SQRT((AE70-AO$3)^2+(AF70-AO$4)^2),"-")</f>
        <v/>
      </c>
      <c r="AN70" s="95">
        <f>IF(ISNUMBER(AL70),AG70-AO70,"-")</f>
        <v/>
      </c>
      <c r="AO70" s="96">
        <f>IF(ISNUMBER(AF70),((AL70-$AO$7)*AO$9)+AO$8,"-")</f>
        <v/>
      </c>
      <c r="AQ70" s="103" t="n"/>
      <c r="AV70" s="89">
        <f>AB70</f>
        <v/>
      </c>
      <c r="AW70" s="100">
        <f>AC70</f>
        <v/>
      </c>
      <c r="AX70" s="170">
        <f>AE70</f>
        <v/>
      </c>
      <c r="AY70" s="170">
        <f>AF70</f>
        <v/>
      </c>
      <c r="AZ70" s="170">
        <f>AG70</f>
        <v/>
      </c>
      <c r="BA70" s="170">
        <f>AL70+$AY$1</f>
        <v/>
      </c>
      <c r="BB70" s="170">
        <f>AM70</f>
        <v/>
      </c>
      <c r="BC70" s="171">
        <f>AN70</f>
        <v/>
      </c>
    </row>
    <row r="71" ht="15" customHeight="1" s="144">
      <c r="AB71" s="89" t="n">
        <v>45572</v>
      </c>
      <c r="AC71" s="104" t="inlineStr">
        <is>
          <t>C</t>
        </is>
      </c>
      <c r="AD71" s="91" t="inlineStr">
        <is>
          <t>HA3.C3</t>
        </is>
      </c>
      <c r="AE71" s="90" t="n">
        <v>823147.5658</v>
      </c>
      <c r="AF71" s="90" t="n">
        <v>1091710.41</v>
      </c>
      <c r="AG71" s="92" t="n">
        <v>-122.3546</v>
      </c>
      <c r="AL71" s="93">
        <f>IF(ISNUMBER(AE71),COS(ATAN2(AF71-AO$4,AE71-AO$3)-(AO$5/200*PI()))*SQRT((AE71-AO$3)^2+(AF71-AO$4)^2),"-")</f>
        <v/>
      </c>
      <c r="AM71" s="94">
        <f>IF(ISNUMBER(AE71),SIN(ATAN2(AF71-AO$4,AE71-AO$3)-(AO$5/200*PI()))*SQRT((AE71-AO$3)^2+(AF71-AO$4)^2),"-")</f>
        <v/>
      </c>
      <c r="AN71" s="95">
        <f>IF(ISNUMBER(AL71),AG71-AO71,"-")</f>
        <v/>
      </c>
      <c r="AO71" s="96">
        <f>IF(ISNUMBER(AF71),((AL71-$AO$7)*AO$9)+AO$8,"-")</f>
        <v/>
      </c>
      <c r="AQ71" s="103" t="n"/>
      <c r="AV71" s="89">
        <f>AB71</f>
        <v/>
      </c>
      <c r="AW71" s="100">
        <f>AC71</f>
        <v/>
      </c>
      <c r="AX71" s="170">
        <f>AE71</f>
        <v/>
      </c>
      <c r="AY71" s="170">
        <f>AF71</f>
        <v/>
      </c>
      <c r="AZ71" s="170">
        <f>AG71</f>
        <v/>
      </c>
      <c r="BA71" s="170">
        <f>AL71+$AY$1</f>
        <v/>
      </c>
      <c r="BB71" s="170">
        <f>AM71</f>
        <v/>
      </c>
      <c r="BC71" s="171">
        <f>AN71</f>
        <v/>
      </c>
    </row>
    <row r="72" ht="15" customHeight="1" s="144">
      <c r="AB72" s="89" t="n">
        <v>45572</v>
      </c>
      <c r="AC72" s="104" t="inlineStr">
        <is>
          <t>D</t>
        </is>
      </c>
      <c r="AD72" s="91" t="inlineStr">
        <is>
          <t>HA3.C4</t>
        </is>
      </c>
      <c r="AE72" s="90" t="n">
        <v>823149.9898</v>
      </c>
      <c r="AF72" s="90" t="n">
        <v>1091705.0825</v>
      </c>
      <c r="AG72" s="92" t="n">
        <v>-121.7825</v>
      </c>
      <c r="AL72" s="93">
        <f>IF(ISNUMBER(AE72),COS(ATAN2(AF72-AO$4,AE72-AO$3)-(AO$5/200*PI()))*SQRT((AE72-AO$3)^2+(AF72-AO$4)^2),"-")</f>
        <v/>
      </c>
      <c r="AM72" s="94">
        <f>IF(ISNUMBER(AE72),SIN(ATAN2(AF72-AO$4,AE72-AO$3)-(AO$5/200*PI()))*SQRT((AE72-AO$3)^2+(AF72-AO$4)^2),"-")</f>
        <v/>
      </c>
      <c r="AN72" s="95">
        <f>IF(ISNUMBER(AL72),AG72-AO72,"-")</f>
        <v/>
      </c>
      <c r="AO72" s="96">
        <f>IF(ISNUMBER(AF72),((AL72-$AO$7)*AO$9)+AO$8,"-")</f>
        <v/>
      </c>
      <c r="AQ72" s="103" t="n"/>
      <c r="AV72" s="89">
        <f>AB72</f>
        <v/>
      </c>
      <c r="AW72" s="100">
        <f>AC72</f>
        <v/>
      </c>
      <c r="AX72" s="170">
        <f>AE72</f>
        <v/>
      </c>
      <c r="AY72" s="170">
        <f>AF72</f>
        <v/>
      </c>
      <c r="AZ72" s="170">
        <f>AG72</f>
        <v/>
      </c>
      <c r="BA72" s="170">
        <f>AL72+$AY$1</f>
        <v/>
      </c>
      <c r="BB72" s="170">
        <f>AM72</f>
        <v/>
      </c>
      <c r="BC72" s="171">
        <f>AN72</f>
        <v/>
      </c>
    </row>
    <row r="73" ht="15" customHeight="1" s="144">
      <c r="AB73" s="89" t="n">
        <v>45579</v>
      </c>
      <c r="AC73" s="90" t="inlineStr">
        <is>
          <t>A</t>
        </is>
      </c>
      <c r="AD73" s="91" t="inlineStr">
        <is>
          <t>HA3.HA21.1</t>
        </is>
      </c>
      <c r="AE73" s="90" t="n">
        <v>823147.6496</v>
      </c>
      <c r="AF73" s="90" t="n">
        <v>1091710.085</v>
      </c>
      <c r="AG73" s="92" t="n">
        <v>-121.5706</v>
      </c>
      <c r="AI73" s="123" t="n"/>
      <c r="AL73" s="93">
        <f>IF(ISNUMBER(AE73),COS(ATAN2(AF73-AO$4,AE73-AO$3)-(AO$5/200*PI()))*SQRT((AE73-AO$3)^2+(AF73-AO$4)^2),"-")</f>
        <v/>
      </c>
      <c r="AM73" s="94">
        <f>IF(ISNUMBER(AE73),SIN(ATAN2(AF73-AO$4,AE73-AO$3)-(AO$5/200*PI()))*SQRT((AE73-AO$3)^2+(AF73-AO$4)^2),"-")</f>
        <v/>
      </c>
      <c r="AN73" s="95">
        <f>IF(ISNUMBER(AL73),AG73-AO73,"-")</f>
        <v/>
      </c>
      <c r="AO73" s="96">
        <f>IF(ISNUMBER(AF73),((AL73-$AO$7)*AO$9)+AO$8,"-")</f>
        <v/>
      </c>
      <c r="AQ73" s="103" t="n"/>
      <c r="AV73" s="89">
        <f>AB73</f>
        <v/>
      </c>
      <c r="AW73" s="100">
        <f>AC73</f>
        <v/>
      </c>
      <c r="AX73" s="170">
        <f>AE73</f>
        <v/>
      </c>
      <c r="AY73" s="170">
        <f>AF73</f>
        <v/>
      </c>
      <c r="AZ73" s="170">
        <f>AG73</f>
        <v/>
      </c>
      <c r="BA73" s="170">
        <f>AL73+$AY$1</f>
        <v/>
      </c>
      <c r="BB73" s="170">
        <f>AM73</f>
        <v/>
      </c>
      <c r="BC73" s="171">
        <f>AN73</f>
        <v/>
      </c>
    </row>
    <row r="74" ht="15" customHeight="1" s="144">
      <c r="AB74" s="89" t="n">
        <v>45579</v>
      </c>
      <c r="AC74" s="90" t="inlineStr">
        <is>
          <t>B</t>
        </is>
      </c>
      <c r="AD74" s="91" t="inlineStr">
        <is>
          <t>HA3.HA21.2</t>
        </is>
      </c>
      <c r="AE74" s="90" t="n">
        <v>823147.5921</v>
      </c>
      <c r="AF74" s="90" t="n">
        <v>1091710.2527</v>
      </c>
      <c r="AG74" s="92" t="n">
        <v>-121.9084</v>
      </c>
      <c r="AI74" s="123" t="n"/>
      <c r="AL74" s="93">
        <f>IF(ISNUMBER(AE74),COS(ATAN2(AF74-AO$4,AE74-AO$3)-(AO$5/200*PI()))*SQRT((AE74-AO$3)^2+(AF74-AO$4)^2),"-")</f>
        <v/>
      </c>
      <c r="AM74" s="94">
        <f>IF(ISNUMBER(AE74),SIN(ATAN2(AF74-AO$4,AE74-AO$3)-(AO$5/200*PI()))*SQRT((AE74-AO$3)^2+(AF74-AO$4)^2),"-")</f>
        <v/>
      </c>
      <c r="AN74" s="95">
        <f>IF(ISNUMBER(AL74),AG74-AO74,"-")</f>
        <v/>
      </c>
      <c r="AO74" s="96">
        <f>IF(ISNUMBER(AF74),((AL74-$AO$7)*AO$9)+AO$8,"-")</f>
        <v/>
      </c>
      <c r="AQ74" s="103" t="n"/>
      <c r="AV74" s="89">
        <f>AB74</f>
        <v/>
      </c>
      <c r="AW74" s="100">
        <f>AC74</f>
        <v/>
      </c>
      <c r="AX74" s="170">
        <f>AE74</f>
        <v/>
      </c>
      <c r="AY74" s="170">
        <f>AF74</f>
        <v/>
      </c>
      <c r="AZ74" s="170">
        <f>AG74</f>
        <v/>
      </c>
      <c r="BA74" s="170">
        <f>AL74+$AY$1</f>
        <v/>
      </c>
      <c r="BB74" s="170">
        <f>AM74</f>
        <v/>
      </c>
      <c r="BC74" s="171">
        <f>AN74</f>
        <v/>
      </c>
    </row>
    <row r="75" ht="15" customHeight="1" s="144">
      <c r="AB75" s="89" t="n">
        <v>45579</v>
      </c>
      <c r="AC75" s="104" t="inlineStr">
        <is>
          <t>C</t>
        </is>
      </c>
      <c r="AD75" s="91" t="inlineStr">
        <is>
          <t>HA3.HA21.3</t>
        </is>
      </c>
      <c r="AE75" s="90" t="n">
        <v>823147.5661000001</v>
      </c>
      <c r="AF75" s="90" t="n">
        <v>1091710.4101</v>
      </c>
      <c r="AG75" s="92" t="n">
        <v>-122.3548</v>
      </c>
      <c r="AI75" s="123" t="n"/>
      <c r="AL75" s="93">
        <f>IF(ISNUMBER(AE75),COS(ATAN2(AF75-AO$4,AE75-AO$3)-(AO$5/200*PI()))*SQRT((AE75-AO$3)^2+(AF75-AO$4)^2),"-")</f>
        <v/>
      </c>
      <c r="AM75" s="94">
        <f>IF(ISNUMBER(AE75),SIN(ATAN2(AF75-AO$4,AE75-AO$3)-(AO$5/200*PI()))*SQRT((AE75-AO$3)^2+(AF75-AO$4)^2),"-")</f>
        <v/>
      </c>
      <c r="AN75" s="95">
        <f>IF(ISNUMBER(AL75),AG75-AO75,"-")</f>
        <v/>
      </c>
      <c r="AO75" s="96">
        <f>IF(ISNUMBER(AF75),((AL75-$AO$7)*AO$9)+AO$8,"-")</f>
        <v/>
      </c>
      <c r="AQ75" s="103" t="n"/>
      <c r="AV75" s="89">
        <f>AB75</f>
        <v/>
      </c>
      <c r="AW75" s="100">
        <f>AC75</f>
        <v/>
      </c>
      <c r="AX75" s="170">
        <f>AE75</f>
        <v/>
      </c>
      <c r="AY75" s="170">
        <f>AF75</f>
        <v/>
      </c>
      <c r="AZ75" s="170">
        <f>AG75</f>
        <v/>
      </c>
      <c r="BA75" s="170">
        <f>AL75+$AY$1</f>
        <v/>
      </c>
      <c r="BB75" s="170">
        <f>AM75</f>
        <v/>
      </c>
      <c r="BC75" s="171">
        <f>AN75</f>
        <v/>
      </c>
    </row>
    <row r="76" ht="15" customHeight="1" s="144">
      <c r="AB76" s="89" t="n">
        <v>45579</v>
      </c>
      <c r="AC76" s="104" t="inlineStr">
        <is>
          <t>D</t>
        </is>
      </c>
      <c r="AD76" s="91" t="inlineStr">
        <is>
          <t>HA3.HA21.4</t>
        </is>
      </c>
      <c r="AE76" s="90" t="n">
        <v>823149.99</v>
      </c>
      <c r="AF76" s="90" t="n">
        <v>1091705.0823</v>
      </c>
      <c r="AG76" s="92" t="n">
        <v>-121.7827</v>
      </c>
      <c r="AI76" s="123" t="n"/>
      <c r="AL76" s="93">
        <f>IF(ISNUMBER(AE76),COS(ATAN2(AF76-AO$4,AE76-AO$3)-(AO$5/200*PI()))*SQRT((AE76-AO$3)^2+(AF76-AO$4)^2),"-")</f>
        <v/>
      </c>
      <c r="AM76" s="94">
        <f>IF(ISNUMBER(AE76),SIN(ATAN2(AF76-AO$4,AE76-AO$3)-(AO$5/200*PI()))*SQRT((AE76-AO$3)^2+(AF76-AO$4)^2),"-")</f>
        <v/>
      </c>
      <c r="AN76" s="95">
        <f>IF(ISNUMBER(AL76),AG76-AO76,"-")</f>
        <v/>
      </c>
      <c r="AO76" s="96">
        <f>IF(ISNUMBER(AF76),((AL76-$AO$7)*AO$9)+AO$8,"-")</f>
        <v/>
      </c>
      <c r="AQ76" s="103" t="n"/>
      <c r="AV76" s="89">
        <f>AB76</f>
        <v/>
      </c>
      <c r="AW76" s="100">
        <f>AC76</f>
        <v/>
      </c>
      <c r="AX76" s="170">
        <f>AE76</f>
        <v/>
      </c>
      <c r="AY76" s="170">
        <f>AF76</f>
        <v/>
      </c>
      <c r="AZ76" s="170">
        <f>AG76</f>
        <v/>
      </c>
      <c r="BA76" s="170">
        <f>AL76+$AY$1</f>
        <v/>
      </c>
      <c r="BB76" s="170">
        <f>AM76</f>
        <v/>
      </c>
      <c r="BC76" s="171">
        <f>AN76</f>
        <v/>
      </c>
    </row>
    <row r="77" ht="15" customHeight="1" s="144">
      <c r="AB77" s="89" t="n">
        <v>45586</v>
      </c>
      <c r="AC77" s="90" t="inlineStr">
        <is>
          <t>A</t>
        </is>
      </c>
      <c r="AD77" s="91" t="inlineStr">
        <is>
          <t>HA3.1</t>
        </is>
      </c>
      <c r="AE77" s="90" t="n">
        <v>823147.6492</v>
      </c>
      <c r="AF77" s="90" t="n">
        <v>1091710.0853</v>
      </c>
      <c r="AG77" s="92" t="n">
        <v>-121.5706</v>
      </c>
      <c r="AL77" s="93">
        <f>IF(ISNUMBER(AE77),COS(ATAN2(AF77-AO$4,AE77-AO$3)-(AO$5/200*PI()))*SQRT((AE77-AO$3)^2+(AF77-AO$4)^2),"-")</f>
        <v/>
      </c>
      <c r="AM77" s="94">
        <f>IF(ISNUMBER(AE77),SIN(ATAN2(AF77-AO$4,AE77-AO$3)-(AO$5/200*PI()))*SQRT((AE77-AO$3)^2+(AF77-AO$4)^2),"-")</f>
        <v/>
      </c>
      <c r="AN77" s="95">
        <f>IF(ISNUMBER(AL77),AG77-AO77,"-")</f>
        <v/>
      </c>
      <c r="AO77" s="96">
        <f>IF(ISNUMBER(AF77),((AL77-$AO$7)*AO$9)+AO$8,"-")</f>
        <v/>
      </c>
      <c r="AQ77" s="103" t="n"/>
      <c r="AV77" s="89">
        <f>AB77</f>
        <v/>
      </c>
      <c r="AW77" s="100">
        <f>AC77</f>
        <v/>
      </c>
      <c r="AX77" s="170">
        <f>AE77</f>
        <v/>
      </c>
      <c r="AY77" s="170">
        <f>AF77</f>
        <v/>
      </c>
      <c r="AZ77" s="170">
        <f>AG77</f>
        <v/>
      </c>
      <c r="BA77" s="170">
        <f>AL77+$AY$1</f>
        <v/>
      </c>
      <c r="BB77" s="170">
        <f>AM77</f>
        <v/>
      </c>
      <c r="BC77" s="171">
        <f>AN77</f>
        <v/>
      </c>
    </row>
    <row r="78" ht="15" customHeight="1" s="144">
      <c r="AB78" s="89" t="n">
        <v>45586</v>
      </c>
      <c r="AC78" s="90" t="inlineStr">
        <is>
          <t>B</t>
        </is>
      </c>
      <c r="AD78" s="91" t="inlineStr">
        <is>
          <t>HA3.2</t>
        </is>
      </c>
      <c r="AE78" s="90" t="n">
        <v>823147.5918000001</v>
      </c>
      <c r="AF78" s="90" t="n">
        <v>1091710.2526</v>
      </c>
      <c r="AG78" s="92" t="n">
        <v>-121.9089</v>
      </c>
      <c r="AL78" s="93">
        <f>IF(ISNUMBER(AE78),COS(ATAN2(AF78-AO$4,AE78-AO$3)-(AO$5/200*PI()))*SQRT((AE78-AO$3)^2+(AF78-AO$4)^2),"-")</f>
        <v/>
      </c>
      <c r="AM78" s="94">
        <f>IF(ISNUMBER(AE78),SIN(ATAN2(AF78-AO$4,AE78-AO$3)-(AO$5/200*PI()))*SQRT((AE78-AO$3)^2+(AF78-AO$4)^2),"-")</f>
        <v/>
      </c>
      <c r="AN78" s="95">
        <f>IF(ISNUMBER(AL78),AG78-AO78,"-")</f>
        <v/>
      </c>
      <c r="AO78" s="96">
        <f>IF(ISNUMBER(AF78),((AL78-$AO$7)*AO$9)+AO$8,"-")</f>
        <v/>
      </c>
      <c r="AQ78" s="103" t="n"/>
      <c r="AV78" s="89">
        <f>AB78</f>
        <v/>
      </c>
      <c r="AW78" s="100">
        <f>AC78</f>
        <v/>
      </c>
      <c r="AX78" s="170">
        <f>AE78</f>
        <v/>
      </c>
      <c r="AY78" s="170">
        <f>AF78</f>
        <v/>
      </c>
      <c r="AZ78" s="170">
        <f>AG78</f>
        <v/>
      </c>
      <c r="BA78" s="170">
        <f>AL78+$AY$1</f>
        <v/>
      </c>
      <c r="BB78" s="170">
        <f>AM78</f>
        <v/>
      </c>
      <c r="BC78" s="171">
        <f>AN78</f>
        <v/>
      </c>
    </row>
    <row r="79" ht="15" customHeight="1" s="144">
      <c r="AB79" s="89" t="n">
        <v>45586</v>
      </c>
      <c r="AC79" s="104" t="inlineStr">
        <is>
          <t>C</t>
        </is>
      </c>
      <c r="AD79" s="91" t="inlineStr">
        <is>
          <t>HA3.3</t>
        </is>
      </c>
      <c r="AE79" s="90" t="n">
        <v>823147.5659</v>
      </c>
      <c r="AF79" s="90" t="n">
        <v>1091710.4101</v>
      </c>
      <c r="AG79" s="92" t="n">
        <v>-122.355</v>
      </c>
      <c r="AL79" s="93">
        <f>IF(ISNUMBER(AE79),COS(ATAN2(AF79-AO$4,AE79-AO$3)-(AO$5/200*PI()))*SQRT((AE79-AO$3)^2+(AF79-AO$4)^2),"-")</f>
        <v/>
      </c>
      <c r="AM79" s="94">
        <f>IF(ISNUMBER(AE79),SIN(ATAN2(AF79-AO$4,AE79-AO$3)-(AO$5/200*PI()))*SQRT((AE79-AO$3)^2+(AF79-AO$4)^2),"-")</f>
        <v/>
      </c>
      <c r="AN79" s="95">
        <f>IF(ISNUMBER(AL79),AG79-AO79,"-")</f>
        <v/>
      </c>
      <c r="AO79" s="96">
        <f>IF(ISNUMBER(AF79),((AL79-$AO$7)*AO$9)+AO$8,"-")</f>
        <v/>
      </c>
      <c r="AQ79" s="103" t="n"/>
      <c r="AV79" s="89">
        <f>AB79</f>
        <v/>
      </c>
      <c r="AW79" s="100">
        <f>AC79</f>
        <v/>
      </c>
      <c r="AX79" s="170">
        <f>AE79</f>
        <v/>
      </c>
      <c r="AY79" s="170">
        <f>AF79</f>
        <v/>
      </c>
      <c r="AZ79" s="170">
        <f>AG79</f>
        <v/>
      </c>
      <c r="BA79" s="170">
        <f>AL79+$AY$1</f>
        <v/>
      </c>
      <c r="BB79" s="170">
        <f>AM79</f>
        <v/>
      </c>
      <c r="BC79" s="171">
        <f>AN79</f>
        <v/>
      </c>
    </row>
    <row r="80" ht="15" customHeight="1" s="144">
      <c r="AB80" s="89" t="n">
        <v>45586</v>
      </c>
      <c r="AC80" s="104" t="inlineStr">
        <is>
          <t>D</t>
        </is>
      </c>
      <c r="AD80" s="91" t="inlineStr">
        <is>
          <t>HA3.4</t>
        </is>
      </c>
      <c r="AE80" s="90" t="n">
        <v>823149.9898</v>
      </c>
      <c r="AF80" s="90" t="n">
        <v>1091705.0825</v>
      </c>
      <c r="AG80" s="92" t="n">
        <v>-121.7827</v>
      </c>
      <c r="AL80" s="93">
        <f>IF(ISNUMBER(AE80),COS(ATAN2(AF80-AO$4,AE80-AO$3)-(AO$5/200*PI()))*SQRT((AE80-AO$3)^2+(AF80-AO$4)^2),"-")</f>
        <v/>
      </c>
      <c r="AM80" s="94">
        <f>IF(ISNUMBER(AE80),SIN(ATAN2(AF80-AO$4,AE80-AO$3)-(AO$5/200*PI()))*SQRT((AE80-AO$3)^2+(AF80-AO$4)^2),"-")</f>
        <v/>
      </c>
      <c r="AN80" s="95">
        <f>IF(ISNUMBER(AL80),AG80-AO80,"-")</f>
        <v/>
      </c>
      <c r="AO80" s="96">
        <f>IF(ISNUMBER(AF80),((AL80-$AO$7)*AO$9)+AO$8,"-")</f>
        <v/>
      </c>
      <c r="AQ80" s="103" t="n"/>
      <c r="AV80" s="89">
        <f>AB80</f>
        <v/>
      </c>
      <c r="AW80" s="100">
        <f>AC80</f>
        <v/>
      </c>
      <c r="AX80" s="170">
        <f>AE80</f>
        <v/>
      </c>
      <c r="AY80" s="170">
        <f>AF80</f>
        <v/>
      </c>
      <c r="AZ80" s="170">
        <f>AG80</f>
        <v/>
      </c>
      <c r="BA80" s="170">
        <f>AL80+$AY$1</f>
        <v/>
      </c>
      <c r="BB80" s="170">
        <f>AM80</f>
        <v/>
      </c>
      <c r="BC80" s="171">
        <f>AN80</f>
        <v/>
      </c>
    </row>
    <row r="81" ht="15" customHeight="1" s="144">
      <c r="AB81" s="89" t="n">
        <v>45593</v>
      </c>
      <c r="AC81" s="90" t="inlineStr">
        <is>
          <t>A</t>
        </is>
      </c>
      <c r="AD81" s="91" t="inlineStr">
        <is>
          <t>GER.HA213.1</t>
        </is>
      </c>
      <c r="AE81" s="90" t="n">
        <v>823147.6492</v>
      </c>
      <c r="AF81" s="90" t="n">
        <v>1091710.08515</v>
      </c>
      <c r="AG81" s="92" t="n">
        <v>-121.5706</v>
      </c>
      <c r="AL81" s="93">
        <f>IF(ISNUMBER(AE81),COS(ATAN2(AF81-AO$4,AE81-AO$3)-(AO$5/200*PI()))*SQRT((AE81-AO$3)^2+(AF81-AO$4)^2),"-")</f>
        <v/>
      </c>
      <c r="AM81" s="94">
        <f>IF(ISNUMBER(AE81),SIN(ATAN2(AF81-AO$4,AE81-AO$3)-(AO$5/200*PI()))*SQRT((AE81-AO$3)^2+(AF81-AO$4)^2),"-")</f>
        <v/>
      </c>
      <c r="AN81" s="95">
        <f>IF(ISNUMBER(AL81),AG81-AO81,"-")</f>
        <v/>
      </c>
      <c r="AO81" s="96">
        <f>IF(ISNUMBER(AF81),((AL81-$AO$7)*AO$9)+AO$8,"-")</f>
        <v/>
      </c>
      <c r="AQ81" s="103" t="n"/>
      <c r="AV81" s="89">
        <f>AB81</f>
        <v/>
      </c>
      <c r="AW81" s="100">
        <f>AC81</f>
        <v/>
      </c>
      <c r="AX81" s="170">
        <f>AE81</f>
        <v/>
      </c>
      <c r="AY81" s="170">
        <f>AF81</f>
        <v/>
      </c>
      <c r="AZ81" s="170">
        <f>AG81</f>
        <v/>
      </c>
      <c r="BA81" s="170">
        <f>AL81+$AY$1</f>
        <v/>
      </c>
      <c r="BB81" s="170">
        <f>AM81</f>
        <v/>
      </c>
      <c r="BC81" s="171">
        <f>AN81</f>
        <v/>
      </c>
    </row>
    <row r="82" ht="15" customHeight="1" s="144">
      <c r="AB82" s="89" t="n">
        <v>45593</v>
      </c>
      <c r="AC82" s="90" t="inlineStr">
        <is>
          <t>B</t>
        </is>
      </c>
      <c r="AD82" s="91" t="inlineStr">
        <is>
          <t>GER.HA213.2</t>
        </is>
      </c>
      <c r="AE82" s="90" t="n">
        <v>823147.59155</v>
      </c>
      <c r="AF82" s="90" t="n">
        <v>1091710.2515</v>
      </c>
      <c r="AG82" s="92" t="n">
        <v>-121.90915</v>
      </c>
      <c r="AL82" s="93">
        <f>IF(ISNUMBER(AE82),COS(ATAN2(AF82-AO$4,AE82-AO$3)-(AO$5/200*PI()))*SQRT((AE82-AO$3)^2+(AF82-AO$4)^2),"-")</f>
        <v/>
      </c>
      <c r="AM82" s="94">
        <f>IF(ISNUMBER(AE82),SIN(ATAN2(AF82-AO$4,AE82-AO$3)-(AO$5/200*PI()))*SQRT((AE82-AO$3)^2+(AF82-AO$4)^2),"-")</f>
        <v/>
      </c>
      <c r="AN82" s="95">
        <f>IF(ISNUMBER(AL82),AG82-AO82,"-")</f>
        <v/>
      </c>
      <c r="AO82" s="96">
        <f>IF(ISNUMBER(AF82),((AL82-$AO$7)*AO$9)+AO$8,"-")</f>
        <v/>
      </c>
      <c r="AQ82" s="103" t="n"/>
      <c r="AV82" s="89">
        <f>AB82</f>
        <v/>
      </c>
      <c r="AW82" s="100">
        <f>AC82</f>
        <v/>
      </c>
      <c r="AX82" s="170">
        <f>AE82</f>
        <v/>
      </c>
      <c r="AY82" s="170">
        <f>AF82</f>
        <v/>
      </c>
      <c r="AZ82" s="170">
        <f>AG82</f>
        <v/>
      </c>
      <c r="BA82" s="170">
        <f>AL82+$AY$1</f>
        <v/>
      </c>
      <c r="BB82" s="170">
        <f>AM82</f>
        <v/>
      </c>
      <c r="BC82" s="171">
        <f>AN82</f>
        <v/>
      </c>
    </row>
    <row r="83" ht="15" customHeight="1" s="144">
      <c r="AB83" s="89" t="n">
        <v>45593</v>
      </c>
      <c r="AC83" s="104" t="inlineStr">
        <is>
          <t>C</t>
        </is>
      </c>
      <c r="AD83" s="117" t="inlineStr">
        <is>
          <t>GER.HA213.3</t>
        </is>
      </c>
      <c r="AE83" s="90" t="n">
        <v>823147.56605</v>
      </c>
      <c r="AF83" s="90" t="n">
        <v>1091710.40985</v>
      </c>
      <c r="AG83" s="92" t="n">
        <v>-122.35505</v>
      </c>
      <c r="AI83" s="105" t="n"/>
      <c r="AL83" s="93">
        <f>IF(ISNUMBER(AE83),COS(ATAN2(AF83-AO$4,AE83-AO$3)-(AO$5/200*PI()))*SQRT((AE83-AO$3)^2+(AF83-AO$4)^2),"-")</f>
        <v/>
      </c>
      <c r="AM83" s="94">
        <f>IF(ISNUMBER(AE83),SIN(ATAN2(AF83-AO$4,AE83-AO$3)-(AO$5/200*PI()))*SQRT((AE83-AO$3)^2+(AF83-AO$4)^2),"-")</f>
        <v/>
      </c>
      <c r="AN83" s="95">
        <f>IF(ISNUMBER(AL83),AG83-AO83,"-")</f>
        <v/>
      </c>
      <c r="AO83" s="96">
        <f>IF(ISNUMBER(AF83),((AL83-$AO$7)*AO$9)+AO$8,"-")</f>
        <v/>
      </c>
      <c r="AQ83" s="103" t="n"/>
      <c r="AV83" s="89">
        <f>AB83</f>
        <v/>
      </c>
      <c r="AW83" s="100">
        <f>AC83</f>
        <v/>
      </c>
      <c r="AX83" s="170">
        <f>AE83</f>
        <v/>
      </c>
      <c r="AY83" s="170">
        <f>AF83</f>
        <v/>
      </c>
      <c r="AZ83" s="170">
        <f>AG83</f>
        <v/>
      </c>
      <c r="BA83" s="170">
        <f>AL83+$AY$1</f>
        <v/>
      </c>
      <c r="BB83" s="170">
        <f>AM83</f>
        <v/>
      </c>
      <c r="BC83" s="171">
        <f>AN83</f>
        <v/>
      </c>
    </row>
    <row r="84" ht="15" customHeight="1" s="144">
      <c r="AB84" s="89" t="n">
        <v>45593</v>
      </c>
      <c r="AC84" s="104" t="inlineStr">
        <is>
          <t>D</t>
        </is>
      </c>
      <c r="AD84" s="91" t="inlineStr">
        <is>
          <t>GER.HA213.4</t>
        </is>
      </c>
      <c r="AE84" s="90" t="n">
        <v>823149.98945</v>
      </c>
      <c r="AF84" s="90" t="n">
        <v>1091705.08225</v>
      </c>
      <c r="AG84" s="92" t="n">
        <v>-121.7829</v>
      </c>
      <c r="AI84" s="105" t="n"/>
      <c r="AL84" s="93">
        <f>IF(ISNUMBER(AE84),COS(ATAN2(AF84-AO$4,AE84-AO$3)-(AO$5/200*PI()))*SQRT((AE84-AO$3)^2+(AF84-AO$4)^2),"-")</f>
        <v/>
      </c>
      <c r="AM84" s="94">
        <f>IF(ISNUMBER(AE84),SIN(ATAN2(AF84-AO$4,AE84-AO$3)-(AO$5/200*PI()))*SQRT((AE84-AO$3)^2+(AF84-AO$4)^2),"-")</f>
        <v/>
      </c>
      <c r="AN84" s="95">
        <f>IF(ISNUMBER(AL84),AG84-AO84,"-")</f>
        <v/>
      </c>
      <c r="AO84" s="96">
        <f>IF(ISNUMBER(AF84),((AL84-$AO$7)*AO$9)+AO$8,"-")</f>
        <v/>
      </c>
      <c r="AQ84" s="103" t="n"/>
      <c r="AV84" s="89">
        <f>AB84</f>
        <v/>
      </c>
      <c r="AW84" s="100">
        <f>AC84</f>
        <v/>
      </c>
      <c r="AX84" s="170">
        <f>AE84</f>
        <v/>
      </c>
      <c r="AY84" s="170">
        <f>AF84</f>
        <v/>
      </c>
      <c r="AZ84" s="170">
        <f>AG84</f>
        <v/>
      </c>
      <c r="BA84" s="170">
        <f>AL84+$AY$1</f>
        <v/>
      </c>
      <c r="BB84" s="170">
        <f>AM84</f>
        <v/>
      </c>
      <c r="BC84" s="171">
        <f>AN84</f>
        <v/>
      </c>
    </row>
    <row r="85" ht="15" customHeight="1" s="144">
      <c r="AB85" s="89" t="n">
        <v>45601</v>
      </c>
      <c r="AC85" s="90" t="inlineStr">
        <is>
          <t>A</t>
        </is>
      </c>
      <c r="AD85" s="117" t="inlineStr">
        <is>
          <t>A.HA21.1</t>
        </is>
      </c>
      <c r="AE85" s="90" t="n">
        <v>823147.6499</v>
      </c>
      <c r="AF85" s="90" t="n">
        <v>1091710.0855</v>
      </c>
      <c r="AG85" s="92" t="n">
        <v>-121.5706</v>
      </c>
      <c r="AI85" s="105" t="n"/>
      <c r="AL85" s="93">
        <f>IF(ISNUMBER(AE85),COS(ATAN2(AF85-AO$4,AE85-AO$3)-(AO$5/200*PI()))*SQRT((AE85-AO$3)^2+(AF85-AO$4)^2),"-")</f>
        <v/>
      </c>
      <c r="AM85" s="94">
        <f>IF(ISNUMBER(AE85),SIN(ATAN2(AF85-AO$4,AE85-AO$3)-(AO$5/200*PI()))*SQRT((AE85-AO$3)^2+(AF85-AO$4)^2),"-")</f>
        <v/>
      </c>
      <c r="AN85" s="95">
        <f>IF(ISNUMBER(AL85),AG85-AO85,"-")</f>
        <v/>
      </c>
      <c r="AO85" s="96">
        <f>IF(ISNUMBER(AF85),((AL85-$AO$7)*AO$9)+AO$8,"-")</f>
        <v/>
      </c>
      <c r="AQ85" s="103" t="n"/>
      <c r="AV85" s="89">
        <f>AB85</f>
        <v/>
      </c>
      <c r="AW85" s="100">
        <f>AC85</f>
        <v/>
      </c>
      <c r="AX85" s="170">
        <f>AE85</f>
        <v/>
      </c>
      <c r="AY85" s="170">
        <f>AF85</f>
        <v/>
      </c>
      <c r="AZ85" s="170">
        <f>AG85</f>
        <v/>
      </c>
      <c r="BA85" s="170">
        <f>AL85+$AY$1</f>
        <v/>
      </c>
      <c r="BB85" s="170">
        <f>AM85</f>
        <v/>
      </c>
      <c r="BC85" s="171">
        <f>AN85</f>
        <v/>
      </c>
    </row>
    <row r="86" ht="15" customHeight="1" s="144">
      <c r="AB86" s="89" t="n">
        <v>45601</v>
      </c>
      <c r="AC86" s="104" t="inlineStr">
        <is>
          <t>C</t>
        </is>
      </c>
      <c r="AD86" s="117" t="inlineStr">
        <is>
          <t>A.HA21.2</t>
        </is>
      </c>
      <c r="AE86" s="90" t="n">
        <v>823147.5665</v>
      </c>
      <c r="AF86" s="90" t="n">
        <v>1091710.4101</v>
      </c>
      <c r="AG86" s="92" t="n">
        <v>-122.3551</v>
      </c>
      <c r="AI86" s="105" t="n"/>
      <c r="AL86" s="93">
        <f>IF(ISNUMBER(AE86),COS(ATAN2(AF86-AO$4,AE86-AO$3)-(AO$5/200*PI()))*SQRT((AE86-AO$3)^2+(AF86-AO$4)^2),"-")</f>
        <v/>
      </c>
      <c r="AM86" s="94">
        <f>IF(ISNUMBER(AE86),SIN(ATAN2(AF86-AO$4,AE86-AO$3)-(AO$5/200*PI()))*SQRT((AE86-AO$3)^2+(AF86-AO$4)^2),"-")</f>
        <v/>
      </c>
      <c r="AN86" s="95">
        <f>IF(ISNUMBER(AL86),AG86-AO86,"-")</f>
        <v/>
      </c>
      <c r="AO86" s="96">
        <f>IF(ISNUMBER(AF86),((AL86-$AO$7)*AO$9)+AO$8,"-")</f>
        <v/>
      </c>
      <c r="AQ86" s="103" t="n"/>
      <c r="AV86" s="89">
        <f>AB86</f>
        <v/>
      </c>
      <c r="AW86" s="100">
        <f>AC86</f>
        <v/>
      </c>
      <c r="AX86" s="170">
        <f>AE86</f>
        <v/>
      </c>
      <c r="AY86" s="170">
        <f>AF86</f>
        <v/>
      </c>
      <c r="AZ86" s="170">
        <f>AG86</f>
        <v/>
      </c>
      <c r="BA86" s="170">
        <f>AL86+$AY$1</f>
        <v/>
      </c>
      <c r="BB86" s="170">
        <f>AM86</f>
        <v/>
      </c>
      <c r="BC86" s="171">
        <f>AN86</f>
        <v/>
      </c>
    </row>
    <row r="87" ht="15" customHeight="1" s="144">
      <c r="AB87" s="89" t="n">
        <v>45601</v>
      </c>
      <c r="AC87" s="90" t="inlineStr">
        <is>
          <t>B</t>
        </is>
      </c>
      <c r="AD87" s="117" t="inlineStr">
        <is>
          <t>A.HA21.3</t>
        </is>
      </c>
      <c r="AE87" s="90" t="n">
        <v>823147.5916</v>
      </c>
      <c r="AF87" s="90" t="n">
        <v>1091710.25105</v>
      </c>
      <c r="AG87" s="92" t="n">
        <v>-121.9093</v>
      </c>
      <c r="AI87" s="105" t="n"/>
      <c r="AL87" s="93">
        <f>IF(ISNUMBER(AE87),COS(ATAN2(AF87-AO$4,AE87-AO$3)-(AO$5/200*PI()))*SQRT((AE87-AO$3)^2+(AF87-AO$4)^2),"-")</f>
        <v/>
      </c>
      <c r="AM87" s="94">
        <f>IF(ISNUMBER(AE87),SIN(ATAN2(AF87-AO$4,AE87-AO$3)-(AO$5/200*PI()))*SQRT((AE87-AO$3)^2+(AF87-AO$4)^2),"-")</f>
        <v/>
      </c>
      <c r="AN87" s="95">
        <f>IF(ISNUMBER(AL87),AG87-AO87,"-")</f>
        <v/>
      </c>
      <c r="AO87" s="96">
        <f>IF(ISNUMBER(AF87),((AL87-$AO$7)*AO$9)+AO$8,"-")</f>
        <v/>
      </c>
      <c r="AQ87" s="103" t="n"/>
      <c r="AV87" s="89">
        <f>AB87</f>
        <v/>
      </c>
      <c r="AW87" s="100">
        <f>AC87</f>
        <v/>
      </c>
      <c r="AX87" s="170">
        <f>AE87</f>
        <v/>
      </c>
      <c r="AY87" s="170">
        <f>AF87</f>
        <v/>
      </c>
      <c r="AZ87" s="170">
        <f>AG87</f>
        <v/>
      </c>
      <c r="BA87" s="170">
        <f>AL87+$AY$1</f>
        <v/>
      </c>
      <c r="BB87" s="170">
        <f>AM87</f>
        <v/>
      </c>
      <c r="BC87" s="171">
        <f>AN87</f>
        <v/>
      </c>
    </row>
    <row r="88" ht="15" customHeight="1" s="144">
      <c r="AB88" s="89" t="n">
        <v>45601</v>
      </c>
      <c r="AC88" s="104" t="inlineStr">
        <is>
          <t>D</t>
        </is>
      </c>
      <c r="AD88" s="117" t="inlineStr">
        <is>
          <t>A.HA21.4</t>
        </is>
      </c>
      <c r="AE88" s="90" t="n">
        <v>823149.9888000001</v>
      </c>
      <c r="AF88" s="90" t="n">
        <v>1091705.0824</v>
      </c>
      <c r="AG88" s="92" t="n">
        <v>-121.7831</v>
      </c>
      <c r="AI88" s="105" t="n"/>
      <c r="AL88" s="93">
        <f>IF(ISNUMBER(AE88),COS(ATAN2(AF88-AO$4,AE88-AO$3)-(AO$5/200*PI()))*SQRT((AE88-AO$3)^2+(AF88-AO$4)^2),"-")</f>
        <v/>
      </c>
      <c r="AM88" s="94">
        <f>IF(ISNUMBER(AE88),SIN(ATAN2(AF88-AO$4,AE88-AO$3)-(AO$5/200*PI()))*SQRT((AE88-AO$3)^2+(AF88-AO$4)^2),"-")</f>
        <v/>
      </c>
      <c r="AN88" s="95">
        <f>IF(ISNUMBER(AL88),AG88-AO88,"-")</f>
        <v/>
      </c>
      <c r="AO88" s="96">
        <f>IF(ISNUMBER(AF88),((AL88-$AO$7)*AO$9)+AO$8,"-")</f>
        <v/>
      </c>
      <c r="AQ88" s="103" t="n"/>
      <c r="AV88" s="89">
        <f>AB88</f>
        <v/>
      </c>
      <c r="AW88" s="100">
        <f>AC88</f>
        <v/>
      </c>
      <c r="AX88" s="170">
        <f>AE88</f>
        <v/>
      </c>
      <c r="AY88" s="170">
        <f>AF88</f>
        <v/>
      </c>
      <c r="AZ88" s="170">
        <f>AG88</f>
        <v/>
      </c>
      <c r="BA88" s="170">
        <f>AL88+$AY$1</f>
        <v/>
      </c>
      <c r="BB88" s="170">
        <f>AM88</f>
        <v/>
      </c>
      <c r="BC88" s="171">
        <f>AN88</f>
        <v/>
      </c>
    </row>
    <row r="89" ht="15" customHeight="1" s="144">
      <c r="AB89" s="89" t="n">
        <v>45609</v>
      </c>
      <c r="AC89" s="90" t="inlineStr">
        <is>
          <t>A</t>
        </is>
      </c>
      <c r="AD89" s="91" t="inlineStr">
        <is>
          <t>GER.HA.1</t>
        </is>
      </c>
      <c r="AE89" s="90" t="n">
        <v>823147.6496</v>
      </c>
      <c r="AF89" s="90" t="n">
        <v>1091710.0856</v>
      </c>
      <c r="AG89" s="92" t="n">
        <v>-121.5704</v>
      </c>
      <c r="AI89" s="105" t="n"/>
      <c r="AL89" s="93">
        <f>IF(ISNUMBER(AE89),COS(ATAN2(AF89-AO$4,AE89-AO$3)-(AO$5/200*PI()))*SQRT((AE89-AO$3)^2+(AF89-AO$4)^2),"-")</f>
        <v/>
      </c>
      <c r="AM89" s="94">
        <f>IF(ISNUMBER(AE89),SIN(ATAN2(AF89-AO$4,AE89-AO$3)-(AO$5/200*PI()))*SQRT((AE89-AO$3)^2+(AF89-AO$4)^2),"-")</f>
        <v/>
      </c>
      <c r="AN89" s="95">
        <f>IF(ISNUMBER(AL89),AG89-AO89,"-")</f>
        <v/>
      </c>
      <c r="AO89" s="96">
        <f>IF(ISNUMBER(AF89),((AL89-$AO$7)*AO$9)+AO$8,"-")</f>
        <v/>
      </c>
      <c r="AQ89" s="103" t="n"/>
      <c r="AV89" s="89">
        <f>AB89</f>
        <v/>
      </c>
      <c r="AW89" s="100">
        <f>AC89</f>
        <v/>
      </c>
      <c r="AX89" s="170">
        <f>AE89</f>
        <v/>
      </c>
      <c r="AY89" s="170">
        <f>AF89</f>
        <v/>
      </c>
      <c r="AZ89" s="170">
        <f>AG89</f>
        <v/>
      </c>
      <c r="BA89" s="170">
        <f>AL89+$AY$1</f>
        <v/>
      </c>
      <c r="BB89" s="170">
        <f>AM89</f>
        <v/>
      </c>
      <c r="BC89" s="171">
        <f>AN89</f>
        <v/>
      </c>
    </row>
    <row r="90" ht="15" customHeight="1" s="144">
      <c r="AB90" s="89" t="n">
        <v>45609</v>
      </c>
      <c r="AC90" s="90" t="inlineStr">
        <is>
          <t>B</t>
        </is>
      </c>
      <c r="AD90" s="117" t="inlineStr">
        <is>
          <t>GER.HA.2</t>
        </is>
      </c>
      <c r="AE90" s="90" t="n">
        <v>823147.5913</v>
      </c>
      <c r="AF90" s="90" t="n">
        <v>1091710.2508</v>
      </c>
      <c r="AG90" s="92" t="n">
        <v>-121.9093</v>
      </c>
      <c r="AI90" s="105" t="n"/>
      <c r="AL90" s="93">
        <f>IF(ISNUMBER(AE90),COS(ATAN2(AF90-AO$4,AE90-AO$3)-(AO$5/200*PI()))*SQRT((AE90-AO$3)^2+(AF90-AO$4)^2),"-")</f>
        <v/>
      </c>
      <c r="AM90" s="94">
        <f>IF(ISNUMBER(AE90),SIN(ATAN2(AF90-AO$4,AE90-AO$3)-(AO$5/200*PI()))*SQRT((AE90-AO$3)^2+(AF90-AO$4)^2),"-")</f>
        <v/>
      </c>
      <c r="AN90" s="95">
        <f>IF(ISNUMBER(AL90),AG90-AO90,"-")</f>
        <v/>
      </c>
      <c r="AO90" s="96">
        <f>IF(ISNUMBER(AF90),((AL90-$AO$7)*AO$9)+AO$8,"-")</f>
        <v/>
      </c>
      <c r="AQ90" s="103" t="n"/>
      <c r="AV90" s="89">
        <f>AB90</f>
        <v/>
      </c>
      <c r="AW90" s="100">
        <f>AC90</f>
        <v/>
      </c>
      <c r="AX90" s="170">
        <f>AE90</f>
        <v/>
      </c>
      <c r="AY90" s="170">
        <f>AF90</f>
        <v/>
      </c>
      <c r="AZ90" s="170">
        <f>AG90</f>
        <v/>
      </c>
      <c r="BA90" s="170">
        <f>AL90+$AY$1</f>
        <v/>
      </c>
      <c r="BB90" s="170">
        <f>AM90</f>
        <v/>
      </c>
      <c r="BC90" s="171">
        <f>AN90</f>
        <v/>
      </c>
    </row>
    <row r="91" ht="15" customHeight="1" s="144">
      <c r="AB91" s="89" t="n">
        <v>45609</v>
      </c>
      <c r="AC91" s="104" t="inlineStr">
        <is>
          <t>C</t>
        </is>
      </c>
      <c r="AD91" s="117" t="inlineStr">
        <is>
          <t>GER.HA.3</t>
        </is>
      </c>
      <c r="AE91" s="90" t="n">
        <v>823147.5661000001</v>
      </c>
      <c r="AF91" s="90" t="n">
        <v>1091710.4096</v>
      </c>
      <c r="AG91" s="92" t="n">
        <v>-122.355</v>
      </c>
      <c r="AI91" s="105" t="n"/>
      <c r="AL91" s="93">
        <f>IF(ISNUMBER(AE91),COS(ATAN2(AF91-AO$4,AE91-AO$3)-(AO$5/200*PI()))*SQRT((AE91-AO$3)^2+(AF91-AO$4)^2),"-")</f>
        <v/>
      </c>
      <c r="AM91" s="94">
        <f>IF(ISNUMBER(AE91),SIN(ATAN2(AF91-AO$4,AE91-AO$3)-(AO$5/200*PI()))*SQRT((AE91-AO$3)^2+(AF91-AO$4)^2),"-")</f>
        <v/>
      </c>
      <c r="AN91" s="95">
        <f>IF(ISNUMBER(AL91),AG91-AO91,"-")</f>
        <v/>
      </c>
      <c r="AO91" s="96">
        <f>IF(ISNUMBER(AF91),((AL91-$AO$7)*AO$9)+AO$8,"-")</f>
        <v/>
      </c>
      <c r="AQ91" s="103" t="n"/>
      <c r="AV91" s="89">
        <f>AB91</f>
        <v/>
      </c>
      <c r="AW91" s="100">
        <f>AC91</f>
        <v/>
      </c>
      <c r="AX91" s="170">
        <f>AE91</f>
        <v/>
      </c>
      <c r="AY91" s="170">
        <f>AF91</f>
        <v/>
      </c>
      <c r="AZ91" s="170">
        <f>AG91</f>
        <v/>
      </c>
      <c r="BA91" s="170">
        <f>AL91+$AY$1</f>
        <v/>
      </c>
      <c r="BB91" s="170">
        <f>AM91</f>
        <v/>
      </c>
      <c r="BC91" s="171">
        <f>AN91</f>
        <v/>
      </c>
    </row>
    <row r="92" ht="15" customHeight="1" s="144">
      <c r="AB92" s="89" t="n">
        <v>45609</v>
      </c>
      <c r="AC92" s="104" t="inlineStr">
        <is>
          <t>D</t>
        </is>
      </c>
      <c r="AD92" s="117" t="inlineStr">
        <is>
          <t>GER.HA.4</t>
        </is>
      </c>
      <c r="AE92" s="90" t="n">
        <v>823149.9889</v>
      </c>
      <c r="AF92" s="90" t="n">
        <v>1091705.0822</v>
      </c>
      <c r="AG92" s="92" t="n">
        <v>-121.7828</v>
      </c>
      <c r="AI92" s="105" t="n"/>
      <c r="AL92" s="93">
        <f>IF(ISNUMBER(AE92),COS(ATAN2(AF92-AO$4,AE92-AO$3)-(AO$5/200*PI()))*SQRT((AE92-AO$3)^2+(AF92-AO$4)^2),"-")</f>
        <v/>
      </c>
      <c r="AM92" s="94">
        <f>IF(ISNUMBER(AE92),SIN(ATAN2(AF92-AO$4,AE92-AO$3)-(AO$5/200*PI()))*SQRT((AE92-AO$3)^2+(AF92-AO$4)^2),"-")</f>
        <v/>
      </c>
      <c r="AN92" s="95">
        <f>IF(ISNUMBER(AL92),AG92-AO92,"-")</f>
        <v/>
      </c>
      <c r="AO92" s="96">
        <f>IF(ISNUMBER(AF92),((AL92-$AO$7)*AO$9)+AO$8,"-")</f>
        <v/>
      </c>
      <c r="AQ92" s="103" t="n"/>
      <c r="AV92" s="89">
        <f>AB92</f>
        <v/>
      </c>
      <c r="AW92" s="100">
        <f>AC92</f>
        <v/>
      </c>
      <c r="AX92" s="170">
        <f>AE92</f>
        <v/>
      </c>
      <c r="AY92" s="170">
        <f>AF92</f>
        <v/>
      </c>
      <c r="AZ92" s="170">
        <f>AG92</f>
        <v/>
      </c>
      <c r="BA92" s="170">
        <f>AL92+$AY$1</f>
        <v/>
      </c>
      <c r="BB92" s="170">
        <f>AM92</f>
        <v/>
      </c>
      <c r="BC92" s="171">
        <f>AN92</f>
        <v/>
      </c>
    </row>
    <row r="93" ht="15" customHeight="1" s="144">
      <c r="AB93" s="89" t="n">
        <v>45622</v>
      </c>
      <c r="AC93" s="90" t="inlineStr">
        <is>
          <t>A</t>
        </is>
      </c>
      <c r="AD93" s="117" t="inlineStr">
        <is>
          <t>A.HA21.1</t>
        </is>
      </c>
      <c r="AE93" s="90" t="n">
        <v>823147.6491</v>
      </c>
      <c r="AF93" s="90" t="n">
        <v>1091710.0846</v>
      </c>
      <c r="AG93" s="92" t="n">
        <v>-121.5713</v>
      </c>
      <c r="AI93" s="105" t="n"/>
      <c r="AL93" s="93">
        <f>IF(ISNUMBER(AE93),COS(ATAN2(AF93-AO$4,AE93-AO$3)-(AO$5/200*PI()))*SQRT((AE93-AO$3)^2+(AF93-AO$4)^2),"-")</f>
        <v/>
      </c>
      <c r="AM93" s="94">
        <f>IF(ISNUMBER(AE93),SIN(ATAN2(AF93-AO$4,AE93-AO$3)-(AO$5/200*PI()))*SQRT((AE93-AO$3)^2+(AF93-AO$4)^2),"-")</f>
        <v/>
      </c>
      <c r="AN93" s="95">
        <f>IF(ISNUMBER(AL93),AG93-AO93,"-")</f>
        <v/>
      </c>
      <c r="AO93" s="96">
        <f>IF(ISNUMBER(AF93),((AL93-$AO$7)*AO$9)+AO$8,"-")</f>
        <v/>
      </c>
      <c r="AQ93" s="103" t="n"/>
      <c r="AV93" s="89">
        <f>AB93</f>
        <v/>
      </c>
      <c r="AW93" s="100">
        <f>AC93</f>
        <v/>
      </c>
      <c r="AX93" s="170">
        <f>AE93</f>
        <v/>
      </c>
      <c r="AY93" s="170">
        <f>AF93</f>
        <v/>
      </c>
      <c r="AZ93" s="170">
        <f>AG93</f>
        <v/>
      </c>
      <c r="BA93" s="170">
        <f>AL93+$AY$1</f>
        <v/>
      </c>
      <c r="BB93" s="170">
        <f>AM93</f>
        <v/>
      </c>
      <c r="BC93" s="171">
        <f>AN93</f>
        <v/>
      </c>
    </row>
    <row r="94" ht="15" customHeight="1" s="144">
      <c r="AB94" s="89" t="n">
        <v>45622</v>
      </c>
      <c r="AC94" s="90" t="inlineStr">
        <is>
          <t>B</t>
        </is>
      </c>
      <c r="AD94" s="91" t="inlineStr">
        <is>
          <t>A.HA21.2</t>
        </is>
      </c>
      <c r="AE94" s="90" t="n">
        <v>823147.5926</v>
      </c>
      <c r="AF94" s="90" t="n">
        <v>1091710.2524</v>
      </c>
      <c r="AG94" s="92" t="n">
        <v>-121.9091</v>
      </c>
      <c r="AI94" s="105" t="n"/>
      <c r="AL94" s="93">
        <f>IF(ISNUMBER(AE94),COS(ATAN2(AF94-AO$4,AE94-AO$3)-(AO$5/200*PI()))*SQRT((AE94-AO$3)^2+(AF94-AO$4)^2),"-")</f>
        <v/>
      </c>
      <c r="AM94" s="94">
        <f>IF(ISNUMBER(AE94),SIN(ATAN2(AF94-AO$4,AE94-AO$3)-(AO$5/200*PI()))*SQRT((AE94-AO$3)^2+(AF94-AO$4)^2),"-")</f>
        <v/>
      </c>
      <c r="AN94" s="95">
        <f>IF(ISNUMBER(AL94),AG94-AO94,"-")</f>
        <v/>
      </c>
      <c r="AO94" s="96">
        <f>IF(ISNUMBER(AF94),((AL94-$AO$7)*AO$9)+AO$8,"-")</f>
        <v/>
      </c>
      <c r="AQ94" s="103" t="n"/>
      <c r="AV94" s="89">
        <f>AB94</f>
        <v/>
      </c>
      <c r="AW94" s="100">
        <f>AC94</f>
        <v/>
      </c>
      <c r="AX94" s="170">
        <f>AE94</f>
        <v/>
      </c>
      <c r="AY94" s="170">
        <f>AF94</f>
        <v/>
      </c>
      <c r="AZ94" s="170">
        <f>AG94</f>
        <v/>
      </c>
      <c r="BA94" s="170">
        <f>AL94+$AY$1</f>
        <v/>
      </c>
      <c r="BB94" s="170">
        <f>AM94</f>
        <v/>
      </c>
      <c r="BC94" s="171">
        <f>AN94</f>
        <v/>
      </c>
    </row>
    <row r="95" ht="15" customHeight="1" s="144">
      <c r="AB95" s="89" t="n">
        <v>45622</v>
      </c>
      <c r="AC95" s="104" t="inlineStr">
        <is>
          <t>C</t>
        </is>
      </c>
      <c r="AD95" s="117" t="inlineStr">
        <is>
          <t>A.HA21.3</t>
        </is>
      </c>
      <c r="AE95" s="90" t="n">
        <v>823147.5662999999</v>
      </c>
      <c r="AF95" s="90" t="n">
        <v>1091710.4095</v>
      </c>
      <c r="AG95" s="92" t="n">
        <v>-122.3556</v>
      </c>
      <c r="AI95" s="105" t="n"/>
      <c r="AL95" s="93">
        <f>IF(ISNUMBER(AE95),COS(ATAN2(AF95-AO$4,AE95-AO$3)-(AO$5/200*PI()))*SQRT((AE95-AO$3)^2+(AF95-AO$4)^2),"-")</f>
        <v/>
      </c>
      <c r="AM95" s="94">
        <f>IF(ISNUMBER(AE95),SIN(ATAN2(AF95-AO$4,AE95-AO$3)-(AO$5/200*PI()))*SQRT((AE95-AO$3)^2+(AF95-AO$4)^2),"-")</f>
        <v/>
      </c>
      <c r="AN95" s="95">
        <f>IF(ISNUMBER(AL95),AG95-AO95,"-")</f>
        <v/>
      </c>
      <c r="AO95" s="96">
        <f>IF(ISNUMBER(AF95),((AL95-$AO$7)*AO$9)+AO$8,"-")</f>
        <v/>
      </c>
      <c r="AQ95" s="103" t="n"/>
      <c r="AV95" s="89">
        <f>AB95</f>
        <v/>
      </c>
      <c r="AW95" s="100">
        <f>AC95</f>
        <v/>
      </c>
      <c r="AX95" s="170">
        <f>AE95</f>
        <v/>
      </c>
      <c r="AY95" s="170">
        <f>AF95</f>
        <v/>
      </c>
      <c r="AZ95" s="170">
        <f>AG95</f>
        <v/>
      </c>
      <c r="BA95" s="170">
        <f>AL95+$AY$1</f>
        <v/>
      </c>
      <c r="BB95" s="170">
        <f>AM95</f>
        <v/>
      </c>
      <c r="BC95" s="171">
        <f>AN95</f>
        <v/>
      </c>
    </row>
    <row r="96" ht="15" customHeight="1" s="144">
      <c r="AB96" s="89" t="n">
        <v>45622</v>
      </c>
      <c r="AC96" s="104" t="inlineStr">
        <is>
          <t>D</t>
        </is>
      </c>
      <c r="AD96" s="117" t="inlineStr">
        <is>
          <t>A.HA21.4</t>
        </is>
      </c>
      <c r="AE96" s="90" t="n">
        <v>823149.9897</v>
      </c>
      <c r="AF96" s="90" t="n">
        <v>1091705.0826</v>
      </c>
      <c r="AG96" s="92" t="n">
        <v>-121.783</v>
      </c>
      <c r="AI96" s="105" t="n"/>
      <c r="AL96" s="93">
        <f>IF(ISNUMBER(AE96),COS(ATAN2(AF96-AO$4,AE96-AO$3)-(AO$5/200*PI()))*SQRT((AE96-AO$3)^2+(AF96-AO$4)^2),"-")</f>
        <v/>
      </c>
      <c r="AM96" s="94">
        <f>IF(ISNUMBER(AE96),SIN(ATAN2(AF96-AO$4,AE96-AO$3)-(AO$5/200*PI()))*SQRT((AE96-AO$3)^2+(AF96-AO$4)^2),"-")</f>
        <v/>
      </c>
      <c r="AN96" s="95">
        <f>IF(ISNUMBER(AL96),AG96-AO96,"-")</f>
        <v/>
      </c>
      <c r="AO96" s="96">
        <f>IF(ISNUMBER(AF96),((AL96-$AO$7)*AO$9)+AO$8,"-")</f>
        <v/>
      </c>
      <c r="AQ96" s="103" t="n"/>
      <c r="AV96" s="89">
        <f>AB96</f>
        <v/>
      </c>
      <c r="AW96" s="100">
        <f>AC96</f>
        <v/>
      </c>
      <c r="AX96" s="170">
        <f>AE96</f>
        <v/>
      </c>
      <c r="AY96" s="170">
        <f>AF96</f>
        <v/>
      </c>
      <c r="AZ96" s="170">
        <f>AG96</f>
        <v/>
      </c>
      <c r="BA96" s="170">
        <f>AL96+$AY$1</f>
        <v/>
      </c>
      <c r="BB96" s="170">
        <f>AM96</f>
        <v/>
      </c>
      <c r="BC96" s="171">
        <f>AN96</f>
        <v/>
      </c>
    </row>
    <row r="97" ht="15" customHeight="1" s="144">
      <c r="AB97" s="89" t="n">
        <v>45644</v>
      </c>
      <c r="AC97" s="90" t="inlineStr">
        <is>
          <t>A</t>
        </is>
      </c>
      <c r="AD97" s="117" t="inlineStr">
        <is>
          <t>GER.HA.1</t>
        </is>
      </c>
      <c r="AE97" s="90" t="n">
        <v>823147.6498</v>
      </c>
      <c r="AF97" s="90" t="n">
        <v>1091710.0848</v>
      </c>
      <c r="AG97" s="92" t="n">
        <v>-121.5712</v>
      </c>
      <c r="AI97" s="105" t="n"/>
      <c r="AL97" s="93">
        <f>IF(ISNUMBER(AE97),COS(ATAN2(AF97-AO$4,AE97-AO$3)-(AO$5/200*PI()))*SQRT((AE97-AO$3)^2+(AF97-AO$4)^2),"-")</f>
        <v/>
      </c>
      <c r="AM97" s="94">
        <f>IF(ISNUMBER(AE97),SIN(ATAN2(AF97-AO$4,AE97-AO$3)-(AO$5/200*PI()))*SQRT((AE97-AO$3)^2+(AF97-AO$4)^2),"-")</f>
        <v/>
      </c>
      <c r="AN97" s="95">
        <f>IF(ISNUMBER(AL97),AG97-AO97,"-")</f>
        <v/>
      </c>
      <c r="AO97" s="96">
        <f>IF(ISNUMBER(AF97),((AL97-$AO$7)*AO$9)+AO$8,"-")</f>
        <v/>
      </c>
      <c r="AQ97" s="103" t="n"/>
      <c r="AV97" s="89">
        <f>AB97</f>
        <v/>
      </c>
      <c r="AW97" s="100">
        <f>AC97</f>
        <v/>
      </c>
      <c r="AX97" s="170">
        <f>AE97</f>
        <v/>
      </c>
      <c r="AY97" s="170">
        <f>AF97</f>
        <v/>
      </c>
      <c r="AZ97" s="170">
        <f>AG97</f>
        <v/>
      </c>
      <c r="BA97" s="170">
        <f>AL97+$AY$1</f>
        <v/>
      </c>
      <c r="BB97" s="170">
        <f>AM97</f>
        <v/>
      </c>
      <c r="BC97" s="171">
        <f>AN97</f>
        <v/>
      </c>
    </row>
    <row r="98" ht="15" customHeight="1" s="144">
      <c r="AB98" s="89" t="n">
        <v>45644</v>
      </c>
      <c r="AC98" s="104" t="inlineStr">
        <is>
          <t>C</t>
        </is>
      </c>
      <c r="AD98" s="106" t="inlineStr">
        <is>
          <t>GER.HA.2</t>
        </is>
      </c>
      <c r="AE98" s="90" t="n">
        <v>823147.5675</v>
      </c>
      <c r="AF98" s="90" t="n">
        <v>1091710.4077</v>
      </c>
      <c r="AG98" s="92" t="n">
        <v>-122.356</v>
      </c>
      <c r="AI98" s="105" t="n"/>
      <c r="AL98" s="93">
        <f>IF(ISNUMBER(AE98),COS(ATAN2(AF98-AO$4,AE98-AO$3)-(AO$5/200*PI()))*SQRT((AE98-AO$3)^2+(AF98-AO$4)^2),"-")</f>
        <v/>
      </c>
      <c r="AM98" s="94">
        <f>IF(ISNUMBER(AE98),SIN(ATAN2(AF98-AO$4,AE98-AO$3)-(AO$5/200*PI()))*SQRT((AE98-AO$3)^2+(AF98-AO$4)^2),"-")</f>
        <v/>
      </c>
      <c r="AN98" s="95">
        <f>IF(ISNUMBER(AL98),AG98-AO98,"-")</f>
        <v/>
      </c>
      <c r="AO98" s="96">
        <f>IF(ISNUMBER(AF98),((AL98-$AO$7)*AO$9)+AO$8,"-")</f>
        <v/>
      </c>
      <c r="AQ98" s="103" t="n"/>
      <c r="AV98" s="89">
        <f>AB98</f>
        <v/>
      </c>
      <c r="AW98" s="100">
        <f>AC98</f>
        <v/>
      </c>
      <c r="AX98" s="170">
        <f>AE98</f>
        <v/>
      </c>
      <c r="AY98" s="170">
        <f>AF98</f>
        <v/>
      </c>
      <c r="AZ98" s="170">
        <f>AG98</f>
        <v/>
      </c>
      <c r="BA98" s="170">
        <f>AL98+$AY$1</f>
        <v/>
      </c>
      <c r="BB98" s="170">
        <f>AM98</f>
        <v/>
      </c>
      <c r="BC98" s="171">
        <f>AN98</f>
        <v/>
      </c>
    </row>
    <row r="99" ht="15" customHeight="1" s="144">
      <c r="AB99" s="89" t="n">
        <v>45644</v>
      </c>
      <c r="AC99" s="104" t="inlineStr">
        <is>
          <t>D</t>
        </is>
      </c>
      <c r="AD99" s="106" t="inlineStr">
        <is>
          <t>GER.HA.3</t>
        </is>
      </c>
      <c r="AE99" s="90" t="n">
        <v>823149.9895</v>
      </c>
      <c r="AF99" s="90" t="n">
        <v>1091705.0825</v>
      </c>
      <c r="AG99" s="92" t="n">
        <v>-121.7829</v>
      </c>
      <c r="AI99" s="105" t="n"/>
      <c r="AL99" s="93">
        <f>IF(ISNUMBER(AE99),COS(ATAN2(AF99-AO$4,AE99-AO$3)-(AO$5/200*PI()))*SQRT((AE99-AO$3)^2+(AF99-AO$4)^2),"-")</f>
        <v/>
      </c>
      <c r="AM99" s="94">
        <f>IF(ISNUMBER(AE99),SIN(ATAN2(AF99-AO$4,AE99-AO$3)-(AO$5/200*PI()))*SQRT((AE99-AO$3)^2+(AF99-AO$4)^2),"-")</f>
        <v/>
      </c>
      <c r="AN99" s="95">
        <f>IF(ISNUMBER(AL99),AG99-AO99,"-")</f>
        <v/>
      </c>
      <c r="AO99" s="96">
        <f>IF(ISNUMBER(AF99),((AL99-$AO$7)*AO$9)+AO$8,"-")</f>
        <v/>
      </c>
      <c r="AQ99" s="103" t="n"/>
      <c r="AV99" s="89">
        <f>AB99</f>
        <v/>
      </c>
      <c r="AW99" s="100">
        <f>AC99</f>
        <v/>
      </c>
      <c r="AX99" s="170">
        <f>AE99</f>
        <v/>
      </c>
      <c r="AY99" s="170">
        <f>AF99</f>
        <v/>
      </c>
      <c r="AZ99" s="170">
        <f>AG99</f>
        <v/>
      </c>
      <c r="BA99" s="170">
        <f>AL99+$AY$1</f>
        <v/>
      </c>
      <c r="BB99" s="170">
        <f>AM99</f>
        <v/>
      </c>
      <c r="BC99" s="171">
        <f>AN99</f>
        <v/>
      </c>
    </row>
    <row r="100" ht="15" customHeight="1" s="144">
      <c r="AB100" s="89" t="n">
        <v>45644</v>
      </c>
      <c r="AC100" s="90" t="inlineStr">
        <is>
          <t>B</t>
        </is>
      </c>
      <c r="AD100" s="106" t="inlineStr">
        <is>
          <t>HA9.3</t>
        </is>
      </c>
      <c r="AE100" s="90" t="n">
        <v>823147.5922</v>
      </c>
      <c r="AF100" s="90" t="n">
        <v>1091710.2512</v>
      </c>
      <c r="AG100" s="92" t="n">
        <v>-121.9096</v>
      </c>
      <c r="AI100" s="105" t="n"/>
      <c r="AL100" s="93">
        <f>IF(ISNUMBER(AE100),COS(ATAN2(AF100-AO$4,AE100-AO$3)-(AO$5/200*PI()))*SQRT((AE100-AO$3)^2+(AF100-AO$4)^2),"-")</f>
        <v/>
      </c>
      <c r="AM100" s="94">
        <f>IF(ISNUMBER(AE100),SIN(ATAN2(AF100-AO$4,AE100-AO$3)-(AO$5/200*PI()))*SQRT((AE100-AO$3)^2+(AF100-AO$4)^2),"-")</f>
        <v/>
      </c>
      <c r="AN100" s="95">
        <f>IF(ISNUMBER(AL100),AG100-AO100,"-")</f>
        <v/>
      </c>
      <c r="AO100" s="96">
        <f>IF(ISNUMBER(AF100),((AL100-$AO$7)*AO$9)+AO$8,"-")</f>
        <v/>
      </c>
      <c r="AQ100" s="103" t="n"/>
      <c r="AV100" s="89">
        <f>AB100</f>
        <v/>
      </c>
      <c r="AW100" s="100">
        <f>AC100</f>
        <v/>
      </c>
      <c r="AX100" s="170">
        <f>AE100</f>
        <v/>
      </c>
      <c r="AY100" s="170">
        <f>AF100</f>
        <v/>
      </c>
      <c r="AZ100" s="170">
        <f>AG100</f>
        <v/>
      </c>
      <c r="BA100" s="170">
        <f>AL100+$AY$1</f>
        <v/>
      </c>
      <c r="BB100" s="170">
        <f>AM100</f>
        <v/>
      </c>
      <c r="BC100" s="171">
        <f>AN100</f>
        <v/>
      </c>
    </row>
    <row r="101" ht="15" customHeight="1" s="144">
      <c r="AB101" s="89" t="n">
        <v>45663</v>
      </c>
      <c r="AC101" s="90" t="inlineStr">
        <is>
          <t>A</t>
        </is>
      </c>
      <c r="AD101" s="106" t="inlineStr">
        <is>
          <t>HA21.1</t>
        </is>
      </c>
      <c r="AE101" s="90" t="n">
        <v>823147.6493</v>
      </c>
      <c r="AF101" s="90" t="n">
        <v>1091710.0844</v>
      </c>
      <c r="AG101" s="92" t="n">
        <v>-121.5717</v>
      </c>
      <c r="AI101" s="105" t="n"/>
      <c r="AL101" s="93">
        <f>IF(ISNUMBER(AE101),COS(ATAN2(AF101-AO$4,AE101-AO$3)-(AO$5/200*PI()))*SQRT((AE101-AO$3)^2+(AF101-AO$4)^2),"-")</f>
        <v/>
      </c>
      <c r="AM101" s="94">
        <f>IF(ISNUMBER(AE101),SIN(ATAN2(AF101-AO$4,AE101-AO$3)-(AO$5/200*PI()))*SQRT((AE101-AO$3)^2+(AF101-AO$4)^2),"-")</f>
        <v/>
      </c>
      <c r="AN101" s="95">
        <f>IF(ISNUMBER(AL101),AG101-AO101,"-")</f>
        <v/>
      </c>
      <c r="AO101" s="96">
        <f>IF(ISNUMBER(AF101),((AL101-$AO$7)*AO$9)+AO$8,"-")</f>
        <v/>
      </c>
      <c r="AQ101" s="103" t="n"/>
      <c r="AV101" s="89">
        <f>AB101</f>
        <v/>
      </c>
      <c r="AW101" s="100">
        <f>AC101</f>
        <v/>
      </c>
      <c r="AX101" s="170">
        <f>AE101</f>
        <v/>
      </c>
      <c r="AY101" s="170">
        <f>AF101</f>
        <v/>
      </c>
      <c r="AZ101" s="170">
        <f>AG101</f>
        <v/>
      </c>
      <c r="BA101" s="170">
        <f>AL101+$AY$1</f>
        <v/>
      </c>
      <c r="BB101" s="170">
        <f>AM101</f>
        <v/>
      </c>
      <c r="BC101" s="171">
        <f>AN101</f>
        <v/>
      </c>
    </row>
    <row r="102" ht="15" customHeight="1" s="144">
      <c r="AB102" s="89" t="n">
        <v>45663</v>
      </c>
      <c r="AC102" s="90" t="inlineStr">
        <is>
          <t>B</t>
        </is>
      </c>
      <c r="AD102" s="106" t="inlineStr">
        <is>
          <t>HA21.2</t>
        </is>
      </c>
      <c r="AE102" s="90" t="n">
        <v>823147.5924</v>
      </c>
      <c r="AF102" s="90" t="n">
        <v>1091710.252</v>
      </c>
      <c r="AG102" s="92" t="n">
        <v>-121.9096</v>
      </c>
      <c r="AI102" s="105" t="n"/>
      <c r="AL102" s="93">
        <f>IF(ISNUMBER(AE102),COS(ATAN2(AF102-AO$4,AE102-AO$3)-(AO$5/200*PI()))*SQRT((AE102-AO$3)^2+(AF102-AO$4)^2),"-")</f>
        <v/>
      </c>
      <c r="AM102" s="94">
        <f>IF(ISNUMBER(AE102),SIN(ATAN2(AF102-AO$4,AE102-AO$3)-(AO$5/200*PI()))*SQRT((AE102-AO$3)^2+(AF102-AO$4)^2),"-")</f>
        <v/>
      </c>
      <c r="AN102" s="95">
        <f>IF(ISNUMBER(AL102),AG102-AO102,"-")</f>
        <v/>
      </c>
      <c r="AO102" s="96">
        <f>IF(ISNUMBER(AF102),((AL102-$AO$7)*AO$9)+AO$8,"-")</f>
        <v/>
      </c>
      <c r="AQ102" s="103" t="n"/>
      <c r="AV102" s="89">
        <f>AB102</f>
        <v/>
      </c>
      <c r="AW102" s="100">
        <f>AC102</f>
        <v/>
      </c>
      <c r="AX102" s="170">
        <f>AE102</f>
        <v/>
      </c>
      <c r="AY102" s="170">
        <f>AF102</f>
        <v/>
      </c>
      <c r="AZ102" s="170">
        <f>AG102</f>
        <v/>
      </c>
      <c r="BA102" s="170">
        <f>AL102+$AY$1</f>
        <v/>
      </c>
      <c r="BB102" s="170">
        <f>AM102</f>
        <v/>
      </c>
      <c r="BC102" s="171">
        <f>AN102</f>
        <v/>
      </c>
    </row>
    <row r="103" ht="15" customHeight="1" s="144">
      <c r="AB103" s="89" t="n">
        <v>45663</v>
      </c>
      <c r="AC103" s="104" t="inlineStr">
        <is>
          <t>D</t>
        </is>
      </c>
      <c r="AD103" s="106" t="inlineStr">
        <is>
          <t>HA21.3</t>
        </is>
      </c>
      <c r="AE103" s="90" t="n">
        <v>823149.98875</v>
      </c>
      <c r="AF103" s="90" t="n">
        <v>1091705.0824</v>
      </c>
      <c r="AG103" s="92" t="n">
        <v>-121.7833</v>
      </c>
      <c r="AI103" s="105" t="n"/>
      <c r="AL103" s="93">
        <f>IF(ISNUMBER(AE103),COS(ATAN2(AF103-AO$4,AE103-AO$3)-(AO$5/200*PI()))*SQRT((AE103-AO$3)^2+(AF103-AO$4)^2),"-")</f>
        <v/>
      </c>
      <c r="AM103" s="94">
        <f>IF(ISNUMBER(AE103),SIN(ATAN2(AF103-AO$4,AE103-AO$3)-(AO$5/200*PI()))*SQRT((AE103-AO$3)^2+(AF103-AO$4)^2),"-")</f>
        <v/>
      </c>
      <c r="AN103" s="95">
        <f>IF(ISNUMBER(AL103),AG103-AO103,"-")</f>
        <v/>
      </c>
      <c r="AO103" s="96">
        <f>IF(ISNUMBER(AF103),((AL103-$AO$7)*AO$9)+AO$8,"-")</f>
        <v/>
      </c>
      <c r="AQ103" s="103" t="n"/>
      <c r="AV103" s="89">
        <f>AB103</f>
        <v/>
      </c>
      <c r="AW103" s="100">
        <f>AC103</f>
        <v/>
      </c>
      <c r="AX103" s="170">
        <f>AE103</f>
        <v/>
      </c>
      <c r="AY103" s="170">
        <f>AF103</f>
        <v/>
      </c>
      <c r="AZ103" s="170">
        <f>AG103</f>
        <v/>
      </c>
      <c r="BA103" s="170">
        <f>AL103+$AY$1</f>
        <v/>
      </c>
      <c r="BB103" s="170">
        <f>AM103</f>
        <v/>
      </c>
      <c r="BC103" s="171">
        <f>AN103</f>
        <v/>
      </c>
    </row>
    <row r="104" ht="15" customHeight="1" s="144">
      <c r="AB104" s="89" t="n">
        <v>45663</v>
      </c>
      <c r="AC104" s="104" t="inlineStr">
        <is>
          <t>C</t>
        </is>
      </c>
      <c r="AD104" s="106" t="inlineStr">
        <is>
          <t>HA21.4</t>
        </is>
      </c>
      <c r="AE104" s="90" t="n">
        <v>823147.5681</v>
      </c>
      <c r="AF104" s="90" t="n">
        <v>1091710.4056</v>
      </c>
      <c r="AG104" s="92" t="n">
        <v>-122.3569</v>
      </c>
      <c r="AI104" s="105" t="n"/>
      <c r="AL104" s="93">
        <f>IF(ISNUMBER(AE104),COS(ATAN2(AF104-AO$4,AE104-AO$3)-(AO$5/200*PI()))*SQRT((AE104-AO$3)^2+(AF104-AO$4)^2),"-")</f>
        <v/>
      </c>
      <c r="AM104" s="94">
        <f>IF(ISNUMBER(AE104),SIN(ATAN2(AF104-AO$4,AE104-AO$3)-(AO$5/200*PI()))*SQRT((AE104-AO$3)^2+(AF104-AO$4)^2),"-")</f>
        <v/>
      </c>
      <c r="AN104" s="95">
        <f>IF(ISNUMBER(AL104),AG104-AO104,"-")</f>
        <v/>
      </c>
      <c r="AO104" s="96">
        <f>IF(ISNUMBER(AF104),((AL104-$AO$7)*AO$9)+AO$8,"-")</f>
        <v/>
      </c>
      <c r="AQ104" s="103" t="n"/>
      <c r="AV104" s="89">
        <f>AB104</f>
        <v/>
      </c>
      <c r="AW104" s="100">
        <f>AC104</f>
        <v/>
      </c>
      <c r="AX104" s="170">
        <f>AE104</f>
        <v/>
      </c>
      <c r="AY104" s="170">
        <f>AF104</f>
        <v/>
      </c>
      <c r="AZ104" s="170">
        <f>AG104</f>
        <v/>
      </c>
      <c r="BA104" s="170">
        <f>AL104+$AY$1</f>
        <v/>
      </c>
      <c r="BB104" s="170">
        <f>AM104</f>
        <v/>
      </c>
      <c r="BC104" s="171">
        <f>AN104</f>
        <v/>
      </c>
    </row>
    <row r="105" ht="15" customHeight="1" s="144">
      <c r="AB105" s="89" t="n">
        <v>45666</v>
      </c>
      <c r="AC105" s="90" t="inlineStr">
        <is>
          <t>A</t>
        </is>
      </c>
      <c r="AD105" s="106" t="inlineStr">
        <is>
          <t>IHA21.1</t>
        </is>
      </c>
      <c r="AE105" s="90" t="n">
        <v>823147.6497</v>
      </c>
      <c r="AF105" s="90" t="n">
        <v>1091710.0845</v>
      </c>
      <c r="AG105" s="92" t="n">
        <v>-121.5716</v>
      </c>
      <c r="AI105" s="105" t="n"/>
      <c r="AL105" s="93">
        <f>IF(ISNUMBER(AE105),COS(ATAN2(AF105-AO$4,AE105-AO$3)-(AO$5/200*PI()))*SQRT((AE105-AO$3)^2+(AF105-AO$4)^2),"-")</f>
        <v/>
      </c>
      <c r="AM105" s="94">
        <f>IF(ISNUMBER(AE105),SIN(ATAN2(AF105-AO$4,AE105-AO$3)-(AO$5/200*PI()))*SQRT((AE105-AO$3)^2+(AF105-AO$4)^2),"-")</f>
        <v/>
      </c>
      <c r="AN105" s="95">
        <f>IF(ISNUMBER(AL105),AG105-AO105,"-")</f>
        <v/>
      </c>
      <c r="AO105" s="96">
        <f>IF(ISNUMBER(AF105),((AL105-$AO$7)*AO$9)+AO$8,"-")</f>
        <v/>
      </c>
      <c r="AQ105" s="103" t="n"/>
      <c r="AV105" s="89">
        <f>AB105</f>
        <v/>
      </c>
      <c r="AW105" s="100">
        <f>AC105</f>
        <v/>
      </c>
      <c r="AX105" s="170">
        <f>AE105</f>
        <v/>
      </c>
      <c r="AY105" s="170">
        <f>AF105</f>
        <v/>
      </c>
      <c r="AZ105" s="170">
        <f>AG105</f>
        <v/>
      </c>
      <c r="BA105" s="170">
        <f>AL105+$AY$1</f>
        <v/>
      </c>
      <c r="BB105" s="170">
        <f>AM105</f>
        <v/>
      </c>
      <c r="BC105" s="171">
        <f>AN105</f>
        <v/>
      </c>
    </row>
    <row r="106" ht="15" customHeight="1" s="144">
      <c r="AB106" s="89" t="n">
        <v>45666</v>
      </c>
      <c r="AC106" s="90" t="inlineStr">
        <is>
          <t>B</t>
        </is>
      </c>
      <c r="AD106" s="106" t="inlineStr">
        <is>
          <t>IHA21.2</t>
        </is>
      </c>
      <c r="AE106" s="90" t="n">
        <v>823147.5923</v>
      </c>
      <c r="AF106" s="90" t="n">
        <v>1091710.2511</v>
      </c>
      <c r="AG106" s="92" t="n">
        <v>-121.9096</v>
      </c>
      <c r="AI106" s="105" t="n"/>
      <c r="AL106" s="93">
        <f>IF(ISNUMBER(AE106),COS(ATAN2(AF106-AO$4,AE106-AO$3)-(AO$5/200*PI()))*SQRT((AE106-AO$3)^2+(AF106-AO$4)^2),"-")</f>
        <v/>
      </c>
      <c r="AM106" s="94">
        <f>IF(ISNUMBER(AE106),SIN(ATAN2(AF106-AO$4,AE106-AO$3)-(AO$5/200*PI()))*SQRT((AE106-AO$3)^2+(AF106-AO$4)^2),"-")</f>
        <v/>
      </c>
      <c r="AN106" s="95">
        <f>IF(ISNUMBER(AL106),AG106-AO106,"-")</f>
        <v/>
      </c>
      <c r="AO106" s="96">
        <f>IF(ISNUMBER(AF106),((AL106-$AO$7)*AO$9)+AO$8,"-")</f>
        <v/>
      </c>
      <c r="AQ106" s="103" t="n"/>
      <c r="AV106" s="89">
        <f>AB106</f>
        <v/>
      </c>
      <c r="AW106" s="100">
        <f>AC106</f>
        <v/>
      </c>
      <c r="AX106" s="170">
        <f>AE106</f>
        <v/>
      </c>
      <c r="AY106" s="170">
        <f>AF106</f>
        <v/>
      </c>
      <c r="AZ106" s="170">
        <f>AG106</f>
        <v/>
      </c>
      <c r="BA106" s="170">
        <f>AL106+$AY$1</f>
        <v/>
      </c>
      <c r="BB106" s="170">
        <f>AM106</f>
        <v/>
      </c>
      <c r="BC106" s="171">
        <f>AN106</f>
        <v/>
      </c>
    </row>
    <row r="107" ht="15" customHeight="1" s="144">
      <c r="AB107" s="89" t="n">
        <v>45666</v>
      </c>
      <c r="AC107" s="104" t="inlineStr">
        <is>
          <t>D</t>
        </is>
      </c>
      <c r="AD107" s="106" t="inlineStr">
        <is>
          <t>IHA21.3</t>
        </is>
      </c>
      <c r="AE107" s="90" t="n">
        <v>823149.9887</v>
      </c>
      <c r="AF107" s="90" t="n">
        <v>1091705.0824</v>
      </c>
      <c r="AG107" s="92" t="n">
        <v>-121.7832</v>
      </c>
      <c r="AI107" s="105" t="n"/>
      <c r="AL107" s="93">
        <f>IF(ISNUMBER(AE107),COS(ATAN2(AF107-AO$4,AE107-AO$3)-(AO$5/200*PI()))*SQRT((AE107-AO$3)^2+(AF107-AO$4)^2),"-")</f>
        <v/>
      </c>
      <c r="AM107" s="94">
        <f>IF(ISNUMBER(AE107),SIN(ATAN2(AF107-AO$4,AE107-AO$3)-(AO$5/200*PI()))*SQRT((AE107-AO$3)^2+(AF107-AO$4)^2),"-")</f>
        <v/>
      </c>
      <c r="AN107" s="95">
        <f>IF(ISNUMBER(AL107),AG107-AO107,"-")</f>
        <v/>
      </c>
      <c r="AO107" s="96">
        <f>IF(ISNUMBER(AF107),((AL107-$AO$7)*AO$9)+AO$8,"-")</f>
        <v/>
      </c>
      <c r="AQ107" s="103" t="n"/>
      <c r="AV107" s="89">
        <f>AB107</f>
        <v/>
      </c>
      <c r="AW107" s="100">
        <f>AC107</f>
        <v/>
      </c>
      <c r="AX107" s="170">
        <f>AE107</f>
        <v/>
      </c>
      <c r="AY107" s="170">
        <f>AF107</f>
        <v/>
      </c>
      <c r="AZ107" s="170">
        <f>AG107</f>
        <v/>
      </c>
      <c r="BA107" s="170">
        <f>AL107+$AY$1</f>
        <v/>
      </c>
      <c r="BB107" s="170">
        <f>AM107</f>
        <v/>
      </c>
      <c r="BC107" s="171">
        <f>AN107</f>
        <v/>
      </c>
    </row>
    <row r="108" ht="15" customHeight="1" s="144">
      <c r="AB108" s="89" t="n">
        <v>45666</v>
      </c>
      <c r="AC108" s="104" t="inlineStr">
        <is>
          <t>C</t>
        </is>
      </c>
      <c r="AD108" s="106" t="inlineStr">
        <is>
          <t>IHA21.4</t>
        </is>
      </c>
      <c r="AE108" s="90" t="n">
        <v>823147.5684</v>
      </c>
      <c r="AF108" s="90" t="n">
        <v>1091710.4056</v>
      </c>
      <c r="AG108" s="92" t="n">
        <v>-122.3568</v>
      </c>
      <c r="AI108" s="105" t="n"/>
      <c r="AL108" s="93">
        <f>IF(ISNUMBER(AE108),COS(ATAN2(AF108-AO$4,AE108-AO$3)-(AO$5/200*PI()))*SQRT((AE108-AO$3)^2+(AF108-AO$4)^2),"-")</f>
        <v/>
      </c>
      <c r="AM108" s="94">
        <f>IF(ISNUMBER(AE108),SIN(ATAN2(AF108-AO$4,AE108-AO$3)-(AO$5/200*PI()))*SQRT((AE108-AO$3)^2+(AF108-AO$4)^2),"-")</f>
        <v/>
      </c>
      <c r="AN108" s="95">
        <f>IF(ISNUMBER(AL108),AG108-AO108,"-")</f>
        <v/>
      </c>
      <c r="AO108" s="96">
        <f>IF(ISNUMBER(AF108),((AL108-$AO$7)*AO$9)+AO$8,"-")</f>
        <v/>
      </c>
      <c r="AQ108" s="103" t="n"/>
      <c r="AV108" s="89">
        <f>AB108</f>
        <v/>
      </c>
      <c r="AW108" s="100">
        <f>AC108</f>
        <v/>
      </c>
      <c r="AX108" s="170">
        <f>AE108</f>
        <v/>
      </c>
      <c r="AY108" s="170">
        <f>AF108</f>
        <v/>
      </c>
      <c r="AZ108" s="170">
        <f>AG108</f>
        <v/>
      </c>
      <c r="BA108" s="170">
        <f>AL108+$AY$1</f>
        <v/>
      </c>
      <c r="BB108" s="170">
        <f>AM108</f>
        <v/>
      </c>
      <c r="BC108" s="171">
        <f>AN108</f>
        <v/>
      </c>
    </row>
    <row r="109" ht="15" customHeight="1" s="144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  <c r="AB109" s="90" t="n">
        <v>45670</v>
      </c>
      <c r="AC109" s="90" t="inlineStr">
        <is>
          <t>A</t>
        </is>
      </c>
      <c r="AD109" s="90" t="inlineStr">
        <is>
          <t>HA21.1</t>
        </is>
      </c>
      <c r="AE109" s="90" t="n">
        <v>823147.6494</v>
      </c>
      <c r="AF109" s="90" t="n">
        <v>1091710.0842</v>
      </c>
      <c r="AG109" s="92" t="n">
        <v>-121.5717</v>
      </c>
      <c r="AI109" s="105" t="n"/>
      <c r="AL109" s="93">
        <f>IF(ISNUMBER(AE109),COS(ATAN2(AF109-AO$4,AE109-AO$3)-(AO$5/200*PI()))*SQRT((AE109-AO$3)^2+(AF109-AO$4)^2),"-")</f>
        <v/>
      </c>
      <c r="AM109" s="94">
        <f>IF(ISNUMBER(AE109),SIN(ATAN2(AF109-AO$4,AE109-AO$3)-(AO$5/200*PI()))*SQRT((AE109-AO$3)^2+(AF109-AO$4)^2),"-")</f>
        <v/>
      </c>
      <c r="AN109" s="95">
        <f>IF(ISNUMBER(AL109),AG109-AO109,"-")</f>
        <v/>
      </c>
      <c r="AO109" s="96">
        <f>IF(ISNUMBER(AF109),((AL109-$AO$7)*AO$9)+AO$8,"-")</f>
        <v/>
      </c>
      <c r="AQ109" s="103" t="n"/>
      <c r="AV109" s="89">
        <f>AB109</f>
        <v/>
      </c>
      <c r="AW109" s="100">
        <f>AC109</f>
        <v/>
      </c>
      <c r="AX109" s="170">
        <f>AE109</f>
        <v/>
      </c>
      <c r="AY109" s="170">
        <f>AF109</f>
        <v/>
      </c>
      <c r="AZ109" s="170">
        <f>AG109</f>
        <v/>
      </c>
      <c r="BA109" s="170">
        <f>AL109+$AY$1</f>
        <v/>
      </c>
      <c r="BB109" s="170">
        <f>AM109</f>
        <v/>
      </c>
      <c r="BC109" s="171">
        <f>AN109</f>
        <v/>
      </c>
    </row>
    <row r="110" ht="15" customHeight="1" s="144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  <c r="AB110" s="90" t="n">
        <v>45670</v>
      </c>
      <c r="AC110" s="90" t="inlineStr">
        <is>
          <t>B</t>
        </is>
      </c>
      <c r="AD110" s="90" t="inlineStr">
        <is>
          <t>HA21.2</t>
        </is>
      </c>
      <c r="AE110" s="90" t="n">
        <v>823147.5922</v>
      </c>
      <c r="AF110" s="90" t="n">
        <v>1091710.251</v>
      </c>
      <c r="AG110" s="92" t="n">
        <v>-121.9098</v>
      </c>
      <c r="AI110" s="105" t="n"/>
      <c r="AL110" s="93">
        <f>IF(ISNUMBER(AE110),COS(ATAN2(AF110-AO$4,AE110-AO$3)-(AO$5/200*PI()))*SQRT((AE110-AO$3)^2+(AF110-AO$4)^2),"-")</f>
        <v/>
      </c>
      <c r="AM110" s="94">
        <f>IF(ISNUMBER(AE110),SIN(ATAN2(AF110-AO$4,AE110-AO$3)-(AO$5/200*PI()))*SQRT((AE110-AO$3)^2+(AF110-AO$4)^2),"-")</f>
        <v/>
      </c>
      <c r="AN110" s="95">
        <f>IF(ISNUMBER(AL110),AG110-AO110,"-")</f>
        <v/>
      </c>
      <c r="AO110" s="96">
        <f>IF(ISNUMBER(AF110),((AL110-$AO$7)*AO$9)+AO$8,"-")</f>
        <v/>
      </c>
      <c r="AQ110" s="103" t="n"/>
      <c r="AV110" s="89">
        <f>AB110</f>
        <v/>
      </c>
      <c r="AW110" s="100">
        <f>AC110</f>
        <v/>
      </c>
      <c r="AX110" s="170">
        <f>AE110</f>
        <v/>
      </c>
      <c r="AY110" s="170">
        <f>AF110</f>
        <v/>
      </c>
      <c r="AZ110" s="170">
        <f>AG110</f>
        <v/>
      </c>
      <c r="BA110" s="170">
        <f>AL110+$AY$1</f>
        <v/>
      </c>
      <c r="BB110" s="170">
        <f>AM110</f>
        <v/>
      </c>
      <c r="BC110" s="171">
        <f>AN110</f>
        <v/>
      </c>
    </row>
    <row r="111" ht="15" customHeight="1" s="144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  <c r="AB111" s="90" t="n">
        <v>45670</v>
      </c>
      <c r="AC111" s="104" t="inlineStr">
        <is>
          <t>D</t>
        </is>
      </c>
      <c r="AD111" s="100" t="inlineStr">
        <is>
          <t>HA21.3</t>
        </is>
      </c>
      <c r="AE111" s="90" t="n">
        <v>823149.9886</v>
      </c>
      <c r="AF111" s="90" t="n">
        <v>1091705.0825</v>
      </c>
      <c r="AG111" s="90" t="n">
        <v>-121.7832</v>
      </c>
      <c r="AL111" s="93">
        <f>IF(ISNUMBER(AE111),COS(ATAN2(AF111-AO$4,AE111-AO$3)-(AO$5/200*PI()))*SQRT((AE111-AO$3)^2+(AF111-AO$4)^2),"-")</f>
        <v/>
      </c>
      <c r="AM111" s="94">
        <f>IF(ISNUMBER(AE111),SIN(ATAN2(AF111-AO$4,AE111-AO$3)-(AO$5/200*PI()))*SQRT((AE111-AO$3)^2+(AF111-AO$4)^2),"-")</f>
        <v/>
      </c>
      <c r="AN111" s="95">
        <f>IF(ISNUMBER(AL111),AG111-AO111,"-")</f>
        <v/>
      </c>
      <c r="AO111" s="96">
        <f>IF(ISNUMBER(AF111),((AL111-$AO$7)*AO$9)+AO$8,"-")</f>
        <v/>
      </c>
      <c r="AQ111" s="103" t="n"/>
      <c r="AV111" s="89">
        <f>AB111</f>
        <v/>
      </c>
      <c r="AW111" s="100">
        <f>AC111</f>
        <v/>
      </c>
      <c r="AX111" s="170">
        <f>AE111</f>
        <v/>
      </c>
      <c r="AY111" s="170">
        <f>AF111</f>
        <v/>
      </c>
      <c r="AZ111" s="170">
        <f>AG111</f>
        <v/>
      </c>
      <c r="BA111" s="170">
        <f>AL111+$AY$1</f>
        <v/>
      </c>
      <c r="BB111" s="170">
        <f>AM111</f>
        <v/>
      </c>
      <c r="BC111" s="171">
        <f>AN111</f>
        <v/>
      </c>
    </row>
    <row r="112" ht="15" customHeight="1" s="144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  <c r="AB112" s="90" t="n">
        <v>45670</v>
      </c>
      <c r="AC112" s="104" t="inlineStr">
        <is>
          <t>C</t>
        </is>
      </c>
      <c r="AD112" s="100" t="inlineStr">
        <is>
          <t>HA21.4</t>
        </is>
      </c>
      <c r="AE112" s="90" t="n">
        <v>823147.5684</v>
      </c>
      <c r="AF112" s="90" t="n">
        <v>1091710.4053</v>
      </c>
      <c r="AG112" s="90" t="n">
        <v>-122.3569</v>
      </c>
      <c r="AL112" s="93">
        <f>IF(ISNUMBER(AE112),COS(ATAN2(AF112-AO$4,AE112-AO$3)-(AO$5/200*PI()))*SQRT((AE112-AO$3)^2+(AF112-AO$4)^2),"-")</f>
        <v/>
      </c>
      <c r="AM112" s="94">
        <f>IF(ISNUMBER(AE112),SIN(ATAN2(AF112-AO$4,AE112-AO$3)-(AO$5/200*PI()))*SQRT((AE112-AO$3)^2+(AF112-AO$4)^2),"-")</f>
        <v/>
      </c>
      <c r="AN112" s="95">
        <f>IF(ISNUMBER(AL112),AG112-AO112,"-")</f>
        <v/>
      </c>
      <c r="AO112" s="96">
        <f>IF(ISNUMBER(AF112),((AL112-$AO$7)*AO$9)+AO$8,"-")</f>
        <v/>
      </c>
      <c r="AQ112" s="103" t="n"/>
      <c r="AV112" s="89">
        <f>AB112</f>
        <v/>
      </c>
      <c r="AW112" s="100">
        <f>AC112</f>
        <v/>
      </c>
      <c r="AX112" s="170">
        <f>AE112</f>
        <v/>
      </c>
      <c r="AY112" s="170">
        <f>AF112</f>
        <v/>
      </c>
      <c r="AZ112" s="170">
        <f>AG112</f>
        <v/>
      </c>
      <c r="BA112" s="170">
        <f>AL112+$AY$1</f>
        <v/>
      </c>
      <c r="BB112" s="170">
        <f>AM112</f>
        <v/>
      </c>
      <c r="BC112" s="171">
        <f>AN112</f>
        <v/>
      </c>
    </row>
    <row r="113" ht="15" customHeight="1" s="144">
      <c r="AB113" s="89" t="n">
        <v>45674</v>
      </c>
      <c r="AC113" s="90" t="inlineStr">
        <is>
          <t>A</t>
        </is>
      </c>
      <c r="AD113" s="91" t="inlineStr">
        <is>
          <t>IHA21.1</t>
        </is>
      </c>
      <c r="AE113" s="90" t="n">
        <v>823147.6497</v>
      </c>
      <c r="AF113" s="90" t="n">
        <v>1091710.0841</v>
      </c>
      <c r="AG113" s="90" t="n">
        <v>-121.5719</v>
      </c>
      <c r="AL113" s="93">
        <f>IF(ISNUMBER(AE113),COS(ATAN2(AF113-AO$4,AE113-AO$3)-(AO$5/200*PI()))*SQRT((AE113-AO$3)^2+(AF113-AO$4)^2),"-")</f>
        <v/>
      </c>
      <c r="AM113" s="94">
        <f>IF(ISNUMBER(AE113),SIN(ATAN2(AF113-AO$4,AE113-AO$3)-(AO$5/200*PI()))*SQRT((AE113-AO$3)^2+(AF113-AO$4)^2),"-")</f>
        <v/>
      </c>
      <c r="AN113" s="95">
        <f>IF(ISNUMBER(AL113),AG113-AO113,"-")</f>
        <v/>
      </c>
      <c r="AO113" s="96">
        <f>IF(ISNUMBER(AF113),((AL113-$AO$7)*AO$9)+AO$8,"-")</f>
        <v/>
      </c>
      <c r="AQ113" s="103" t="n"/>
      <c r="AV113" s="89">
        <f>AB113</f>
        <v/>
      </c>
      <c r="AW113" s="100">
        <f>AC113</f>
        <v/>
      </c>
      <c r="AX113" s="170">
        <f>AE113</f>
        <v/>
      </c>
      <c r="AY113" s="170">
        <f>AF113</f>
        <v/>
      </c>
      <c r="AZ113" s="170">
        <f>AG113</f>
        <v/>
      </c>
      <c r="BA113" s="170">
        <f>AL113+$AY$1</f>
        <v/>
      </c>
      <c r="BB113" s="170">
        <f>AM113</f>
        <v/>
      </c>
      <c r="BC113" s="171">
        <f>AN113</f>
        <v/>
      </c>
    </row>
    <row r="114" ht="15" customHeight="1" s="144">
      <c r="AB114" s="89" t="n">
        <v>45674</v>
      </c>
      <c r="AC114" s="90" t="inlineStr">
        <is>
          <t>B</t>
        </is>
      </c>
      <c r="AD114" s="91" t="inlineStr">
        <is>
          <t>IHA21.2</t>
        </is>
      </c>
      <c r="AE114" s="90" t="n">
        <v>823147.5921</v>
      </c>
      <c r="AF114" s="90" t="n">
        <v>1091710.2513</v>
      </c>
      <c r="AG114" s="90" t="n">
        <v>-121.91</v>
      </c>
      <c r="AL114" s="93">
        <f>IF(ISNUMBER(AE114),COS(ATAN2(AF114-AO$4,AE114-AO$3)-(AO$5/200*PI()))*SQRT((AE114-AO$3)^2+(AF114-AO$4)^2),"-")</f>
        <v/>
      </c>
      <c r="AM114" s="94">
        <f>IF(ISNUMBER(AE114),SIN(ATAN2(AF114-AO$4,AE114-AO$3)-(AO$5/200*PI()))*SQRT((AE114-AO$3)^2+(AF114-AO$4)^2),"-")</f>
        <v/>
      </c>
      <c r="AN114" s="95">
        <f>IF(ISNUMBER(AL114),AG114-AO114,"-")</f>
        <v/>
      </c>
      <c r="AO114" s="96">
        <f>IF(ISNUMBER(AF114),((AL114-$AO$7)*AO$9)+AO$8,"-")</f>
        <v/>
      </c>
      <c r="AQ114" s="103" t="n"/>
      <c r="AV114" s="89">
        <f>AB114</f>
        <v/>
      </c>
      <c r="AW114" s="100">
        <f>AC114</f>
        <v/>
      </c>
      <c r="AX114" s="170">
        <f>AE114</f>
        <v/>
      </c>
      <c r="AY114" s="170">
        <f>AF114</f>
        <v/>
      </c>
      <c r="AZ114" s="170">
        <f>AG114</f>
        <v/>
      </c>
      <c r="BA114" s="170">
        <f>AL114+$AY$1</f>
        <v/>
      </c>
      <c r="BB114" s="170">
        <f>AM114</f>
        <v/>
      </c>
      <c r="BC114" s="171">
        <f>AN114</f>
        <v/>
      </c>
    </row>
    <row r="115" ht="15" customHeight="1" s="144">
      <c r="AB115" s="89" t="n">
        <v>45674</v>
      </c>
      <c r="AC115" s="104" t="inlineStr">
        <is>
          <t>D</t>
        </is>
      </c>
      <c r="AD115" s="91" t="inlineStr">
        <is>
          <t>IHA21.3</t>
        </is>
      </c>
      <c r="AE115" s="90" t="n">
        <v>823149.9889999999</v>
      </c>
      <c r="AF115" s="90" t="n">
        <v>1091705.0826</v>
      </c>
      <c r="AG115" s="90" t="n">
        <v>-121.7834</v>
      </c>
      <c r="AL115" s="93">
        <f>IF(ISNUMBER(AE115),COS(ATAN2(AF115-AO$4,AE115-AO$3)-(AO$5/200*PI()))*SQRT((AE115-AO$3)^2+(AF115-AO$4)^2),"-")</f>
        <v/>
      </c>
      <c r="AM115" s="94">
        <f>IF(ISNUMBER(AE115),SIN(ATAN2(AF115-AO$4,AE115-AO$3)-(AO$5/200*PI()))*SQRT((AE115-AO$3)^2+(AF115-AO$4)^2),"-")</f>
        <v/>
      </c>
      <c r="AN115" s="95">
        <f>IF(ISNUMBER(AL115),AG115-AO115,"-")</f>
        <v/>
      </c>
      <c r="AO115" s="96">
        <f>IF(ISNUMBER(AF115),((AL115-$AO$7)*AO$9)+AO$8,"-")</f>
        <v/>
      </c>
      <c r="AQ115" s="103" t="n"/>
      <c r="AV115" s="89">
        <f>AB115</f>
        <v/>
      </c>
      <c r="AW115" s="100">
        <f>AC115</f>
        <v/>
      </c>
      <c r="AX115" s="170">
        <f>AE115</f>
        <v/>
      </c>
      <c r="AY115" s="170">
        <f>AF115</f>
        <v/>
      </c>
      <c r="AZ115" s="170">
        <f>AG115</f>
        <v/>
      </c>
      <c r="BA115" s="170">
        <f>AL115+$AY$1</f>
        <v/>
      </c>
      <c r="BB115" s="170">
        <f>AM115</f>
        <v/>
      </c>
      <c r="BC115" s="171">
        <f>AN115</f>
        <v/>
      </c>
    </row>
    <row r="116" ht="15" customHeight="1" s="144">
      <c r="AB116" s="89" t="n">
        <v>45674</v>
      </c>
      <c r="AC116" s="104" t="inlineStr">
        <is>
          <t>C</t>
        </is>
      </c>
      <c r="AD116" s="91" t="inlineStr">
        <is>
          <t>IHA21.4</t>
        </is>
      </c>
      <c r="AE116" s="90" t="n">
        <v>823147.5685000001</v>
      </c>
      <c r="AF116" s="90" t="n">
        <v>1091710.4052</v>
      </c>
      <c r="AG116" s="90" t="n">
        <v>-122.3572</v>
      </c>
      <c r="AL116" s="93">
        <f>IF(ISNUMBER(AE116),COS(ATAN2(AF116-AO$4,AE116-AO$3)-(AO$5/200*PI()))*SQRT((AE116-AO$3)^2+(AF116-AO$4)^2),"-")</f>
        <v/>
      </c>
      <c r="AM116" s="94">
        <f>IF(ISNUMBER(AE116),SIN(ATAN2(AF116-AO$4,AE116-AO$3)-(AO$5/200*PI()))*SQRT((AE116-AO$3)^2+(AF116-AO$4)^2),"-")</f>
        <v/>
      </c>
      <c r="AN116" s="95">
        <f>IF(ISNUMBER(AL116),AG116-AO116,"-")</f>
        <v/>
      </c>
      <c r="AO116" s="96">
        <f>IF(ISNUMBER(AF116),((AL116-$AO$7)*AO$9)+AO$8,"-")</f>
        <v/>
      </c>
      <c r="AQ116" s="103" t="n"/>
      <c r="AV116" s="89">
        <f>AB116</f>
        <v/>
      </c>
      <c r="AW116" s="100">
        <f>AC116</f>
        <v/>
      </c>
      <c r="AX116" s="170">
        <f>AE116</f>
        <v/>
      </c>
      <c r="AY116" s="170">
        <f>AF116</f>
        <v/>
      </c>
      <c r="AZ116" s="170">
        <f>AG116</f>
        <v/>
      </c>
      <c r="BA116" s="170">
        <f>AL116+$AY$1</f>
        <v/>
      </c>
      <c r="BB116" s="170">
        <f>AM116</f>
        <v/>
      </c>
      <c r="BC116" s="171">
        <f>AN116</f>
        <v/>
      </c>
    </row>
    <row r="117" ht="15" customHeight="1" s="144">
      <c r="AB117" s="89" t="n">
        <v>45681</v>
      </c>
      <c r="AC117" s="90" t="inlineStr">
        <is>
          <t>A</t>
        </is>
      </c>
      <c r="AD117" s="91" t="inlineStr">
        <is>
          <t>IHA21.1</t>
        </is>
      </c>
      <c r="AE117" s="90" t="n">
        <v>823147.649</v>
      </c>
      <c r="AF117" s="90" t="n">
        <v>1091710.0842</v>
      </c>
      <c r="AG117" s="90" t="n">
        <v>-121.5718</v>
      </c>
      <c r="AL117" s="93">
        <f>IF(ISNUMBER(AE117),COS(ATAN2(AF117-AO$4,AE117-AO$3)-(AO$5/200*PI()))*SQRT((AE117-AO$3)^2+(AF117-AO$4)^2),"-")</f>
        <v/>
      </c>
      <c r="AM117" s="94">
        <f>IF(ISNUMBER(AE117),SIN(ATAN2(AF117-AO$4,AE117-AO$3)-(AO$5/200*PI()))*SQRT((AE117-AO$3)^2+(AF117-AO$4)^2),"-")</f>
        <v/>
      </c>
      <c r="AN117" s="95">
        <f>IF(ISNUMBER(AL117),AG117-AO117,"-")</f>
        <v/>
      </c>
      <c r="AO117" s="96">
        <f>IF(ISNUMBER(AF117),((AL117-$AO$7)*AO$9)+AO$8,"-")</f>
        <v/>
      </c>
      <c r="AQ117" s="103" t="n"/>
      <c r="AV117" s="89">
        <f>AB117</f>
        <v/>
      </c>
      <c r="AW117" s="100">
        <f>AC117</f>
        <v/>
      </c>
      <c r="AX117" s="170">
        <f>AE117</f>
        <v/>
      </c>
      <c r="AY117" s="170">
        <f>AF117</f>
        <v/>
      </c>
      <c r="AZ117" s="170">
        <f>AG117</f>
        <v/>
      </c>
      <c r="BA117" s="170">
        <f>AL117+$AY$1</f>
        <v/>
      </c>
      <c r="BB117" s="170">
        <f>AM117</f>
        <v/>
      </c>
      <c r="BC117" s="171">
        <f>AN117</f>
        <v/>
      </c>
    </row>
    <row r="118" ht="15" customHeight="1" s="144">
      <c r="AB118" s="89" t="n">
        <v>45681</v>
      </c>
      <c r="AC118" s="90" t="inlineStr">
        <is>
          <t>B</t>
        </is>
      </c>
      <c r="AD118" s="91" t="inlineStr">
        <is>
          <t>IHA21.2</t>
        </is>
      </c>
      <c r="AE118" s="90" t="n">
        <v>823147.5927</v>
      </c>
      <c r="AF118" s="90" t="n">
        <v>1091710.2519</v>
      </c>
      <c r="AG118" s="90" t="n">
        <v>-121.9095</v>
      </c>
      <c r="AL118" s="93">
        <f>IF(ISNUMBER(AE118),COS(ATAN2(AF118-AO$4,AE118-AO$3)-(AO$5/200*PI()))*SQRT((AE118-AO$3)^2+(AF118-AO$4)^2),"-")</f>
        <v/>
      </c>
      <c r="AM118" s="94">
        <f>IF(ISNUMBER(AE118),SIN(ATAN2(AF118-AO$4,AE118-AO$3)-(AO$5/200*PI()))*SQRT((AE118-AO$3)^2+(AF118-AO$4)^2),"-")</f>
        <v/>
      </c>
      <c r="AN118" s="95">
        <f>IF(ISNUMBER(AL118),AG118-AO118,"-")</f>
        <v/>
      </c>
      <c r="AO118" s="96">
        <f>IF(ISNUMBER(AF118),((AL118-$AO$7)*AO$9)+AO$8,"-")</f>
        <v/>
      </c>
      <c r="AQ118" s="103" t="n"/>
      <c r="AV118" s="89">
        <f>AB118</f>
        <v/>
      </c>
      <c r="AW118" s="100">
        <f>AC118</f>
        <v/>
      </c>
      <c r="AX118" s="170">
        <f>AE118</f>
        <v/>
      </c>
      <c r="AY118" s="170">
        <f>AF118</f>
        <v/>
      </c>
      <c r="AZ118" s="170">
        <f>AG118</f>
        <v/>
      </c>
      <c r="BA118" s="170">
        <f>AL118+$AY$1</f>
        <v/>
      </c>
      <c r="BB118" s="170">
        <f>AM118</f>
        <v/>
      </c>
      <c r="BC118" s="171">
        <f>AN118</f>
        <v/>
      </c>
    </row>
    <row r="119" ht="15" customHeight="1" s="144">
      <c r="AB119" s="89" t="n">
        <v>45681</v>
      </c>
      <c r="AC119" s="104" t="inlineStr">
        <is>
          <t>D</t>
        </is>
      </c>
      <c r="AD119" s="91" t="inlineStr">
        <is>
          <t>IHA21.3</t>
        </is>
      </c>
      <c r="AE119" s="90" t="n">
        <v>823149.9895</v>
      </c>
      <c r="AF119" s="90" t="n">
        <v>1091705.0828</v>
      </c>
      <c r="AG119" s="90" t="n">
        <v>-121.7832</v>
      </c>
      <c r="AL119" s="93">
        <f>IF(ISNUMBER(AE119),COS(ATAN2(AF119-AO$4,AE119-AO$3)-(AO$5/200*PI()))*SQRT((AE119-AO$3)^2+(AF119-AO$4)^2),"-")</f>
        <v/>
      </c>
      <c r="AM119" s="94">
        <f>IF(ISNUMBER(AE119),SIN(ATAN2(AF119-AO$4,AE119-AO$3)-(AO$5/200*PI()))*SQRT((AE119-AO$3)^2+(AF119-AO$4)^2),"-")</f>
        <v/>
      </c>
      <c r="AN119" s="95">
        <f>IF(ISNUMBER(AL119),AG119-AO119,"-")</f>
        <v/>
      </c>
      <c r="AO119" s="96">
        <f>IF(ISNUMBER(AF119),((AL119-$AO$7)*AO$9)+AO$8,"-")</f>
        <v/>
      </c>
      <c r="AQ119" s="103" t="n"/>
      <c r="AV119" s="89">
        <f>AB119</f>
        <v/>
      </c>
      <c r="AW119" s="100">
        <f>AC119</f>
        <v/>
      </c>
      <c r="AX119" s="170">
        <f>AE119</f>
        <v/>
      </c>
      <c r="AY119" s="170">
        <f>AF119</f>
        <v/>
      </c>
      <c r="AZ119" s="170">
        <f>AG119</f>
        <v/>
      </c>
      <c r="BA119" s="170">
        <f>AL119+$AY$1</f>
        <v/>
      </c>
      <c r="BB119" s="170">
        <f>AM119</f>
        <v/>
      </c>
      <c r="BC119" s="171">
        <f>AN119</f>
        <v/>
      </c>
    </row>
    <row r="120" ht="15" customHeight="1" s="144">
      <c r="AB120" s="89" t="n">
        <v>45681</v>
      </c>
      <c r="AC120" s="104" t="inlineStr">
        <is>
          <t>C</t>
        </is>
      </c>
      <c r="AD120" s="91" t="inlineStr">
        <is>
          <t>IHA21.4</t>
        </is>
      </c>
      <c r="AE120" s="90" t="n">
        <v>823147.568</v>
      </c>
      <c r="AF120" s="90" t="n">
        <v>1091710.4049</v>
      </c>
      <c r="AG120" s="90" t="n">
        <v>-122.357</v>
      </c>
      <c r="AL120" s="93">
        <f>IF(ISNUMBER(AE120),COS(ATAN2(AF120-AO$4,AE120-AO$3)-(AO$5/200*PI()))*SQRT((AE120-AO$3)^2+(AF120-AO$4)^2),"-")</f>
        <v/>
      </c>
      <c r="AM120" s="94">
        <f>IF(ISNUMBER(AE120),SIN(ATAN2(AF120-AO$4,AE120-AO$3)-(AO$5/200*PI()))*SQRT((AE120-AO$3)^2+(AF120-AO$4)^2),"-")</f>
        <v/>
      </c>
      <c r="AN120" s="95">
        <f>IF(ISNUMBER(AL120),AG120-AO120,"-")</f>
        <v/>
      </c>
      <c r="AO120" s="96">
        <f>IF(ISNUMBER(AF120),((AL120-$AO$7)*AO$9)+AO$8,"-")</f>
        <v/>
      </c>
      <c r="AQ120" s="103" t="n"/>
      <c r="AV120" s="89">
        <f>AB120</f>
        <v/>
      </c>
      <c r="AW120" s="100">
        <f>AC120</f>
        <v/>
      </c>
      <c r="AX120" s="170">
        <f>AE120</f>
        <v/>
      </c>
      <c r="AY120" s="170">
        <f>AF120</f>
        <v/>
      </c>
      <c r="AZ120" s="170">
        <f>AG120</f>
        <v/>
      </c>
      <c r="BA120" s="170">
        <f>AL120+$AY$1</f>
        <v/>
      </c>
      <c r="BB120" s="170">
        <f>AM120</f>
        <v/>
      </c>
      <c r="BC120" s="171">
        <f>AN120</f>
        <v/>
      </c>
    </row>
    <row r="121" ht="15" customHeight="1" s="144">
      <c r="AB121" s="89" t="n">
        <v>45686</v>
      </c>
      <c r="AC121" s="90" t="inlineStr">
        <is>
          <t>A</t>
        </is>
      </c>
      <c r="AD121" s="91" t="inlineStr">
        <is>
          <t>GER.HA21.1</t>
        </is>
      </c>
      <c r="AE121" s="90" t="n">
        <v>823147.64955</v>
      </c>
      <c r="AF121" s="90" t="n">
        <v>1091710.0843</v>
      </c>
      <c r="AG121" s="90" t="n">
        <v>-121.5718</v>
      </c>
      <c r="AL121" s="93">
        <f>IF(ISNUMBER(AE121),COS(ATAN2(AF121-AO$4,AE121-AO$3)-(AO$5/200*PI()))*SQRT((AE121-AO$3)^2+(AF121-AO$4)^2),"-")</f>
        <v/>
      </c>
      <c r="AM121" s="94">
        <f>IF(ISNUMBER(AE121),SIN(ATAN2(AF121-AO$4,AE121-AO$3)-(AO$5/200*PI()))*SQRT((AE121-AO$3)^2+(AF121-AO$4)^2),"-")</f>
        <v/>
      </c>
      <c r="AN121" s="95">
        <f>IF(ISNUMBER(AL121),AG121-AO121,"-")</f>
        <v/>
      </c>
      <c r="AO121" s="96">
        <f>IF(ISNUMBER(AF121),((AL121-$AO$7)*AO$9)+AO$8,"-")</f>
        <v/>
      </c>
      <c r="AQ121" s="103" t="n"/>
      <c r="AV121" s="89">
        <f>AB121</f>
        <v/>
      </c>
      <c r="AW121" s="100">
        <f>AC121</f>
        <v/>
      </c>
      <c r="AX121" s="170">
        <f>AE121</f>
        <v/>
      </c>
      <c r="AY121" s="170">
        <f>AF121</f>
        <v/>
      </c>
      <c r="AZ121" s="170">
        <f>AG121</f>
        <v/>
      </c>
      <c r="BA121" s="170">
        <f>AL121+$AY$1</f>
        <v/>
      </c>
      <c r="BB121" s="170">
        <f>AM121</f>
        <v/>
      </c>
      <c r="BC121" s="171">
        <f>AN121</f>
        <v/>
      </c>
    </row>
    <row r="122" ht="15" customHeight="1" s="144">
      <c r="AB122" s="89" t="n">
        <v>45686</v>
      </c>
      <c r="AC122" s="90" t="inlineStr">
        <is>
          <t>B</t>
        </is>
      </c>
      <c r="AD122" s="91" t="inlineStr">
        <is>
          <t>GER.HA21.2</t>
        </is>
      </c>
      <c r="AE122" s="90" t="n">
        <v>823147.5932499999</v>
      </c>
      <c r="AF122" s="90" t="n">
        <v>1091710.2522</v>
      </c>
      <c r="AG122" s="90" t="n">
        <v>-121.90955</v>
      </c>
      <c r="AL122" s="93">
        <f>IF(ISNUMBER(AE122),COS(ATAN2(AF122-AO$4,AE122-AO$3)-(AO$5/200*PI()))*SQRT((AE122-AO$3)^2+(AF122-AO$4)^2),"-")</f>
        <v/>
      </c>
      <c r="AM122" s="94">
        <f>IF(ISNUMBER(AE122),SIN(ATAN2(AF122-AO$4,AE122-AO$3)-(AO$5/200*PI()))*SQRT((AE122-AO$3)^2+(AF122-AO$4)^2),"-")</f>
        <v/>
      </c>
      <c r="AN122" s="95">
        <f>IF(ISNUMBER(AL122),AG122-AO122,"-")</f>
        <v/>
      </c>
      <c r="AO122" s="96">
        <f>IF(ISNUMBER(AF122),((AL122-$AO$7)*AO$9)+AO$8,"-")</f>
        <v/>
      </c>
      <c r="AQ122" s="103" t="n"/>
      <c r="AV122" s="89">
        <f>AB122</f>
        <v/>
      </c>
      <c r="AW122" s="100">
        <f>AC122</f>
        <v/>
      </c>
      <c r="AX122" s="170">
        <f>AE122</f>
        <v/>
      </c>
      <c r="AY122" s="170">
        <f>AF122</f>
        <v/>
      </c>
      <c r="AZ122" s="170">
        <f>AG122</f>
        <v/>
      </c>
      <c r="BA122" s="170">
        <f>AL122+$AY$1</f>
        <v/>
      </c>
      <c r="BB122" s="170">
        <f>AM122</f>
        <v/>
      </c>
      <c r="BC122" s="171">
        <f>AN122</f>
        <v/>
      </c>
    </row>
    <row r="123" ht="15" customHeight="1" s="144">
      <c r="AB123" s="89" t="n">
        <v>45686</v>
      </c>
      <c r="AC123" s="104" t="inlineStr">
        <is>
          <t>D</t>
        </is>
      </c>
      <c r="AD123" s="91" t="inlineStr">
        <is>
          <t>GER.HA21.3</t>
        </is>
      </c>
      <c r="AE123" s="90" t="n">
        <v>823149.98945</v>
      </c>
      <c r="AF123" s="90" t="n">
        <v>1091705.0827</v>
      </c>
      <c r="AG123" s="90" t="n">
        <v>-121.78325</v>
      </c>
      <c r="AL123" s="93">
        <f>IF(ISNUMBER(AE123),COS(ATAN2(AF123-AO$4,AE123-AO$3)-(AO$5/200*PI()))*SQRT((AE123-AO$3)^2+(AF123-AO$4)^2),"-")</f>
        <v/>
      </c>
      <c r="AM123" s="94">
        <f>IF(ISNUMBER(AE123),SIN(ATAN2(AF123-AO$4,AE123-AO$3)-(AO$5/200*PI()))*SQRT((AE123-AO$3)^2+(AF123-AO$4)^2),"-")</f>
        <v/>
      </c>
      <c r="AN123" s="95">
        <f>IF(ISNUMBER(AL123),AG123-AO123,"-")</f>
        <v/>
      </c>
      <c r="AO123" s="96">
        <f>IF(ISNUMBER(AF123),((AL123-$AO$7)*AO$9)+AO$8,"-")</f>
        <v/>
      </c>
      <c r="AQ123" s="103" t="n"/>
      <c r="AV123" s="89">
        <f>AB123</f>
        <v/>
      </c>
      <c r="AW123" s="100">
        <f>AC123</f>
        <v/>
      </c>
      <c r="AX123" s="170">
        <f>AE123</f>
        <v/>
      </c>
      <c r="AY123" s="170">
        <f>AF123</f>
        <v/>
      </c>
      <c r="AZ123" s="170">
        <f>AG123</f>
        <v/>
      </c>
      <c r="BA123" s="170">
        <f>AL123+$AY$1</f>
        <v/>
      </c>
      <c r="BB123" s="170">
        <f>AM123</f>
        <v/>
      </c>
      <c r="BC123" s="171">
        <f>AN123</f>
        <v/>
      </c>
    </row>
    <row r="124" ht="15" customHeight="1" s="144">
      <c r="AB124" s="89" t="n">
        <v>45686</v>
      </c>
      <c r="AC124" s="104" t="inlineStr">
        <is>
          <t>C</t>
        </is>
      </c>
      <c r="AD124" s="91" t="inlineStr">
        <is>
          <t>GER.HA21.4</t>
        </is>
      </c>
      <c r="AE124" s="90" t="n">
        <v>823147.5683500001</v>
      </c>
      <c r="AF124" s="90" t="n">
        <v>1091710.4046</v>
      </c>
      <c r="AG124" s="90" t="n">
        <v>-122.35705</v>
      </c>
      <c r="AL124" s="93">
        <f>IF(ISNUMBER(AE124),COS(ATAN2(AF124-AO$4,AE124-AO$3)-(AO$5/200*PI()))*SQRT((AE124-AO$3)^2+(AF124-AO$4)^2),"-")</f>
        <v/>
      </c>
      <c r="AM124" s="94">
        <f>IF(ISNUMBER(AE124),SIN(ATAN2(AF124-AO$4,AE124-AO$3)-(AO$5/200*PI()))*SQRT((AE124-AO$3)^2+(AF124-AO$4)^2),"-")</f>
        <v/>
      </c>
      <c r="AN124" s="95">
        <f>IF(ISNUMBER(AL124),AG124-AO124,"-")</f>
        <v/>
      </c>
      <c r="AO124" s="96">
        <f>IF(ISNUMBER(AF124),((AL124-$AO$7)*AO$9)+AO$8,"-")</f>
        <v/>
      </c>
      <c r="AQ124" s="103" t="n"/>
      <c r="AV124" s="89">
        <f>AB124</f>
        <v/>
      </c>
      <c r="AW124" s="100">
        <f>AC124</f>
        <v/>
      </c>
      <c r="AX124" s="170">
        <f>AE124</f>
        <v/>
      </c>
      <c r="AY124" s="170">
        <f>AF124</f>
        <v/>
      </c>
      <c r="AZ124" s="170">
        <f>AG124</f>
        <v/>
      </c>
      <c r="BA124" s="170">
        <f>AL124+$AY$1</f>
        <v/>
      </c>
      <c r="BB124" s="170">
        <f>AM124</f>
        <v/>
      </c>
      <c r="BC124" s="171">
        <f>AN124</f>
        <v/>
      </c>
    </row>
    <row r="125" ht="15" customHeight="1" s="144">
      <c r="AB125" s="89" t="n">
        <v>45695</v>
      </c>
      <c r="AC125" s="90" t="inlineStr">
        <is>
          <t>A</t>
        </is>
      </c>
      <c r="AD125" s="91" t="inlineStr">
        <is>
          <t>GER.HA21.E1.1</t>
        </is>
      </c>
      <c r="AE125" s="90" t="n">
        <v>823147.6497</v>
      </c>
      <c r="AF125" s="90" t="n">
        <v>1091710.0845</v>
      </c>
      <c r="AG125" s="90" t="n">
        <v>-121.5715</v>
      </c>
      <c r="AL125" s="93">
        <f>IF(ISNUMBER(AE125),COS(ATAN2(AF125-AO$4,AE125-AO$3)-(AO$5/200*PI()))*SQRT((AE125-AO$3)^2+(AF125-AO$4)^2),"-")</f>
        <v/>
      </c>
      <c r="AM125" s="94">
        <f>IF(ISNUMBER(AE125),SIN(ATAN2(AF125-AO$4,AE125-AO$3)-(AO$5/200*PI()))*SQRT((AE125-AO$3)^2+(AF125-AO$4)^2),"-")</f>
        <v/>
      </c>
      <c r="AN125" s="95">
        <f>IF(ISNUMBER(AL125),AG125-AO125,"-")</f>
        <v/>
      </c>
      <c r="AO125" s="96">
        <f>IF(ISNUMBER(AF125),((AL125-$AO$7)*AO$9)+AO$8,"-")</f>
        <v/>
      </c>
      <c r="AQ125" s="103" t="n"/>
      <c r="AV125" s="89">
        <f>AB125</f>
        <v/>
      </c>
      <c r="AW125" s="100">
        <f>AC125</f>
        <v/>
      </c>
      <c r="AX125" s="170">
        <f>AE125</f>
        <v/>
      </c>
      <c r="AY125" s="170">
        <f>AF125</f>
        <v/>
      </c>
      <c r="AZ125" s="170">
        <f>AG125</f>
        <v/>
      </c>
      <c r="BA125" s="170">
        <f>AL125+$AY$1</f>
        <v/>
      </c>
      <c r="BB125" s="170">
        <f>AM125</f>
        <v/>
      </c>
      <c r="BC125" s="171">
        <f>AN125</f>
        <v/>
      </c>
    </row>
    <row r="126" ht="15" customHeight="1" s="144">
      <c r="AB126" s="89" t="n">
        <v>45695</v>
      </c>
      <c r="AC126" s="90" t="inlineStr">
        <is>
          <t>B</t>
        </is>
      </c>
      <c r="AD126" s="91" t="inlineStr">
        <is>
          <t>GER.HA21.E1.2</t>
        </is>
      </c>
      <c r="AE126" s="90" t="n">
        <v>823147.5929</v>
      </c>
      <c r="AF126" s="90" t="n">
        <v>1091710.2513</v>
      </c>
      <c r="AG126" s="90" t="n">
        <v>-121.9095</v>
      </c>
      <c r="AL126" s="93">
        <f>IF(ISNUMBER(AE126),COS(ATAN2(AF126-AO$4,AE126-AO$3)-(AO$5/200*PI()))*SQRT((AE126-AO$3)^2+(AF126-AO$4)^2),"-")</f>
        <v/>
      </c>
      <c r="AM126" s="94">
        <f>IF(ISNUMBER(AE126),SIN(ATAN2(AF126-AO$4,AE126-AO$3)-(AO$5/200*PI()))*SQRT((AE126-AO$3)^2+(AF126-AO$4)^2),"-")</f>
        <v/>
      </c>
      <c r="AN126" s="95">
        <f>IF(ISNUMBER(AL126),AG126-AO126,"-")</f>
        <v/>
      </c>
      <c r="AO126" s="96">
        <f>IF(ISNUMBER(AF126),((AL126-$AO$7)*AO$9)+AO$8,"-")</f>
        <v/>
      </c>
      <c r="AQ126" s="103" t="n"/>
      <c r="AV126" s="89">
        <f>AB126</f>
        <v/>
      </c>
      <c r="AW126" s="100">
        <f>AC126</f>
        <v/>
      </c>
      <c r="AX126" s="170">
        <f>AE126</f>
        <v/>
      </c>
      <c r="AY126" s="170">
        <f>AF126</f>
        <v/>
      </c>
      <c r="AZ126" s="170">
        <f>AG126</f>
        <v/>
      </c>
      <c r="BA126" s="170">
        <f>AL126+$AY$1</f>
        <v/>
      </c>
      <c r="BB126" s="170">
        <f>AM126</f>
        <v/>
      </c>
      <c r="BC126" s="171">
        <f>AN126</f>
        <v/>
      </c>
    </row>
    <row r="127" ht="15" customHeight="1" s="144">
      <c r="AB127" s="89" t="n">
        <v>45695</v>
      </c>
      <c r="AC127" s="104" t="inlineStr">
        <is>
          <t>C</t>
        </is>
      </c>
      <c r="AD127" s="91" t="inlineStr">
        <is>
          <t>GER.HA21.E1.3</t>
        </is>
      </c>
      <c r="AE127" s="90" t="n">
        <v>823147.5686</v>
      </c>
      <c r="AF127" s="90" t="n">
        <v>1091710.4044</v>
      </c>
      <c r="AG127" s="90" t="n">
        <v>-122.3571</v>
      </c>
      <c r="AL127" s="93">
        <f>IF(ISNUMBER(AE127),COS(ATAN2(AF127-AO$4,AE127-AO$3)-(AO$5/200*PI()))*SQRT((AE127-AO$3)^2+(AF127-AO$4)^2),"-")</f>
        <v/>
      </c>
      <c r="AM127" s="94">
        <f>IF(ISNUMBER(AE127),SIN(ATAN2(AF127-AO$4,AE127-AO$3)-(AO$5/200*PI()))*SQRT((AE127-AO$3)^2+(AF127-AO$4)^2),"-")</f>
        <v/>
      </c>
      <c r="AN127" s="95">
        <f>IF(ISNUMBER(AL127),AG127-AO127,"-")</f>
        <v/>
      </c>
      <c r="AO127" s="96">
        <f>IF(ISNUMBER(AF127),((AL127-$AO$7)*AO$9)+AO$8,"-")</f>
        <v/>
      </c>
      <c r="AQ127" s="103" t="n"/>
      <c r="AV127" s="89">
        <f>AB127</f>
        <v/>
      </c>
      <c r="AW127" s="100">
        <f>AC127</f>
        <v/>
      </c>
      <c r="AX127" s="170">
        <f>AE127</f>
        <v/>
      </c>
      <c r="AY127" s="170">
        <f>AF127</f>
        <v/>
      </c>
      <c r="AZ127" s="170">
        <f>AG127</f>
        <v/>
      </c>
      <c r="BA127" s="170">
        <f>AL127+$AY$1</f>
        <v/>
      </c>
      <c r="BB127" s="170">
        <f>AM127</f>
        <v/>
      </c>
      <c r="BC127" s="171">
        <f>AN127</f>
        <v/>
      </c>
    </row>
    <row r="128" ht="15" customHeight="1" s="144">
      <c r="AB128" s="89" t="n">
        <v>45695</v>
      </c>
      <c r="AC128" s="104" t="inlineStr">
        <is>
          <t>D</t>
        </is>
      </c>
      <c r="AD128" s="91" t="inlineStr">
        <is>
          <t>GER.HA21.E1.4</t>
        </is>
      </c>
      <c r="AE128" s="90" t="n">
        <v>823149.9901000001</v>
      </c>
      <c r="AF128" s="90" t="n">
        <v>1091705.0828</v>
      </c>
      <c r="AG128" s="92" t="n">
        <v>-121.7828</v>
      </c>
      <c r="AL128" s="93">
        <f>IF(ISNUMBER(AE128),COS(ATAN2(AF128-AO$4,AE128-AO$3)-(AO$5/200*PI()))*SQRT((AE128-AO$3)^2+(AF128-AO$4)^2),"-")</f>
        <v/>
      </c>
      <c r="AM128" s="94">
        <f>IF(ISNUMBER(AE128),SIN(ATAN2(AF128-AO$4,AE128-AO$3)-(AO$5/200*PI()))*SQRT((AE128-AO$3)^2+(AF128-AO$4)^2),"-")</f>
        <v/>
      </c>
      <c r="AN128" s="95">
        <f>IF(ISNUMBER(AL128),AG128-AO128,"-")</f>
        <v/>
      </c>
      <c r="AO128" s="96">
        <f>IF(ISNUMBER(AF128),((AL128-$AO$7)*AO$9)+AO$8,"-")</f>
        <v/>
      </c>
      <c r="AQ128" s="103" t="n"/>
      <c r="AV128" s="89">
        <f>AB128</f>
        <v/>
      </c>
      <c r="AW128" s="100">
        <f>AC128</f>
        <v/>
      </c>
      <c r="AX128" s="170">
        <f>AE128</f>
        <v/>
      </c>
      <c r="AY128" s="170">
        <f>AF128</f>
        <v/>
      </c>
      <c r="AZ128" s="170">
        <f>AG128</f>
        <v/>
      </c>
      <c r="BA128" s="170">
        <f>AL128+$AY$1</f>
        <v/>
      </c>
      <c r="BB128" s="170">
        <f>AM128</f>
        <v/>
      </c>
      <c r="BC128" s="171">
        <f>AN128</f>
        <v/>
      </c>
    </row>
    <row r="129" ht="15" customHeight="1" s="144">
      <c r="AB129" s="89" t="n">
        <v>45701</v>
      </c>
      <c r="AC129" s="90" t="inlineStr">
        <is>
          <t>A</t>
        </is>
      </c>
      <c r="AD129" s="91" t="inlineStr">
        <is>
          <t>HA3.1</t>
        </is>
      </c>
      <c r="AE129" s="90" t="n">
        <v>823147.6498</v>
      </c>
      <c r="AF129" s="90" t="n">
        <v>1091710.0844</v>
      </c>
      <c r="AG129" s="92" t="n">
        <v>-121.5715</v>
      </c>
      <c r="AL129" s="93">
        <f>IF(ISNUMBER(AE129),COS(ATAN2(AF129-AO$4,AE129-AO$3)-(AO$5/200*PI()))*SQRT((AE129-AO$3)^2+(AF129-AO$4)^2),"-")</f>
        <v/>
      </c>
      <c r="AM129" s="94">
        <f>IF(ISNUMBER(AE129),SIN(ATAN2(AF129-AO$4,AE129-AO$3)-(AO$5/200*PI()))*SQRT((AE129-AO$3)^2+(AF129-AO$4)^2),"-")</f>
        <v/>
      </c>
      <c r="AN129" s="95">
        <f>IF(ISNUMBER(AL129),AG129-AO129,"-")</f>
        <v/>
      </c>
      <c r="AO129" s="96">
        <f>IF(ISNUMBER(AF129),((AL129-$AO$7)*AO$9)+AO$8,"-")</f>
        <v/>
      </c>
      <c r="AQ129" s="103" t="n"/>
      <c r="AV129" s="89">
        <f>AB129</f>
        <v/>
      </c>
      <c r="AW129" s="100">
        <f>AC129</f>
        <v/>
      </c>
      <c r="AX129" s="170">
        <f>AE129</f>
        <v/>
      </c>
      <c r="AY129" s="170">
        <f>AF129</f>
        <v/>
      </c>
      <c r="AZ129" s="170">
        <f>AG129</f>
        <v/>
      </c>
      <c r="BA129" s="170">
        <f>AL129+$AY$1</f>
        <v/>
      </c>
      <c r="BB129" s="170">
        <f>AM129</f>
        <v/>
      </c>
      <c r="BC129" s="171">
        <f>AN129</f>
        <v/>
      </c>
    </row>
    <row r="130" ht="15" customHeight="1" s="144">
      <c r="AB130" s="89" t="n">
        <v>45701</v>
      </c>
      <c r="AC130" s="90" t="inlineStr">
        <is>
          <t>B</t>
        </is>
      </c>
      <c r="AD130" s="91" t="inlineStr">
        <is>
          <t>HA.E3.2</t>
        </is>
      </c>
      <c r="AE130" s="90" t="n">
        <v>823147.593</v>
      </c>
      <c r="AF130" s="90" t="n">
        <v>1091710.2521</v>
      </c>
      <c r="AG130" s="92" t="n">
        <v>-121.9091</v>
      </c>
      <c r="AL130" s="93">
        <f>IF(ISNUMBER(AE130),COS(ATAN2(AF130-AO$4,AE130-AO$3)-(AO$5/200*PI()))*SQRT((AE130-AO$3)^2+(AF130-AO$4)^2),"-")</f>
        <v/>
      </c>
      <c r="AM130" s="94">
        <f>IF(ISNUMBER(AE130),SIN(ATAN2(AF130-AO$4,AE130-AO$3)-(AO$5/200*PI()))*SQRT((AE130-AO$3)^2+(AF130-AO$4)^2),"-")</f>
        <v/>
      </c>
      <c r="AN130" s="95">
        <f>IF(ISNUMBER(AL130),AG130-AO130,"-")</f>
        <v/>
      </c>
      <c r="AO130" s="96">
        <f>IF(ISNUMBER(AF130),((AL130-$AO$7)*AO$9)+AO$8,"-")</f>
        <v/>
      </c>
      <c r="AQ130" s="103" t="n"/>
      <c r="AV130" s="89">
        <f>AB130</f>
        <v/>
      </c>
      <c r="AW130" s="100">
        <f>AC130</f>
        <v/>
      </c>
      <c r="AX130" s="170">
        <f>AE130</f>
        <v/>
      </c>
      <c r="AY130" s="170">
        <f>AF130</f>
        <v/>
      </c>
      <c r="AZ130" s="170">
        <f>AG130</f>
        <v/>
      </c>
      <c r="BA130" s="170">
        <f>AL130+$AY$1</f>
        <v/>
      </c>
      <c r="BB130" s="170">
        <f>AM130</f>
        <v/>
      </c>
      <c r="BC130" s="171">
        <f>AN130</f>
        <v/>
      </c>
    </row>
    <row r="131" ht="15" customHeight="1" s="144">
      <c r="AB131" s="89" t="n">
        <v>45701</v>
      </c>
      <c r="AC131" s="104" t="inlineStr">
        <is>
          <t>C</t>
        </is>
      </c>
      <c r="AD131" s="91" t="inlineStr">
        <is>
          <t>HA3.3</t>
        </is>
      </c>
      <c r="AE131" s="90" t="n">
        <v>823147.569</v>
      </c>
      <c r="AF131" s="90" t="n">
        <v>1091710.4046</v>
      </c>
      <c r="AG131" s="92" t="n">
        <v>-122.3571</v>
      </c>
      <c r="AL131" s="93">
        <f>IF(ISNUMBER(AE131),COS(ATAN2(AF131-AO$4,AE131-AO$3)-(AO$5/200*PI()))*SQRT((AE131-AO$3)^2+(AF131-AO$4)^2),"-")</f>
        <v/>
      </c>
      <c r="AM131" s="94">
        <f>IF(ISNUMBER(AE131),SIN(ATAN2(AF131-AO$4,AE131-AO$3)-(AO$5/200*PI()))*SQRT((AE131-AO$3)^2+(AF131-AO$4)^2),"-")</f>
        <v/>
      </c>
      <c r="AN131" s="95">
        <f>IF(ISNUMBER(AL131),AG131-AO131,"-")</f>
        <v/>
      </c>
      <c r="AO131" s="96">
        <f>IF(ISNUMBER(AF131),((AL131-$AO$7)*AO$9)+AO$8,"-")</f>
        <v/>
      </c>
      <c r="AQ131" s="103" t="n"/>
      <c r="AV131" s="89">
        <f>AB131</f>
        <v/>
      </c>
      <c r="AW131" s="100">
        <f>AC131</f>
        <v/>
      </c>
      <c r="AX131" s="170">
        <f>AE131</f>
        <v/>
      </c>
      <c r="AY131" s="170">
        <f>AF131</f>
        <v/>
      </c>
      <c r="AZ131" s="170">
        <f>AG131</f>
        <v/>
      </c>
      <c r="BA131" s="170">
        <f>AL131+$AY$1</f>
        <v/>
      </c>
      <c r="BB131" s="170">
        <f>AM131</f>
        <v/>
      </c>
      <c r="BC131" s="171">
        <f>AN131</f>
        <v/>
      </c>
    </row>
    <row r="132" ht="15" customHeight="1" s="144">
      <c r="AB132" s="89" t="n">
        <v>45701</v>
      </c>
      <c r="AC132" s="104" t="inlineStr">
        <is>
          <t>D</t>
        </is>
      </c>
      <c r="AD132" s="91" t="inlineStr">
        <is>
          <t>HA3.4</t>
        </is>
      </c>
      <c r="AE132" s="90" t="n">
        <v>823149.9899</v>
      </c>
      <c r="AF132" s="90" t="n">
        <v>1091705.0828</v>
      </c>
      <c r="AG132" s="92" t="n">
        <v>-121.783</v>
      </c>
      <c r="AL132" s="93">
        <f>IF(ISNUMBER(AE132),COS(ATAN2(AF132-AO$4,AE132-AO$3)-(AO$5/200*PI()))*SQRT((AE132-AO$3)^2+(AF132-AO$4)^2),"-")</f>
        <v/>
      </c>
      <c r="AM132" s="94">
        <f>IF(ISNUMBER(AE132),SIN(ATAN2(AF132-AO$4,AE132-AO$3)-(AO$5/200*PI()))*SQRT((AE132-AO$3)^2+(AF132-AO$4)^2),"-")</f>
        <v/>
      </c>
      <c r="AN132" s="95">
        <f>IF(ISNUMBER(AL132),AG132-AO132,"-")</f>
        <v/>
      </c>
      <c r="AO132" s="96">
        <f>IF(ISNUMBER(AF132),((AL132-$AO$7)*AO$9)+AO$8,"-")</f>
        <v/>
      </c>
      <c r="AQ132" s="103" t="n"/>
      <c r="AV132" s="89">
        <f>AB132</f>
        <v/>
      </c>
      <c r="AW132" s="100">
        <f>AC132</f>
        <v/>
      </c>
      <c r="AX132" s="170">
        <f>AE132</f>
        <v/>
      </c>
      <c r="AY132" s="170">
        <f>AF132</f>
        <v/>
      </c>
      <c r="AZ132" s="170">
        <f>AG132</f>
        <v/>
      </c>
      <c r="BA132" s="170">
        <f>AL132+$AY$1</f>
        <v/>
      </c>
      <c r="BB132" s="170">
        <f>AM132</f>
        <v/>
      </c>
      <c r="BC132" s="171">
        <f>AN132</f>
        <v/>
      </c>
    </row>
    <row r="133" ht="15" customHeight="1" s="144">
      <c r="AB133" s="89" t="n">
        <v>45708</v>
      </c>
      <c r="AC133" s="90" t="inlineStr">
        <is>
          <t>A</t>
        </is>
      </c>
      <c r="AD133" s="91" t="inlineStr">
        <is>
          <t>HA1</t>
        </is>
      </c>
      <c r="AE133" s="90" t="n">
        <v>823147.6496</v>
      </c>
      <c r="AF133" s="90" t="n">
        <v>1091710.0841</v>
      </c>
      <c r="AG133" s="92" t="n">
        <v>-121.5716</v>
      </c>
      <c r="AL133" s="93">
        <f>IF(ISNUMBER(AE133),COS(ATAN2(AF133-AO$4,AE133-AO$3)-(AO$5/200*PI()))*SQRT((AE133-AO$3)^2+(AF133-AO$4)^2),"-")</f>
        <v/>
      </c>
      <c r="AM133" s="94">
        <f>IF(ISNUMBER(AE133),SIN(ATAN2(AF133-AO$4,AE133-AO$3)-(AO$5/200*PI()))*SQRT((AE133-AO$3)^2+(AF133-AO$4)^2),"-")</f>
        <v/>
      </c>
      <c r="AN133" s="95">
        <f>IF(ISNUMBER(AL133),AG133-AO133,"-")</f>
        <v/>
      </c>
      <c r="AO133" s="96">
        <f>IF(ISNUMBER(AF133),((AL133-$AO$7)*AO$9)+AO$8,"-")</f>
        <v/>
      </c>
      <c r="AQ133" s="103" t="n"/>
      <c r="AV133" s="89">
        <f>AB133</f>
        <v/>
      </c>
      <c r="AW133" s="100">
        <f>AC133</f>
        <v/>
      </c>
      <c r="AX133" s="170">
        <f>AE133</f>
        <v/>
      </c>
      <c r="AY133" s="170">
        <f>AF133</f>
        <v/>
      </c>
      <c r="AZ133" s="170">
        <f>AG133</f>
        <v/>
      </c>
      <c r="BA133" s="170">
        <f>AL133+$AY$1</f>
        <v/>
      </c>
      <c r="BB133" s="170">
        <f>AM133</f>
        <v/>
      </c>
      <c r="BC133" s="171">
        <f>AN133</f>
        <v/>
      </c>
    </row>
    <row r="134" ht="15" customHeight="1" s="144">
      <c r="AB134" s="89" t="n">
        <v>45708</v>
      </c>
      <c r="AC134" s="90" t="inlineStr">
        <is>
          <t>B</t>
        </is>
      </c>
      <c r="AD134" s="91" t="inlineStr">
        <is>
          <t>HA2</t>
        </is>
      </c>
      <c r="AE134" s="90" t="n">
        <v>823147.5931000001</v>
      </c>
      <c r="AF134" s="90" t="n">
        <v>1091710.2517</v>
      </c>
      <c r="AG134" s="92" t="n">
        <v>-121.9096</v>
      </c>
      <c r="AL134" s="93">
        <f>IF(ISNUMBER(AE134),COS(ATAN2(AF134-AO$4,AE134-AO$3)-(AO$5/200*PI()))*SQRT((AE134-AO$3)^2+(AF134-AO$4)^2),"-")</f>
        <v/>
      </c>
      <c r="AM134" s="94">
        <f>IF(ISNUMBER(AE134),SIN(ATAN2(AF134-AO$4,AE134-AO$3)-(AO$5/200*PI()))*SQRT((AE134-AO$3)^2+(AF134-AO$4)^2),"-")</f>
        <v/>
      </c>
      <c r="AN134" s="95">
        <f>IF(ISNUMBER(AL134),AG134-AO134,"-")</f>
        <v/>
      </c>
      <c r="AO134" s="96">
        <f>IF(ISNUMBER(AF134),((AL134-$AO$7)*AO$9)+AO$8,"-")</f>
        <v/>
      </c>
      <c r="AQ134" s="103" t="n"/>
      <c r="AV134" s="89">
        <f>AB134</f>
        <v/>
      </c>
      <c r="AW134" s="100">
        <f>AC134</f>
        <v/>
      </c>
      <c r="AX134" s="170">
        <f>AE134</f>
        <v/>
      </c>
      <c r="AY134" s="170">
        <f>AF134</f>
        <v/>
      </c>
      <c r="AZ134" s="170">
        <f>AG134</f>
        <v/>
      </c>
      <c r="BA134" s="170">
        <f>AL134+$AY$1</f>
        <v/>
      </c>
      <c r="BB134" s="170">
        <f>AM134</f>
        <v/>
      </c>
      <c r="BC134" s="171">
        <f>AN134</f>
        <v/>
      </c>
    </row>
    <row r="135" ht="15" customHeight="1" s="144">
      <c r="AB135" s="89" t="n">
        <v>45708</v>
      </c>
      <c r="AC135" s="104" t="inlineStr">
        <is>
          <t>C</t>
        </is>
      </c>
      <c r="AD135" s="91" t="inlineStr">
        <is>
          <t>HA3</t>
        </is>
      </c>
      <c r="AE135" s="90" t="n">
        <v>823147.5686</v>
      </c>
      <c r="AF135" s="90" t="n">
        <v>1091710.4041</v>
      </c>
      <c r="AG135" s="92" t="n">
        <v>-122.3571</v>
      </c>
      <c r="AL135" s="93">
        <f>IF(ISNUMBER(AE135),COS(ATAN2(AF135-AO$4,AE135-AO$3)-(AO$5/200*PI()))*SQRT((AE135-AO$3)^2+(AF135-AO$4)^2),"-")</f>
        <v/>
      </c>
      <c r="AM135" s="94">
        <f>IF(ISNUMBER(AE135),SIN(ATAN2(AF135-AO$4,AE135-AO$3)-(AO$5/200*PI()))*SQRT((AE135-AO$3)^2+(AF135-AO$4)^2),"-")</f>
        <v/>
      </c>
      <c r="AN135" s="95">
        <f>IF(ISNUMBER(AL135),AG135-AO135,"-")</f>
        <v/>
      </c>
      <c r="AO135" s="96">
        <f>IF(ISNUMBER(AF135),((AL135-$AO$7)*AO$9)+AO$8,"-")</f>
        <v/>
      </c>
      <c r="AQ135" s="103" t="n"/>
      <c r="AV135" s="89">
        <f>AB135</f>
        <v/>
      </c>
      <c r="AW135" s="100">
        <f>AC135</f>
        <v/>
      </c>
      <c r="AX135" s="170">
        <f>AE135</f>
        <v/>
      </c>
      <c r="AY135" s="170">
        <f>AF135</f>
        <v/>
      </c>
      <c r="AZ135" s="170">
        <f>AG135</f>
        <v/>
      </c>
      <c r="BA135" s="170">
        <f>AL135+$AY$1</f>
        <v/>
      </c>
      <c r="BB135" s="170">
        <f>AM135</f>
        <v/>
      </c>
      <c r="BC135" s="171">
        <f>AN135</f>
        <v/>
      </c>
    </row>
    <row r="136" ht="15" customHeight="1" s="144">
      <c r="AB136" s="89" t="n">
        <v>45708</v>
      </c>
      <c r="AC136" s="104" t="inlineStr">
        <is>
          <t>D</t>
        </is>
      </c>
      <c r="AD136" s="91" t="inlineStr">
        <is>
          <t>HA4</t>
        </is>
      </c>
      <c r="AE136" s="90" t="n">
        <v>823149.9895</v>
      </c>
      <c r="AF136" s="90" t="n">
        <v>1091705.0825</v>
      </c>
      <c r="AG136" s="92" t="n">
        <v>-121.7832</v>
      </c>
      <c r="AL136" s="93">
        <f>IF(ISNUMBER(AE136),COS(ATAN2(AF136-AO$4,AE136-AO$3)-(AO$5/200*PI()))*SQRT((AE136-AO$3)^2+(AF136-AO$4)^2),"-")</f>
        <v/>
      </c>
      <c r="AM136" s="94">
        <f>IF(ISNUMBER(AE136),SIN(ATAN2(AF136-AO$4,AE136-AO$3)-(AO$5/200*PI()))*SQRT((AE136-AO$3)^2+(AF136-AO$4)^2),"-")</f>
        <v/>
      </c>
      <c r="AN136" s="95">
        <f>IF(ISNUMBER(AL136),AG136-AO136,"-")</f>
        <v/>
      </c>
      <c r="AO136" s="96">
        <f>IF(ISNUMBER(AF136),((AL136-$AO$7)*AO$9)+AO$8,"-")</f>
        <v/>
      </c>
      <c r="AQ136" s="103" t="n"/>
      <c r="AV136" s="89">
        <f>AB136</f>
        <v/>
      </c>
      <c r="AW136" s="100">
        <f>AC136</f>
        <v/>
      </c>
      <c r="AX136" s="170">
        <f>AE136</f>
        <v/>
      </c>
      <c r="AY136" s="170">
        <f>AF136</f>
        <v/>
      </c>
      <c r="AZ136" s="170">
        <f>AG136</f>
        <v/>
      </c>
      <c r="BA136" s="170">
        <f>AL136+$AY$1</f>
        <v/>
      </c>
      <c r="BB136" s="170">
        <f>AM136</f>
        <v/>
      </c>
      <c r="BC136" s="171">
        <f>AN136</f>
        <v/>
      </c>
    </row>
    <row r="137" ht="15" customHeight="1" s="144">
      <c r="AB137" s="89" t="n">
        <v>45715</v>
      </c>
      <c r="AC137" s="90" t="inlineStr">
        <is>
          <t>A</t>
        </is>
      </c>
      <c r="AD137" s="91" t="inlineStr">
        <is>
          <t>X_HA21-E3.1</t>
        </is>
      </c>
      <c r="AE137" s="90" t="n">
        <v>823147.6496</v>
      </c>
      <c r="AF137" s="90" t="n">
        <v>1091710.0838</v>
      </c>
      <c r="AG137" s="92" t="n">
        <v>-121.5715</v>
      </c>
      <c r="AL137" s="93">
        <f>IF(ISNUMBER(AE137),COS(ATAN2(AF137-AO$4,AE137-AO$3)-(AO$5/200*PI()))*SQRT((AE137-AO$3)^2+(AF137-AO$4)^2),"-")</f>
        <v/>
      </c>
      <c r="AM137" s="94">
        <f>IF(ISNUMBER(AE137),SIN(ATAN2(AF137-AO$4,AE137-AO$3)-(AO$5/200*PI()))*SQRT((AE137-AO$3)^2+(AF137-AO$4)^2),"-")</f>
        <v/>
      </c>
      <c r="AN137" s="95">
        <f>IF(ISNUMBER(AL137),AG137-AO137,"-")</f>
        <v/>
      </c>
      <c r="AO137" s="96">
        <f>IF(ISNUMBER(AF137),((AL137-$AO$7)*AO$9)+AO$8,"-")</f>
        <v/>
      </c>
      <c r="AQ137" s="103" t="n"/>
      <c r="AV137" s="89">
        <f>AB137</f>
        <v/>
      </c>
      <c r="AW137" s="100">
        <f>AC137</f>
        <v/>
      </c>
      <c r="AX137" s="170">
        <f>AE137</f>
        <v/>
      </c>
      <c r="AY137" s="170">
        <f>AF137</f>
        <v/>
      </c>
      <c r="AZ137" s="170">
        <f>AG137</f>
        <v/>
      </c>
      <c r="BA137" s="170">
        <f>AL137+$AY$1</f>
        <v/>
      </c>
      <c r="BB137" s="170">
        <f>AM137</f>
        <v/>
      </c>
      <c r="BC137" s="171">
        <f>AN137</f>
        <v/>
      </c>
    </row>
    <row r="138" ht="15" customHeight="1" s="144">
      <c r="AB138" s="89" t="n">
        <v>45715</v>
      </c>
      <c r="AC138" s="90" t="inlineStr">
        <is>
          <t>B</t>
        </is>
      </c>
      <c r="AD138" s="91" t="inlineStr">
        <is>
          <t>X_HA21-E3.2</t>
        </is>
      </c>
      <c r="AE138" s="90" t="n">
        <v>823147.5933000001</v>
      </c>
      <c r="AF138" s="90" t="n">
        <v>1091710.2515</v>
      </c>
      <c r="AG138" s="92" t="n">
        <v>-121.9096</v>
      </c>
      <c r="AL138" s="93">
        <f>IF(ISNUMBER(AE138),COS(ATAN2(AF138-AO$4,AE138-AO$3)-(AO$5/200*PI()))*SQRT((AE138-AO$3)^2+(AF138-AO$4)^2),"-")</f>
        <v/>
      </c>
      <c r="AM138" s="94">
        <f>IF(ISNUMBER(AE138),SIN(ATAN2(AF138-AO$4,AE138-AO$3)-(AO$5/200*PI()))*SQRT((AE138-AO$3)^2+(AF138-AO$4)^2),"-")</f>
        <v/>
      </c>
      <c r="AN138" s="95">
        <f>IF(ISNUMBER(AL138),AG138-AO138,"-")</f>
        <v/>
      </c>
      <c r="AO138" s="96">
        <f>IF(ISNUMBER(AF138),((AL138-$AO$7)*AO$9)+AO$8,"-")</f>
        <v/>
      </c>
      <c r="AQ138" s="103" t="n"/>
      <c r="AV138" s="89">
        <f>AB138</f>
        <v/>
      </c>
      <c r="AW138" s="100">
        <f>AC138</f>
        <v/>
      </c>
      <c r="AX138" s="170">
        <f>AE138</f>
        <v/>
      </c>
      <c r="AY138" s="170">
        <f>AF138</f>
        <v/>
      </c>
      <c r="AZ138" s="170">
        <f>AG138</f>
        <v/>
      </c>
      <c r="BA138" s="170">
        <f>AL138+$AY$1</f>
        <v/>
      </c>
      <c r="BB138" s="170">
        <f>AM138</f>
        <v/>
      </c>
      <c r="BC138" s="171">
        <f>AN138</f>
        <v/>
      </c>
    </row>
    <row r="139" ht="15" customHeight="1" s="144">
      <c r="AB139" s="89" t="n">
        <v>45715</v>
      </c>
      <c r="AC139" s="104" t="inlineStr">
        <is>
          <t>C</t>
        </is>
      </c>
      <c r="AD139" s="91" t="inlineStr">
        <is>
          <t>X_HA21-E3.3</t>
        </is>
      </c>
      <c r="AE139" s="90" t="n">
        <v>823147.5685000001</v>
      </c>
      <c r="AF139" s="90" t="n">
        <v>1091710.4036</v>
      </c>
      <c r="AG139" s="92" t="n">
        <v>-122.3573</v>
      </c>
      <c r="AL139" s="93">
        <f>IF(ISNUMBER(AE139),COS(ATAN2(AF139-AO$4,AE139-AO$3)-(AO$5/200*PI()))*SQRT((AE139-AO$3)^2+(AF139-AO$4)^2),"-")</f>
        <v/>
      </c>
      <c r="AM139" s="94">
        <f>IF(ISNUMBER(AE139),SIN(ATAN2(AF139-AO$4,AE139-AO$3)-(AO$5/200*PI()))*SQRT((AE139-AO$3)^2+(AF139-AO$4)^2),"-")</f>
        <v/>
      </c>
      <c r="AN139" s="95">
        <f>IF(ISNUMBER(AL139),AG139-AO139,"-")</f>
        <v/>
      </c>
      <c r="AO139" s="96">
        <f>IF(ISNUMBER(AF139),((AL139-$AO$7)*AO$9)+AO$8,"-")</f>
        <v/>
      </c>
      <c r="AQ139" s="103" t="n"/>
      <c r="AV139" s="89">
        <f>AB139</f>
        <v/>
      </c>
      <c r="AW139" s="100">
        <f>AC139</f>
        <v/>
      </c>
      <c r="AX139" s="170">
        <f>AE139</f>
        <v/>
      </c>
      <c r="AY139" s="170">
        <f>AF139</f>
        <v/>
      </c>
      <c r="AZ139" s="170">
        <f>AG139</f>
        <v/>
      </c>
      <c r="BA139" s="170">
        <f>AL139+$AY$1</f>
        <v/>
      </c>
      <c r="BB139" s="170">
        <f>AM139</f>
        <v/>
      </c>
      <c r="BC139" s="171">
        <f>AN139</f>
        <v/>
      </c>
    </row>
    <row r="140" ht="15" customHeight="1" s="144">
      <c r="AB140" s="89" t="n">
        <v>45715</v>
      </c>
      <c r="AC140" s="104" t="inlineStr">
        <is>
          <t>D</t>
        </is>
      </c>
      <c r="AD140" s="91" t="inlineStr">
        <is>
          <t>X_HA21-E3.4</t>
        </is>
      </c>
      <c r="AE140" s="90" t="n">
        <v>823149.9896000001</v>
      </c>
      <c r="AF140" s="90" t="n">
        <v>1091705.0821</v>
      </c>
      <c r="AG140" s="92" t="n">
        <v>-121.7828</v>
      </c>
      <c r="AL140" s="93">
        <f>IF(ISNUMBER(AE140),COS(ATAN2(AF140-AO$4,AE140-AO$3)-(AO$5/200*PI()))*SQRT((AE140-AO$3)^2+(AF140-AO$4)^2),"-")</f>
        <v/>
      </c>
      <c r="AM140" s="94">
        <f>IF(ISNUMBER(AE140),SIN(ATAN2(AF140-AO$4,AE140-AO$3)-(AO$5/200*PI()))*SQRT((AE140-AO$3)^2+(AF140-AO$4)^2),"-")</f>
        <v/>
      </c>
      <c r="AN140" s="95">
        <f>IF(ISNUMBER(AL140),AG140-AO140,"-")</f>
        <v/>
      </c>
      <c r="AO140" s="96">
        <f>IF(ISNUMBER(AF140),((AL140-$AO$7)*AO$9)+AO$8,"-")</f>
        <v/>
      </c>
      <c r="AQ140" s="103" t="n"/>
      <c r="AV140" s="89">
        <f>AB140</f>
        <v/>
      </c>
      <c r="AW140" s="100">
        <f>AC140</f>
        <v/>
      </c>
      <c r="AX140" s="170">
        <f>AE140</f>
        <v/>
      </c>
      <c r="AY140" s="170">
        <f>AF140</f>
        <v/>
      </c>
      <c r="AZ140" s="170">
        <f>AG140</f>
        <v/>
      </c>
      <c r="BA140" s="170">
        <f>AL140+$AY$1</f>
        <v/>
      </c>
      <c r="BB140" s="170">
        <f>AM140</f>
        <v/>
      </c>
      <c r="BC140" s="171">
        <f>AN140</f>
        <v/>
      </c>
    </row>
    <row r="141" ht="15" customHeight="1" s="144">
      <c r="AB141" s="89" t="n">
        <v>45722</v>
      </c>
      <c r="AC141" s="90" t="inlineStr">
        <is>
          <t>A</t>
        </is>
      </c>
      <c r="AD141" s="91" t="inlineStr">
        <is>
          <t>HA2.HA21-E3.1</t>
        </is>
      </c>
      <c r="AE141" s="90" t="n">
        <v>823147.6499</v>
      </c>
      <c r="AF141" s="90" t="n">
        <v>1091710.0837</v>
      </c>
      <c r="AG141" s="92" t="n">
        <v>-121.5719</v>
      </c>
      <c r="AL141" s="93">
        <f>IF(ISNUMBER(AE141),COS(ATAN2(AF141-AO$4,AE141-AO$3)-(AO$5/200*PI()))*SQRT((AE141-AO$3)^2+(AF141-AO$4)^2),"-")</f>
        <v/>
      </c>
      <c r="AM141" s="94">
        <f>IF(ISNUMBER(AE141),SIN(ATAN2(AF141-AO$4,AE141-AO$3)-(AO$5/200*PI()))*SQRT((AE141-AO$3)^2+(AF141-AO$4)^2),"-")</f>
        <v/>
      </c>
      <c r="AN141" s="95">
        <f>IF(ISNUMBER(AL141),AG141-AO141,"-")</f>
        <v/>
      </c>
      <c r="AO141" s="96">
        <f>IF(ISNUMBER(AF141),((AL141-$AO$7)*AO$9)+AO$8,"-")</f>
        <v/>
      </c>
      <c r="AQ141" s="103" t="n"/>
      <c r="AV141" s="89">
        <f>AB141</f>
        <v/>
      </c>
      <c r="AW141" s="100">
        <f>AC141</f>
        <v/>
      </c>
      <c r="AX141" s="170">
        <f>AE141</f>
        <v/>
      </c>
      <c r="AY141" s="170">
        <f>AF141</f>
        <v/>
      </c>
      <c r="AZ141" s="170">
        <f>AG141</f>
        <v/>
      </c>
      <c r="BA141" s="170">
        <f>AL141+$AY$1</f>
        <v/>
      </c>
      <c r="BB141" s="170">
        <f>AM141</f>
        <v/>
      </c>
      <c r="BC141" s="171">
        <f>AN141</f>
        <v/>
      </c>
    </row>
    <row r="142" ht="15" customHeight="1" s="144">
      <c r="AB142" s="89" t="n">
        <v>45722</v>
      </c>
      <c r="AC142" s="90" t="inlineStr">
        <is>
          <t>B</t>
        </is>
      </c>
      <c r="AD142" s="91" t="inlineStr">
        <is>
          <t>HA2.HA21-E3.2</t>
        </is>
      </c>
      <c r="AE142" s="90" t="n">
        <v>823147.5929</v>
      </c>
      <c r="AF142" s="90" t="n">
        <v>1091710.2514</v>
      </c>
      <c r="AG142" s="92" t="n">
        <v>-121.9099</v>
      </c>
      <c r="AL142" s="93">
        <f>IF(ISNUMBER(AE142),COS(ATAN2(AF142-AO$4,AE142-AO$3)-(AO$5/200*PI()))*SQRT((AE142-AO$3)^2+(AF142-AO$4)^2),"-")</f>
        <v/>
      </c>
      <c r="AM142" s="94">
        <f>IF(ISNUMBER(AE142),SIN(ATAN2(AF142-AO$4,AE142-AO$3)-(AO$5/200*PI()))*SQRT((AE142-AO$3)^2+(AF142-AO$4)^2),"-")</f>
        <v/>
      </c>
      <c r="AN142" s="95">
        <f>IF(ISNUMBER(AL142),AG142-AO142,"-")</f>
        <v/>
      </c>
      <c r="AO142" s="96">
        <f>IF(ISNUMBER(AF142),((AL142-$AO$7)*AO$9)+AO$8,"-")</f>
        <v/>
      </c>
      <c r="AQ142" s="103" t="n"/>
      <c r="AV142" s="89">
        <f>AB142</f>
        <v/>
      </c>
      <c r="AW142" s="100">
        <f>AC142</f>
        <v/>
      </c>
      <c r="AX142" s="170">
        <f>AE142</f>
        <v/>
      </c>
      <c r="AY142" s="170">
        <f>AF142</f>
        <v/>
      </c>
      <c r="AZ142" s="170">
        <f>AG142</f>
        <v/>
      </c>
      <c r="BA142" s="170">
        <f>AL142+$AY$1</f>
        <v/>
      </c>
      <c r="BB142" s="170">
        <f>AM142</f>
        <v/>
      </c>
      <c r="BC142" s="171">
        <f>AN142</f>
        <v/>
      </c>
    </row>
    <row r="143" ht="15" customHeight="1" s="144">
      <c r="AB143" s="89" t="n">
        <v>45722</v>
      </c>
      <c r="AC143" s="104" t="inlineStr">
        <is>
          <t>C</t>
        </is>
      </c>
      <c r="AD143" s="91" t="inlineStr">
        <is>
          <t>HA2.HA21-E3.3</t>
        </is>
      </c>
      <c r="AE143" s="90" t="n">
        <v>823147.5692</v>
      </c>
      <c r="AF143" s="90" t="n">
        <v>1091710.4037</v>
      </c>
      <c r="AG143" s="92" t="n">
        <v>-122.357</v>
      </c>
      <c r="AL143" s="93">
        <f>IF(ISNUMBER(AE143),COS(ATAN2(AF143-AO$4,AE143-AO$3)-(AO$5/200*PI()))*SQRT((AE143-AO$3)^2+(AF143-AO$4)^2),"-")</f>
        <v/>
      </c>
      <c r="AM143" s="94">
        <f>IF(ISNUMBER(AE143),SIN(ATAN2(AF143-AO$4,AE143-AO$3)-(AO$5/200*PI()))*SQRT((AE143-AO$3)^2+(AF143-AO$4)^2),"-")</f>
        <v/>
      </c>
      <c r="AN143" s="95">
        <f>IF(ISNUMBER(AL143),AG143-AO143,"-")</f>
        <v/>
      </c>
      <c r="AO143" s="96">
        <f>IF(ISNUMBER(AF143),((AL143-$AO$7)*AO$9)+AO$8,"-")</f>
        <v/>
      </c>
      <c r="AQ143" s="103" t="n"/>
      <c r="AV143" s="89">
        <f>AB143</f>
        <v/>
      </c>
      <c r="AW143" s="100">
        <f>AC143</f>
        <v/>
      </c>
      <c r="AX143" s="170">
        <f>AE143</f>
        <v/>
      </c>
      <c r="AY143" s="170">
        <f>AF143</f>
        <v/>
      </c>
      <c r="AZ143" s="170">
        <f>AG143</f>
        <v/>
      </c>
      <c r="BA143" s="170">
        <f>AL143+$AY$1</f>
        <v/>
      </c>
      <c r="BB143" s="170">
        <f>AM143</f>
        <v/>
      </c>
      <c r="BC143" s="171">
        <f>AN143</f>
        <v/>
      </c>
    </row>
    <row r="144" ht="15" customHeight="1" s="144">
      <c r="AB144" s="89" t="n">
        <v>45722</v>
      </c>
      <c r="AC144" s="104" t="inlineStr">
        <is>
          <t>D</t>
        </is>
      </c>
      <c r="AD144" s="91" t="inlineStr">
        <is>
          <t>HA2.HA21-E3.4</t>
        </is>
      </c>
      <c r="AE144" s="90" t="n">
        <v>823149.9895</v>
      </c>
      <c r="AF144" s="90" t="n">
        <v>1091705.0821</v>
      </c>
      <c r="AG144" s="92" t="n">
        <v>-121.7831</v>
      </c>
      <c r="AL144" s="93">
        <f>IF(ISNUMBER(AE144),COS(ATAN2(AF144-AO$4,AE144-AO$3)-(AO$5/200*PI()))*SQRT((AE144-AO$3)^2+(AF144-AO$4)^2),"-")</f>
        <v/>
      </c>
      <c r="AM144" s="94">
        <f>IF(ISNUMBER(AE144),SIN(ATAN2(AF144-AO$4,AE144-AO$3)-(AO$5/200*PI()))*SQRT((AE144-AO$3)^2+(AF144-AO$4)^2),"-")</f>
        <v/>
      </c>
      <c r="AN144" s="95">
        <f>IF(ISNUMBER(AL144),AG144-AO144,"-")</f>
        <v/>
      </c>
      <c r="AO144" s="96">
        <f>IF(ISNUMBER(AF144),((AL144-$AO$7)*AO$9)+AO$8,"-")</f>
        <v/>
      </c>
      <c r="AQ144" s="103" t="n"/>
      <c r="AV144" s="89">
        <f>AB144</f>
        <v/>
      </c>
      <c r="AW144" s="100">
        <f>AC144</f>
        <v/>
      </c>
      <c r="AX144" s="170">
        <f>AE144</f>
        <v/>
      </c>
      <c r="AY144" s="170">
        <f>AF144</f>
        <v/>
      </c>
      <c r="AZ144" s="170">
        <f>AG144</f>
        <v/>
      </c>
      <c r="BA144" s="170">
        <f>AL144+$AY$1</f>
        <v/>
      </c>
      <c r="BB144" s="170">
        <f>AM144</f>
        <v/>
      </c>
      <c r="BC144" s="171">
        <f>AN144</f>
        <v/>
      </c>
    </row>
    <row r="145" ht="15" customHeight="1" s="144">
      <c r="AB145" s="89" t="n">
        <v>45729</v>
      </c>
      <c r="AC145" s="90" t="inlineStr">
        <is>
          <t>A</t>
        </is>
      </c>
      <c r="AD145" s="91" t="inlineStr">
        <is>
          <t>GER.HA3.1</t>
        </is>
      </c>
      <c r="AE145" s="90" t="n">
        <v>823147.6503</v>
      </c>
      <c r="AF145" s="90" t="n">
        <v>1091710.0838</v>
      </c>
      <c r="AG145" s="92" t="n">
        <v>-121.5717</v>
      </c>
      <c r="AL145" s="93">
        <f>IF(ISNUMBER(AE145),COS(ATAN2(AF145-AO$4,AE145-AO$3)-(AO$5/200*PI()))*SQRT((AE145-AO$3)^2+(AF145-AO$4)^2),"-")</f>
        <v/>
      </c>
      <c r="AM145" s="94">
        <f>IF(ISNUMBER(AE145),SIN(ATAN2(AF145-AO$4,AE145-AO$3)-(AO$5/200*PI()))*SQRT((AE145-AO$3)^2+(AF145-AO$4)^2),"-")</f>
        <v/>
      </c>
      <c r="AN145" s="95">
        <f>IF(ISNUMBER(AL145),AG145-AO145,"-")</f>
        <v/>
      </c>
      <c r="AO145" s="96">
        <f>IF(ISNUMBER(AF145),((AL145-$AO$7)*AO$9)+AO$8,"-")</f>
        <v/>
      </c>
      <c r="AQ145" s="103" t="n"/>
      <c r="AV145" s="89">
        <f>AB145</f>
        <v/>
      </c>
      <c r="AW145" s="100">
        <f>AC145</f>
        <v/>
      </c>
      <c r="AX145" s="170">
        <f>AE145</f>
        <v/>
      </c>
      <c r="AY145" s="170">
        <f>AF145</f>
        <v/>
      </c>
      <c r="AZ145" s="170">
        <f>AG145</f>
        <v/>
      </c>
      <c r="BA145" s="170">
        <f>AL145+$AY$1</f>
        <v/>
      </c>
      <c r="BB145" s="170">
        <f>AM145</f>
        <v/>
      </c>
      <c r="BC145" s="171">
        <f>AN145</f>
        <v/>
      </c>
    </row>
    <row r="146" ht="15" customHeight="1" s="144">
      <c r="AB146" s="89" t="n">
        <v>45729</v>
      </c>
      <c r="AC146" s="90" t="inlineStr">
        <is>
          <t>B</t>
        </is>
      </c>
      <c r="AD146" s="91" t="inlineStr">
        <is>
          <t>GER.HA3.2</t>
        </is>
      </c>
      <c r="AE146" s="90" t="n">
        <v>823147.593</v>
      </c>
      <c r="AF146" s="90" t="n">
        <v>1091710.2505</v>
      </c>
      <c r="AG146" s="92" t="n">
        <v>-121.9099</v>
      </c>
      <c r="AL146" s="93">
        <f>IF(ISNUMBER(AE146),COS(ATAN2(AF146-AO$4,AE146-AO$3)-(AO$5/200*PI()))*SQRT((AE146-AO$3)^2+(AF146-AO$4)^2),"-")</f>
        <v/>
      </c>
      <c r="AM146" s="94">
        <f>IF(ISNUMBER(AE146),SIN(ATAN2(AF146-AO$4,AE146-AO$3)-(AO$5/200*PI()))*SQRT((AE146-AO$3)^2+(AF146-AO$4)^2),"-")</f>
        <v/>
      </c>
      <c r="AN146" s="95">
        <f>IF(ISNUMBER(AL146),AG146-AO146,"-")</f>
        <v/>
      </c>
      <c r="AO146" s="96">
        <f>IF(ISNUMBER(AF146),((AL146-$AO$7)*AO$9)+AO$8,"-")</f>
        <v/>
      </c>
      <c r="AQ146" s="103" t="n"/>
      <c r="AV146" s="89">
        <f>AB146</f>
        <v/>
      </c>
      <c r="AW146" s="100">
        <f>AC146</f>
        <v/>
      </c>
      <c r="AX146" s="170">
        <f>AE146</f>
        <v/>
      </c>
      <c r="AY146" s="170">
        <f>AF146</f>
        <v/>
      </c>
      <c r="AZ146" s="170">
        <f>AG146</f>
        <v/>
      </c>
      <c r="BA146" s="170">
        <f>AL146+$AY$1</f>
        <v/>
      </c>
      <c r="BB146" s="170">
        <f>AM146</f>
        <v/>
      </c>
      <c r="BC146" s="171">
        <f>AN146</f>
        <v/>
      </c>
    </row>
    <row r="147" ht="15" customHeight="1" s="144">
      <c r="AB147" s="89" t="n">
        <v>45729</v>
      </c>
      <c r="AC147" s="104" t="inlineStr">
        <is>
          <t>C</t>
        </is>
      </c>
      <c r="AD147" s="91" t="inlineStr">
        <is>
          <t>GER.HA3.3</t>
        </is>
      </c>
      <c r="AE147" s="90" t="n">
        <v>823147.5695</v>
      </c>
      <c r="AF147" s="90" t="n">
        <v>1091710.4037</v>
      </c>
      <c r="AG147" s="92" t="n">
        <v>-122.3573</v>
      </c>
      <c r="AL147" s="93">
        <f>IF(ISNUMBER(AE147),COS(ATAN2(AF147-AO$4,AE147-AO$3)-(AO$5/200*PI()))*SQRT((AE147-AO$3)^2+(AF147-AO$4)^2),"-")</f>
        <v/>
      </c>
      <c r="AM147" s="94">
        <f>IF(ISNUMBER(AE147),SIN(ATAN2(AF147-AO$4,AE147-AO$3)-(AO$5/200*PI()))*SQRT((AE147-AO$3)^2+(AF147-AO$4)^2),"-")</f>
        <v/>
      </c>
      <c r="AN147" s="95">
        <f>IF(ISNUMBER(AL147),AG147-AO147,"-")</f>
        <v/>
      </c>
      <c r="AO147" s="96">
        <f>IF(ISNUMBER(AF147),((AL147-$AO$7)*AO$9)+AO$8,"-")</f>
        <v/>
      </c>
      <c r="AQ147" s="103" t="n"/>
      <c r="AV147" s="89">
        <f>AB147</f>
        <v/>
      </c>
      <c r="AW147" s="100">
        <f>AC147</f>
        <v/>
      </c>
      <c r="AX147" s="170">
        <f>AE147</f>
        <v/>
      </c>
      <c r="AY147" s="170">
        <f>AF147</f>
        <v/>
      </c>
      <c r="AZ147" s="170">
        <f>AG147</f>
        <v/>
      </c>
      <c r="BA147" s="170">
        <f>AL147+$AY$1</f>
        <v/>
      </c>
      <c r="BB147" s="170">
        <f>AM147</f>
        <v/>
      </c>
      <c r="BC147" s="171">
        <f>AN147</f>
        <v/>
      </c>
    </row>
    <row r="148" ht="15" customHeight="1" s="144">
      <c r="AB148" s="89" t="n">
        <v>45729</v>
      </c>
      <c r="AC148" s="104" t="inlineStr">
        <is>
          <t>D</t>
        </is>
      </c>
      <c r="AD148" s="91" t="inlineStr">
        <is>
          <t>GER.HA3.4</t>
        </is>
      </c>
      <c r="AE148" s="90" t="n">
        <v>823149.9897</v>
      </c>
      <c r="AF148" s="90" t="n">
        <v>1091705.0821</v>
      </c>
      <c r="AG148" s="92" t="n">
        <v>-121.7831</v>
      </c>
      <c r="AL148" s="93">
        <f>IF(ISNUMBER(AE148),COS(ATAN2(AF148-AO$4,AE148-AO$3)-(AO$5/200*PI()))*SQRT((AE148-AO$3)^2+(AF148-AO$4)^2),"-")</f>
        <v/>
      </c>
      <c r="AM148" s="94">
        <f>IF(ISNUMBER(AE148),SIN(ATAN2(AF148-AO$4,AE148-AO$3)-(AO$5/200*PI()))*SQRT((AE148-AO$3)^2+(AF148-AO$4)^2),"-")</f>
        <v/>
      </c>
      <c r="AN148" s="95">
        <f>IF(ISNUMBER(AL148),AG148-AO148,"-")</f>
        <v/>
      </c>
      <c r="AO148" s="96">
        <f>IF(ISNUMBER(AF148),((AL148-$AO$7)*AO$9)+AO$8,"-")</f>
        <v/>
      </c>
      <c r="AQ148" s="103" t="n"/>
      <c r="AV148" s="89">
        <f>AB148</f>
        <v/>
      </c>
      <c r="AW148" s="100">
        <f>AC148</f>
        <v/>
      </c>
      <c r="AX148" s="170">
        <f>AE148</f>
        <v/>
      </c>
      <c r="AY148" s="170">
        <f>AF148</f>
        <v/>
      </c>
      <c r="AZ148" s="170">
        <f>AG148</f>
        <v/>
      </c>
      <c r="BA148" s="170">
        <f>AL148+$AY$1</f>
        <v/>
      </c>
      <c r="BB148" s="170">
        <f>AM148</f>
        <v/>
      </c>
      <c r="BC148" s="171">
        <f>AN148</f>
        <v/>
      </c>
    </row>
    <row r="149" ht="15" customHeight="1" s="144">
      <c r="AB149" s="89" t="n">
        <v>45733</v>
      </c>
      <c r="AC149" s="90" t="inlineStr">
        <is>
          <t>A</t>
        </is>
      </c>
      <c r="AD149" s="91" t="inlineStr">
        <is>
          <t>A.HA3.1</t>
        </is>
      </c>
      <c r="AE149" s="90" t="n">
        <v>823147.6499</v>
      </c>
      <c r="AF149" s="90" t="n">
        <v>1091710.0839</v>
      </c>
      <c r="AG149" s="92" t="n">
        <v>-121.572</v>
      </c>
      <c r="AL149" s="93">
        <f>IF(ISNUMBER(AE149),COS(ATAN2(AF149-AO$4,AE149-AO$3)-(AO$5/200*PI()))*SQRT((AE149-AO$3)^2+(AF149-AO$4)^2),"-")</f>
        <v/>
      </c>
      <c r="AM149" s="94">
        <f>IF(ISNUMBER(AE149),SIN(ATAN2(AF149-AO$4,AE149-AO$3)-(AO$5/200*PI()))*SQRT((AE149-AO$3)^2+(AF149-AO$4)^2),"-")</f>
        <v/>
      </c>
      <c r="AN149" s="95">
        <f>IF(ISNUMBER(AL149),AG149-AO149,"-")</f>
        <v/>
      </c>
      <c r="AO149" s="96">
        <f>IF(ISNUMBER(AF149),((AL149-$AO$7)*AO$9)+AO$8,"-")</f>
        <v/>
      </c>
      <c r="AQ149" s="103" t="n"/>
      <c r="AV149" s="89">
        <f>AB149</f>
        <v/>
      </c>
      <c r="AW149" s="100">
        <f>AC149</f>
        <v/>
      </c>
      <c r="AX149" s="170">
        <f>AE149</f>
        <v/>
      </c>
      <c r="AY149" s="170">
        <f>AF149</f>
        <v/>
      </c>
      <c r="AZ149" s="170">
        <f>AG149</f>
        <v/>
      </c>
      <c r="BA149" s="170">
        <f>AL149+$AY$1</f>
        <v/>
      </c>
      <c r="BB149" s="170">
        <f>AM149</f>
        <v/>
      </c>
      <c r="BC149" s="171">
        <f>AN149</f>
        <v/>
      </c>
    </row>
    <row r="150" ht="15" customHeight="1" s="144">
      <c r="AB150" s="89" t="n">
        <v>45733</v>
      </c>
      <c r="AC150" s="90" t="inlineStr">
        <is>
          <t>B</t>
        </is>
      </c>
      <c r="AD150" s="91" t="inlineStr">
        <is>
          <t>A.HA3.2</t>
        </is>
      </c>
      <c r="AE150" s="90" t="n">
        <v>823147.593</v>
      </c>
      <c r="AF150" s="90" t="n">
        <v>1091710.2509</v>
      </c>
      <c r="AG150" s="92" t="n">
        <v>-121.9102</v>
      </c>
      <c r="AL150" s="93">
        <f>IF(ISNUMBER(AE150),COS(ATAN2(AF150-AO$4,AE150-AO$3)-(AO$5/200*PI()))*SQRT((AE150-AO$3)^2+(AF150-AO$4)^2),"-")</f>
        <v/>
      </c>
      <c r="AM150" s="94">
        <f>IF(ISNUMBER(AE150),SIN(ATAN2(AF150-AO$4,AE150-AO$3)-(AO$5/200*PI()))*SQRT((AE150-AO$3)^2+(AF150-AO$4)^2),"-")</f>
        <v/>
      </c>
      <c r="AN150" s="95">
        <f>IF(ISNUMBER(AL150),AG150-AO150,"-")</f>
        <v/>
      </c>
      <c r="AO150" s="96">
        <f>IF(ISNUMBER(AF150),((AL150-$AO$7)*AO$9)+AO$8,"-")</f>
        <v/>
      </c>
      <c r="AQ150" s="103" t="n"/>
      <c r="AV150" s="89">
        <f>AB150</f>
        <v/>
      </c>
      <c r="AW150" s="100">
        <f>AC150</f>
        <v/>
      </c>
      <c r="AX150" s="170">
        <f>AE150</f>
        <v/>
      </c>
      <c r="AY150" s="170">
        <f>AF150</f>
        <v/>
      </c>
      <c r="AZ150" s="170">
        <f>AG150</f>
        <v/>
      </c>
      <c r="BA150" s="170">
        <f>AL150+$AY$1</f>
        <v/>
      </c>
      <c r="BB150" s="170">
        <f>AM150</f>
        <v/>
      </c>
      <c r="BC150" s="171">
        <f>AN150</f>
        <v/>
      </c>
    </row>
    <row r="151" ht="15" customHeight="1" s="144">
      <c r="AB151" s="89" t="n">
        <v>45733</v>
      </c>
      <c r="AC151" s="104" t="inlineStr">
        <is>
          <t>C</t>
        </is>
      </c>
      <c r="AD151" s="91" t="inlineStr">
        <is>
          <t>A.HA3.3</t>
        </is>
      </c>
      <c r="AE151" s="90" t="n">
        <v>823147.5691</v>
      </c>
      <c r="AF151" s="90" t="n">
        <v>1091710.4035</v>
      </c>
      <c r="AG151" s="92" t="n">
        <v>-122.3576</v>
      </c>
      <c r="AL151" s="93">
        <f>IF(ISNUMBER(AE151),COS(ATAN2(AF151-AO$4,AE151-AO$3)-(AO$5/200*PI()))*SQRT((AE151-AO$3)^2+(AF151-AO$4)^2),"-")</f>
        <v/>
      </c>
      <c r="AM151" s="94">
        <f>IF(ISNUMBER(AE151),SIN(ATAN2(AF151-AO$4,AE151-AO$3)-(AO$5/200*PI()))*SQRT((AE151-AO$3)^2+(AF151-AO$4)^2),"-")</f>
        <v/>
      </c>
      <c r="AN151" s="95">
        <f>IF(ISNUMBER(AL151),AG151-AO151,"-")</f>
        <v/>
      </c>
      <c r="AO151" s="96">
        <f>IF(ISNUMBER(AF151),((AL151-$AO$7)*AO$9)+AO$8,"-")</f>
        <v/>
      </c>
      <c r="AQ151" s="103" t="n"/>
      <c r="AV151" s="89">
        <f>AB151</f>
        <v/>
      </c>
      <c r="AW151" s="100">
        <f>AC151</f>
        <v/>
      </c>
      <c r="AX151" s="170">
        <f>AE151</f>
        <v/>
      </c>
      <c r="AY151" s="170">
        <f>AF151</f>
        <v/>
      </c>
      <c r="AZ151" s="170">
        <f>AG151</f>
        <v/>
      </c>
      <c r="BA151" s="170">
        <f>AL151+$AY$1</f>
        <v/>
      </c>
      <c r="BB151" s="170">
        <f>AM151</f>
        <v/>
      </c>
      <c r="BC151" s="171">
        <f>AN151</f>
        <v/>
      </c>
    </row>
    <row r="152" ht="15" customHeight="1" s="144">
      <c r="AB152" s="89" t="n">
        <v>45733</v>
      </c>
      <c r="AC152" s="104" t="inlineStr">
        <is>
          <t>D</t>
        </is>
      </c>
      <c r="AD152" s="91" t="inlineStr">
        <is>
          <t>A.HA3.4</t>
        </is>
      </c>
      <c r="AE152" s="90" t="n">
        <v>823149.9894</v>
      </c>
      <c r="AF152" s="90" t="n">
        <v>1091705.0822</v>
      </c>
      <c r="AG152" s="92" t="n">
        <v>-121.7833</v>
      </c>
      <c r="AL152" s="93">
        <f>IF(ISNUMBER(AE152),COS(ATAN2(AF152-AO$4,AE152-AO$3)-(AO$5/200*PI()))*SQRT((AE152-AO$3)^2+(AF152-AO$4)^2),"-")</f>
        <v/>
      </c>
      <c r="AM152" s="94">
        <f>IF(ISNUMBER(AE152),SIN(ATAN2(AF152-AO$4,AE152-AO$3)-(AO$5/200*PI()))*SQRT((AE152-AO$3)^2+(AF152-AO$4)^2),"-")</f>
        <v/>
      </c>
      <c r="AN152" s="95">
        <f>IF(ISNUMBER(AL152),AG152-AO152,"-")</f>
        <v/>
      </c>
      <c r="AO152" s="96">
        <f>IF(ISNUMBER(AF152),((AL152-$AO$7)*AO$9)+AO$8,"-")</f>
        <v/>
      </c>
      <c r="AQ152" s="103" t="n"/>
      <c r="AV152" s="89">
        <f>AB152</f>
        <v/>
      </c>
      <c r="AW152" s="100">
        <f>AC152</f>
        <v/>
      </c>
      <c r="AX152" s="170">
        <f>AE152</f>
        <v/>
      </c>
      <c r="AY152" s="170">
        <f>AF152</f>
        <v/>
      </c>
      <c r="AZ152" s="170">
        <f>AG152</f>
        <v/>
      </c>
      <c r="BA152" s="170">
        <f>AL152+$AY$1</f>
        <v/>
      </c>
      <c r="BB152" s="170">
        <f>AM152</f>
        <v/>
      </c>
      <c r="BC152" s="171">
        <f>AN152</f>
        <v/>
      </c>
    </row>
    <row r="153" ht="15" customHeight="1" s="144">
      <c r="AB153" s="89" t="n">
        <v>45742</v>
      </c>
      <c r="AC153" s="90" t="inlineStr">
        <is>
          <t>A</t>
        </is>
      </c>
      <c r="AD153" s="91" t="inlineStr">
        <is>
          <t>HA3.11</t>
        </is>
      </c>
      <c r="AE153" s="90" t="n">
        <v>823147.65015</v>
      </c>
      <c r="AF153" s="90" t="n">
        <v>1091710.08395</v>
      </c>
      <c r="AG153" s="92" t="n">
        <v>-121.5715</v>
      </c>
      <c r="AL153" s="93">
        <f>IF(ISNUMBER(AE153),COS(ATAN2(AF153-AO$4,AE153-AO$3)-(AO$5/200*PI()))*SQRT((AE153-AO$3)^2+(AF153-AO$4)^2),"-")</f>
        <v/>
      </c>
      <c r="AM153" s="94">
        <f>IF(ISNUMBER(AE153),SIN(ATAN2(AF153-AO$4,AE153-AO$3)-(AO$5/200*PI()))*SQRT((AE153-AO$3)^2+(AF153-AO$4)^2),"-")</f>
        <v/>
      </c>
      <c r="AN153" s="95">
        <f>IF(ISNUMBER(AL153),AG153-AO153,"-")</f>
        <v/>
      </c>
      <c r="AO153" s="96">
        <f>IF(ISNUMBER(AF153),((AL153-$AO$7)*AO$9)+AO$8,"-")</f>
        <v/>
      </c>
      <c r="AQ153" s="103" t="n"/>
      <c r="AV153" s="89">
        <f>AB153</f>
        <v/>
      </c>
      <c r="AW153" s="100">
        <f>AC153</f>
        <v/>
      </c>
      <c r="AX153" s="170">
        <f>AE153</f>
        <v/>
      </c>
      <c r="AY153" s="170">
        <f>AF153</f>
        <v/>
      </c>
      <c r="AZ153" s="170">
        <f>AG153</f>
        <v/>
      </c>
      <c r="BA153" s="170">
        <f>AL153+$AY$1</f>
        <v/>
      </c>
      <c r="BB153" s="170">
        <f>AM153</f>
        <v/>
      </c>
      <c r="BC153" s="171">
        <f>AN153</f>
        <v/>
      </c>
    </row>
    <row r="154" ht="15" customHeight="1" s="144">
      <c r="AB154" s="89" t="n">
        <v>45742</v>
      </c>
      <c r="AC154" s="90" t="inlineStr">
        <is>
          <t>B</t>
        </is>
      </c>
      <c r="AD154" s="91" t="inlineStr">
        <is>
          <t>HA3.22</t>
        </is>
      </c>
      <c r="AE154" s="90" t="n">
        <v>823147.5927</v>
      </c>
      <c r="AF154" s="90" t="n">
        <v>1091710.2501</v>
      </c>
      <c r="AG154" s="92" t="n">
        <v>-121.9104</v>
      </c>
      <c r="AL154" s="93">
        <f>IF(ISNUMBER(AE154),COS(ATAN2(AF154-AO$4,AE154-AO$3)-(AO$5/200*PI()))*SQRT((AE154-AO$3)^2+(AF154-AO$4)^2),"-")</f>
        <v/>
      </c>
      <c r="AM154" s="94">
        <f>IF(ISNUMBER(AE154),SIN(ATAN2(AF154-AO$4,AE154-AO$3)-(AO$5/200*PI()))*SQRT((AE154-AO$3)^2+(AF154-AO$4)^2),"-")</f>
        <v/>
      </c>
      <c r="AN154" s="95">
        <f>IF(ISNUMBER(AL154),AG154-AO154,"-")</f>
        <v/>
      </c>
      <c r="AO154" s="96">
        <f>IF(ISNUMBER(AF154),((AL154-$AO$7)*AO$9)+AO$8,"-")</f>
        <v/>
      </c>
      <c r="AQ154" s="103" t="n"/>
      <c r="AV154" s="89">
        <f>AB154</f>
        <v/>
      </c>
      <c r="AW154" s="100">
        <f>AC154</f>
        <v/>
      </c>
      <c r="AX154" s="170">
        <f>AE154</f>
        <v/>
      </c>
      <c r="AY154" s="170">
        <f>AF154</f>
        <v/>
      </c>
      <c r="AZ154" s="170">
        <f>AG154</f>
        <v/>
      </c>
      <c r="BA154" s="170">
        <f>AL154+$AY$1</f>
        <v/>
      </c>
      <c r="BB154" s="170">
        <f>AM154</f>
        <v/>
      </c>
      <c r="BC154" s="171">
        <f>AN154</f>
        <v/>
      </c>
    </row>
    <row r="155" ht="15" customHeight="1" s="144">
      <c r="AB155" s="89" t="n">
        <v>45742</v>
      </c>
      <c r="AC155" s="104" t="inlineStr">
        <is>
          <t>C</t>
        </is>
      </c>
      <c r="AD155" s="91" t="inlineStr">
        <is>
          <t>HA3.23</t>
        </is>
      </c>
      <c r="AE155" s="90" t="n">
        <v>823147.5700000001</v>
      </c>
      <c r="AF155" s="90" t="n">
        <v>1091710.404</v>
      </c>
      <c r="AG155" s="92" t="n">
        <v>-122.3575</v>
      </c>
      <c r="AL155" s="93">
        <f>IF(ISNUMBER(AE155),COS(ATAN2(AF155-AO$4,AE155-AO$3)-(AO$5/200*PI()))*SQRT((AE155-AO$3)^2+(AF155-AO$4)^2),"-")</f>
        <v/>
      </c>
      <c r="AM155" s="94">
        <f>IF(ISNUMBER(AE155),SIN(ATAN2(AF155-AO$4,AE155-AO$3)-(AO$5/200*PI()))*SQRT((AE155-AO$3)^2+(AF155-AO$4)^2),"-")</f>
        <v/>
      </c>
      <c r="AN155" s="95">
        <f>IF(ISNUMBER(AL155),AG155-AO155,"-")</f>
        <v/>
      </c>
      <c r="AO155" s="96">
        <f>IF(ISNUMBER(AF155),((AL155-$AO$7)*AO$9)+AO$8,"-")</f>
        <v/>
      </c>
      <c r="AQ155" s="103" t="n"/>
      <c r="AV155" s="89">
        <f>AB155</f>
        <v/>
      </c>
      <c r="AW155" s="100">
        <f>AC155</f>
        <v/>
      </c>
      <c r="AX155" s="170">
        <f>AE155</f>
        <v/>
      </c>
      <c r="AY155" s="170">
        <f>AF155</f>
        <v/>
      </c>
      <c r="AZ155" s="170">
        <f>AG155</f>
        <v/>
      </c>
      <c r="BA155" s="170">
        <f>AL155+$AY$1</f>
        <v/>
      </c>
      <c r="BB155" s="170">
        <f>AM155</f>
        <v/>
      </c>
      <c r="BC155" s="171">
        <f>AN155</f>
        <v/>
      </c>
    </row>
    <row r="156" ht="15" customHeight="1" s="144">
      <c r="AB156" s="89" t="n">
        <v>45742</v>
      </c>
      <c r="AC156" s="104" t="inlineStr">
        <is>
          <t>D</t>
        </is>
      </c>
      <c r="AD156" s="91" t="inlineStr">
        <is>
          <t>HA3.24</t>
        </is>
      </c>
      <c r="AE156" s="90" t="n">
        <v>823149.9893333333</v>
      </c>
      <c r="AF156" s="90" t="n">
        <v>1091705.082466667</v>
      </c>
      <c r="AG156" s="92" t="n">
        <v>-121.7835333333333</v>
      </c>
      <c r="AL156" s="93">
        <f>IF(ISNUMBER(AE156),COS(ATAN2(AF156-AO$4,AE156-AO$3)-(AO$5/200*PI()))*SQRT((AE156-AO$3)^2+(AF156-AO$4)^2),"-")</f>
        <v/>
      </c>
      <c r="AM156" s="94">
        <f>IF(ISNUMBER(AE156),SIN(ATAN2(AF156-AO$4,AE156-AO$3)-(AO$5/200*PI()))*SQRT((AE156-AO$3)^2+(AF156-AO$4)^2),"-")</f>
        <v/>
      </c>
      <c r="AN156" s="95">
        <f>IF(ISNUMBER(AL156),AG156-AO156,"-")</f>
        <v/>
      </c>
      <c r="AO156" s="96">
        <f>IF(ISNUMBER(AF156),((AL156-$AO$7)*AO$9)+AO$8,"-")</f>
        <v/>
      </c>
      <c r="AQ156" s="103" t="n"/>
      <c r="AV156" s="89">
        <f>AB156</f>
        <v/>
      </c>
      <c r="AW156" s="100">
        <f>AC156</f>
        <v/>
      </c>
      <c r="AX156" s="170">
        <f>AE156</f>
        <v/>
      </c>
      <c r="AY156" s="170">
        <f>AF156</f>
        <v/>
      </c>
      <c r="AZ156" s="170">
        <f>AG156</f>
        <v/>
      </c>
      <c r="BA156" s="170">
        <f>AL156+$AY$1</f>
        <v/>
      </c>
      <c r="BB156" s="170">
        <f>AM156</f>
        <v/>
      </c>
      <c r="BC156" s="171">
        <f>AN156</f>
        <v/>
      </c>
    </row>
    <row r="157" ht="15" customHeight="1" s="144">
      <c r="AB157" s="89" t="n">
        <v>45755</v>
      </c>
      <c r="AC157" s="90" t="inlineStr">
        <is>
          <t>A</t>
        </is>
      </c>
      <c r="AD157" s="91" t="inlineStr">
        <is>
          <t>HA21-E3.1</t>
        </is>
      </c>
      <c r="AE157" s="90" t="n">
        <v>823147.6501</v>
      </c>
      <c r="AF157" s="90" t="n">
        <v>1091710.0836</v>
      </c>
      <c r="AG157" s="92" t="n">
        <v>-121.5719</v>
      </c>
      <c r="AL157" s="93">
        <f>IF(ISNUMBER(AE157),COS(ATAN2(AF157-AO$4,AE157-AO$3)-(AO$5/200*PI()))*SQRT((AE157-AO$3)^2+(AF157-AO$4)^2),"-")</f>
        <v/>
      </c>
      <c r="AM157" s="94">
        <f>IF(ISNUMBER(AE157),SIN(ATAN2(AF157-AO$4,AE157-AO$3)-(AO$5/200*PI()))*SQRT((AE157-AO$3)^2+(AF157-AO$4)^2),"-")</f>
        <v/>
      </c>
      <c r="AN157" s="95">
        <f>IF(ISNUMBER(AL157),AG157-AO157,"-")</f>
        <v/>
      </c>
      <c r="AO157" s="96">
        <f>IF(ISNUMBER(AF157),((AL157-$AO$7)*AO$9)+AO$8,"-")</f>
        <v/>
      </c>
      <c r="AQ157" s="103" t="n"/>
      <c r="AV157" s="89">
        <f>AB157</f>
        <v/>
      </c>
      <c r="AW157" s="100">
        <f>AC157</f>
        <v/>
      </c>
      <c r="AX157" s="170">
        <f>AE157</f>
        <v/>
      </c>
      <c r="AY157" s="170">
        <f>AF157</f>
        <v/>
      </c>
      <c r="AZ157" s="170">
        <f>AG157</f>
        <v/>
      </c>
      <c r="BA157" s="170">
        <f>AL157+$AY$1</f>
        <v/>
      </c>
      <c r="BB157" s="170">
        <f>AM157</f>
        <v/>
      </c>
      <c r="BC157" s="171">
        <f>AN157</f>
        <v/>
      </c>
    </row>
    <row r="158" ht="15" customHeight="1" s="144">
      <c r="AB158" s="89" t="n">
        <v>45755</v>
      </c>
      <c r="AC158" s="90" t="inlineStr">
        <is>
          <t>B</t>
        </is>
      </c>
      <c r="AD158" s="91" t="inlineStr">
        <is>
          <t>HA21-E3.2</t>
        </is>
      </c>
      <c r="AE158" s="90" t="n">
        <v>823147.5931000001</v>
      </c>
      <c r="AF158" s="90" t="n">
        <v>1091710.2507</v>
      </c>
      <c r="AG158" s="92" t="n">
        <v>-121.9102</v>
      </c>
      <c r="AL158" s="93">
        <f>IF(ISNUMBER(AE158),COS(ATAN2(AF158-AO$4,AE158-AO$3)-(AO$5/200*PI()))*SQRT((AE158-AO$3)^2+(AF158-AO$4)^2),"-")</f>
        <v/>
      </c>
      <c r="AM158" s="94">
        <f>IF(ISNUMBER(AE158),SIN(ATAN2(AF158-AO$4,AE158-AO$3)-(AO$5/200*PI()))*SQRT((AE158-AO$3)^2+(AF158-AO$4)^2),"-")</f>
        <v/>
      </c>
      <c r="AN158" s="95">
        <f>IF(ISNUMBER(AL158),AG158-AO158,"-")</f>
        <v/>
      </c>
      <c r="AO158" s="96">
        <f>IF(ISNUMBER(AF158),((AL158-$AO$7)*AO$9)+AO$8,"-")</f>
        <v/>
      </c>
      <c r="AQ158" s="103" t="n"/>
      <c r="AV158" s="89">
        <f>AB158</f>
        <v/>
      </c>
      <c r="AW158" s="100">
        <f>AC158</f>
        <v/>
      </c>
      <c r="AX158" s="170">
        <f>AE158</f>
        <v/>
      </c>
      <c r="AY158" s="170">
        <f>AF158</f>
        <v/>
      </c>
      <c r="AZ158" s="170">
        <f>AG158</f>
        <v/>
      </c>
      <c r="BA158" s="170">
        <f>AL158+$AY$1</f>
        <v/>
      </c>
      <c r="BB158" s="170">
        <f>AM158</f>
        <v/>
      </c>
      <c r="BC158" s="171">
        <f>AN158</f>
        <v/>
      </c>
    </row>
    <row r="159" ht="15" customHeight="1" s="144">
      <c r="AB159" s="89" t="n">
        <v>45755</v>
      </c>
      <c r="AC159" s="104" t="inlineStr">
        <is>
          <t>C</t>
        </is>
      </c>
      <c r="AD159" s="91" t="inlineStr">
        <is>
          <t>HA21-E3.3</t>
        </is>
      </c>
      <c r="AE159" s="90" t="n">
        <v>823147.5693666666</v>
      </c>
      <c r="AF159" s="90" t="n">
        <v>1091710.4032</v>
      </c>
      <c r="AG159" s="92" t="n">
        <v>-122.3575</v>
      </c>
      <c r="AL159" s="93">
        <f>IF(ISNUMBER(AE159),COS(ATAN2(AF159-AO$4,AE159-AO$3)-(AO$5/200*PI()))*SQRT((AE159-AO$3)^2+(AF159-AO$4)^2),"-")</f>
        <v/>
      </c>
      <c r="AM159" s="94">
        <f>IF(ISNUMBER(AE159),SIN(ATAN2(AF159-AO$4,AE159-AO$3)-(AO$5/200*PI()))*SQRT((AE159-AO$3)^2+(AF159-AO$4)^2),"-")</f>
        <v/>
      </c>
      <c r="AN159" s="95">
        <f>IF(ISNUMBER(AL159),AG159-AO159,"-")</f>
        <v/>
      </c>
      <c r="AO159" s="96">
        <f>IF(ISNUMBER(AF159),((AL159-$AO$7)*AO$9)+AO$8,"-")</f>
        <v/>
      </c>
      <c r="AQ159" s="103" t="n"/>
      <c r="AV159" s="89">
        <f>AB159</f>
        <v/>
      </c>
      <c r="AW159" s="100">
        <f>AC159</f>
        <v/>
      </c>
      <c r="AX159" s="170">
        <f>AE159</f>
        <v/>
      </c>
      <c r="AY159" s="170">
        <f>AF159</f>
        <v/>
      </c>
      <c r="AZ159" s="170">
        <f>AG159</f>
        <v/>
      </c>
      <c r="BA159" s="170">
        <f>AL159+$AY$1</f>
        <v/>
      </c>
      <c r="BB159" s="170">
        <f>AM159</f>
        <v/>
      </c>
      <c r="BC159" s="171">
        <f>AN159</f>
        <v/>
      </c>
    </row>
    <row r="160" ht="15" customHeight="1" s="144">
      <c r="AB160" s="89" t="n">
        <v>45755</v>
      </c>
      <c r="AC160" s="104" t="inlineStr">
        <is>
          <t>D</t>
        </is>
      </c>
      <c r="AD160" s="91" t="inlineStr">
        <is>
          <t>HA21-E3.4</t>
        </is>
      </c>
      <c r="AE160" s="90" t="n">
        <v>823149.9890999999</v>
      </c>
      <c r="AF160" s="90" t="n">
        <v>1091705.082133333</v>
      </c>
      <c r="AG160" s="92" t="n">
        <v>-121.7833666666667</v>
      </c>
      <c r="AL160" s="93">
        <f>IF(ISNUMBER(AE160),COS(ATAN2(AF160-AO$4,AE160-AO$3)-(AO$5/200*PI()))*SQRT((AE160-AO$3)^2+(AF160-AO$4)^2),"-")</f>
        <v/>
      </c>
      <c r="AM160" s="94">
        <f>IF(ISNUMBER(AE160),SIN(ATAN2(AF160-AO$4,AE160-AO$3)-(AO$5/200*PI()))*SQRT((AE160-AO$3)^2+(AF160-AO$4)^2),"-")</f>
        <v/>
      </c>
      <c r="AN160" s="95">
        <f>IF(ISNUMBER(AL160),AG160-AO160,"-")</f>
        <v/>
      </c>
      <c r="AO160" s="96">
        <f>IF(ISNUMBER(AF160),((AL160-$AO$7)*AO$9)+AO$8,"-")</f>
        <v/>
      </c>
      <c r="AQ160" s="103" t="n"/>
      <c r="AV160" s="89">
        <f>AB160</f>
        <v/>
      </c>
      <c r="AW160" s="100">
        <f>AC160</f>
        <v/>
      </c>
      <c r="AX160" s="170">
        <f>AE160</f>
        <v/>
      </c>
      <c r="AY160" s="170">
        <f>AF160</f>
        <v/>
      </c>
      <c r="AZ160" s="170">
        <f>AG160</f>
        <v/>
      </c>
      <c r="BA160" s="170">
        <f>AL160+$AY$1</f>
        <v/>
      </c>
      <c r="BB160" s="170">
        <f>AM160</f>
        <v/>
      </c>
      <c r="BC160" s="171">
        <f>AN160</f>
        <v/>
      </c>
    </row>
    <row r="161" ht="15" customHeight="1" s="144">
      <c r="AB161" s="89" t="n">
        <v>45769</v>
      </c>
      <c r="AC161" s="90" t="inlineStr">
        <is>
          <t>A</t>
        </is>
      </c>
      <c r="AD161" s="91" t="inlineStr">
        <is>
          <t>B.HA213.1</t>
        </is>
      </c>
      <c r="AE161" s="90" t="n">
        <v>823147.65</v>
      </c>
      <c r="AF161" s="90" t="n">
        <v>1091710.0843</v>
      </c>
      <c r="AG161" s="92" t="n">
        <v>-121.5722</v>
      </c>
      <c r="AL161" s="93">
        <f>IF(ISNUMBER(AE161),COS(ATAN2(AF161-AO$4,AE161-AO$3)-(AO$5/200*PI()))*SQRT((AE161-AO$3)^2+(AF161-AO$4)^2),"-")</f>
        <v/>
      </c>
      <c r="AM161" s="94">
        <f>IF(ISNUMBER(AE161),SIN(ATAN2(AF161-AO$4,AE161-AO$3)-(AO$5/200*PI()))*SQRT((AE161-AO$3)^2+(AF161-AO$4)^2),"-")</f>
        <v/>
      </c>
      <c r="AN161" s="95">
        <f>IF(ISNUMBER(AL161),AG161-AO161,"-")</f>
        <v/>
      </c>
      <c r="AO161" s="96">
        <f>IF(ISNUMBER(AF161),((AL161-$AO$7)*AO$9)+AO$8,"-")</f>
        <v/>
      </c>
      <c r="AQ161" s="103" t="n"/>
      <c r="AV161" s="89">
        <f>AB161</f>
        <v/>
      </c>
      <c r="AW161" s="100">
        <f>AC161</f>
        <v/>
      </c>
      <c r="AX161" s="170">
        <f>AE161</f>
        <v/>
      </c>
      <c r="AY161" s="170">
        <f>AF161</f>
        <v/>
      </c>
      <c r="AZ161" s="170">
        <f>AG161</f>
        <v/>
      </c>
      <c r="BA161" s="170">
        <f>AL161+$AY$1</f>
        <v/>
      </c>
      <c r="BB161" s="170">
        <f>AM161</f>
        <v/>
      </c>
      <c r="BC161" s="171">
        <f>AN161</f>
        <v/>
      </c>
    </row>
    <row r="162" ht="15" customHeight="1" s="144">
      <c r="AB162" s="89" t="n">
        <v>45769</v>
      </c>
      <c r="AC162" s="90" t="inlineStr">
        <is>
          <t>B</t>
        </is>
      </c>
      <c r="AD162" s="91" t="inlineStr">
        <is>
          <t>B.HA213.2</t>
        </is>
      </c>
      <c r="AE162" s="90" t="n">
        <v>823147.5936</v>
      </c>
      <c r="AF162" s="90" t="n">
        <v>1091710.2517</v>
      </c>
      <c r="AG162" s="92" t="n">
        <v>-121.9102</v>
      </c>
      <c r="AL162" s="93">
        <f>IF(ISNUMBER(AE162),COS(ATAN2(AF162-AO$4,AE162-AO$3)-(AO$5/200*PI()))*SQRT((AE162-AO$3)^2+(AF162-AO$4)^2),"-")</f>
        <v/>
      </c>
      <c r="AM162" s="94">
        <f>IF(ISNUMBER(AE162),SIN(ATAN2(AF162-AO$4,AE162-AO$3)-(AO$5/200*PI()))*SQRT((AE162-AO$3)^2+(AF162-AO$4)^2),"-")</f>
        <v/>
      </c>
      <c r="AN162" s="95">
        <f>IF(ISNUMBER(AL162),AG162-AO162,"-")</f>
        <v/>
      </c>
      <c r="AO162" s="96">
        <f>IF(ISNUMBER(AF162),((AL162-$AO$7)*AO$9)+AO$8,"-")</f>
        <v/>
      </c>
      <c r="AQ162" s="103" t="n"/>
      <c r="AV162" s="89">
        <f>AB162</f>
        <v/>
      </c>
      <c r="AW162" s="100">
        <f>AC162</f>
        <v/>
      </c>
      <c r="AX162" s="170">
        <f>AE162</f>
        <v/>
      </c>
      <c r="AY162" s="170">
        <f>AF162</f>
        <v/>
      </c>
      <c r="AZ162" s="170">
        <f>AG162</f>
        <v/>
      </c>
      <c r="BA162" s="170">
        <f>AL162+$AY$1</f>
        <v/>
      </c>
      <c r="BB162" s="170">
        <f>AM162</f>
        <v/>
      </c>
      <c r="BC162" s="171">
        <f>AN162</f>
        <v/>
      </c>
    </row>
    <row r="163" ht="15" customHeight="1" s="144">
      <c r="AB163" s="89" t="n">
        <v>45769</v>
      </c>
      <c r="AC163" s="104" t="inlineStr">
        <is>
          <t>C</t>
        </is>
      </c>
      <c r="AD163" s="91" t="inlineStr">
        <is>
          <t>B.HA213.3</t>
        </is>
      </c>
      <c r="AE163" s="90" t="n">
        <v>823147.5693</v>
      </c>
      <c r="AF163" s="90" t="n">
        <v>1091710.4034</v>
      </c>
      <c r="AG163" s="92" t="n">
        <v>-122.358</v>
      </c>
      <c r="AL163" s="93">
        <f>IF(ISNUMBER(AE163),COS(ATAN2(AF163-AO$4,AE163-AO$3)-(AO$5/200*PI()))*SQRT((AE163-AO$3)^2+(AF163-AO$4)^2),"-")</f>
        <v/>
      </c>
      <c r="AM163" s="94">
        <f>IF(ISNUMBER(AE163),SIN(ATAN2(AF163-AO$4,AE163-AO$3)-(AO$5/200*PI()))*SQRT((AE163-AO$3)^2+(AF163-AO$4)^2),"-")</f>
        <v/>
      </c>
      <c r="AN163" s="95">
        <f>IF(ISNUMBER(AL163),AG163-AO163,"-")</f>
        <v/>
      </c>
      <c r="AO163" s="96">
        <f>IF(ISNUMBER(AF163),((AL163-$AO$7)*AO$9)+AO$8,"-")</f>
        <v/>
      </c>
      <c r="AQ163" s="103" t="n"/>
      <c r="AV163" s="89">
        <f>AB163</f>
        <v/>
      </c>
      <c r="AW163" s="100">
        <f>AC163</f>
        <v/>
      </c>
      <c r="AX163" s="170">
        <f>AE163</f>
        <v/>
      </c>
      <c r="AY163" s="170">
        <f>AF163</f>
        <v/>
      </c>
      <c r="AZ163" s="170">
        <f>AG163</f>
        <v/>
      </c>
      <c r="BA163" s="170">
        <f>AL163+$AY$1</f>
        <v/>
      </c>
      <c r="BB163" s="170">
        <f>AM163</f>
        <v/>
      </c>
      <c r="BC163" s="171">
        <f>AN163</f>
        <v/>
      </c>
    </row>
    <row r="164" ht="15" customHeight="1" s="144">
      <c r="AB164" s="89" t="n">
        <v>45769</v>
      </c>
      <c r="AC164" s="104" t="inlineStr">
        <is>
          <t>D</t>
        </is>
      </c>
      <c r="AD164" s="91" t="inlineStr">
        <is>
          <t>B.HA213.4</t>
        </is>
      </c>
      <c r="AE164" s="90" t="n">
        <v>823149.9886</v>
      </c>
      <c r="AF164" s="90" t="n">
        <v>1091705.0825</v>
      </c>
      <c r="AG164" s="92" t="n">
        <v>-121.7838</v>
      </c>
      <c r="AL164" s="93">
        <f>IF(ISNUMBER(AE164),COS(ATAN2(AF164-AO$4,AE164-AO$3)-(AO$5/200*PI()))*SQRT((AE164-AO$3)^2+(AF164-AO$4)^2),"-")</f>
        <v/>
      </c>
      <c r="AM164" s="94">
        <f>IF(ISNUMBER(AE164),SIN(ATAN2(AF164-AO$4,AE164-AO$3)-(AO$5/200*PI()))*SQRT((AE164-AO$3)^2+(AF164-AO$4)^2),"-")</f>
        <v/>
      </c>
      <c r="AN164" s="95">
        <f>IF(ISNUMBER(AL164),AG164-AO164,"-")</f>
        <v/>
      </c>
      <c r="AO164" s="96">
        <f>IF(ISNUMBER(AF164),((AL164-$AO$7)*AO$9)+AO$8,"-")</f>
        <v/>
      </c>
      <c r="AQ164" s="103" t="n"/>
      <c r="AV164" s="89">
        <f>AB164</f>
        <v/>
      </c>
      <c r="AW164" s="100">
        <f>AC164</f>
        <v/>
      </c>
      <c r="AX164" s="170">
        <f>AE164</f>
        <v/>
      </c>
      <c r="AY164" s="170">
        <f>AF164</f>
        <v/>
      </c>
      <c r="AZ164" s="170">
        <f>AG164</f>
        <v/>
      </c>
      <c r="BA164" s="170">
        <f>AL164+$AY$1</f>
        <v/>
      </c>
      <c r="BB164" s="170">
        <f>AM164</f>
        <v/>
      </c>
      <c r="BC164" s="171">
        <f>AN164</f>
        <v/>
      </c>
    </row>
    <row r="165" ht="15" customHeight="1" s="144">
      <c r="AB165" s="89" t="n">
        <v>45782</v>
      </c>
      <c r="AC165" s="90" t="inlineStr">
        <is>
          <t>A</t>
        </is>
      </c>
      <c r="AD165" s="91" t="inlineStr">
        <is>
          <t>A.HA3.1</t>
        </is>
      </c>
      <c r="AE165" s="90" t="n">
        <v>823147.6498</v>
      </c>
      <c r="AF165" s="90" t="n">
        <v>1091710.0841</v>
      </c>
      <c r="AG165" s="92" t="n">
        <v>-121.5722</v>
      </c>
      <c r="AL165" s="93">
        <f>IF(ISNUMBER(AE165),COS(ATAN2(AF165-AO$4,AE165-AO$3)-(AO$5/200*PI()))*SQRT((AE165-AO$3)^2+(AF165-AO$4)^2),"-")</f>
        <v/>
      </c>
      <c r="AM165" s="94">
        <f>IF(ISNUMBER(AE165),SIN(ATAN2(AF165-AO$4,AE165-AO$3)-(AO$5/200*PI()))*SQRT((AE165-AO$3)^2+(AF165-AO$4)^2),"-")</f>
        <v/>
      </c>
      <c r="AN165" s="95">
        <f>IF(ISNUMBER(AL165),AG165-AO165,"-")</f>
        <v/>
      </c>
      <c r="AO165" s="96">
        <f>IF(ISNUMBER(AF165),((AL165-$AO$7)*AO$9)+AO$8,"-")</f>
        <v/>
      </c>
      <c r="AQ165" s="103" t="n"/>
      <c r="AV165" s="89">
        <f>AB165</f>
        <v/>
      </c>
      <c r="AW165" s="100">
        <f>AC165</f>
        <v/>
      </c>
      <c r="AX165" s="170">
        <f>AE165</f>
        <v/>
      </c>
      <c r="AY165" s="170">
        <f>AF165</f>
        <v/>
      </c>
      <c r="AZ165" s="170">
        <f>AG165</f>
        <v/>
      </c>
      <c r="BA165" s="170">
        <f>AL165+$AY$1</f>
        <v/>
      </c>
      <c r="BB165" s="170">
        <f>AM165</f>
        <v/>
      </c>
      <c r="BC165" s="171">
        <f>AN165</f>
        <v/>
      </c>
    </row>
    <row r="166" ht="15" customHeight="1" s="144">
      <c r="AB166" s="89" t="n">
        <v>45782</v>
      </c>
      <c r="AC166" s="90" t="inlineStr">
        <is>
          <t>B</t>
        </is>
      </c>
      <c r="AD166" s="91" t="inlineStr">
        <is>
          <t>A.HA3.2</t>
        </is>
      </c>
      <c r="AE166" s="90" t="n">
        <v>823147.5927</v>
      </c>
      <c r="AF166" s="90" t="n">
        <v>1091710.2503</v>
      </c>
      <c r="AG166" s="92" t="n">
        <v>-121.9106</v>
      </c>
      <c r="AL166" s="93">
        <f>IF(ISNUMBER(AE166),COS(ATAN2(AF166-AO$4,AE166-AO$3)-(AO$5/200*PI()))*SQRT((AE166-AO$3)^2+(AF166-AO$4)^2),"-")</f>
        <v/>
      </c>
      <c r="AM166" s="94">
        <f>IF(ISNUMBER(AE166),SIN(ATAN2(AF166-AO$4,AE166-AO$3)-(AO$5/200*PI()))*SQRT((AE166-AO$3)^2+(AF166-AO$4)^2),"-")</f>
        <v/>
      </c>
      <c r="AN166" s="95">
        <f>IF(ISNUMBER(AL166),AG166-AO166,"-")</f>
        <v/>
      </c>
      <c r="AO166" s="96">
        <f>IF(ISNUMBER(AF166),((AL166-$AO$7)*AO$9)+AO$8,"-")</f>
        <v/>
      </c>
      <c r="AQ166" s="103" t="n"/>
      <c r="AV166" s="89">
        <f>AB166</f>
        <v/>
      </c>
      <c r="AW166" s="100">
        <f>AC166</f>
        <v/>
      </c>
      <c r="AX166" s="170">
        <f>AE166</f>
        <v/>
      </c>
      <c r="AY166" s="170">
        <f>AF166</f>
        <v/>
      </c>
      <c r="AZ166" s="170">
        <f>AG166</f>
        <v/>
      </c>
      <c r="BA166" s="170">
        <f>AL166+$AY$1</f>
        <v/>
      </c>
      <c r="BB166" s="170">
        <f>AM166</f>
        <v/>
      </c>
      <c r="BC166" s="171">
        <f>AN166</f>
        <v/>
      </c>
    </row>
    <row r="167" ht="15" customHeight="1" s="144">
      <c r="AB167" s="89" t="n">
        <v>45782</v>
      </c>
      <c r="AC167" s="104" t="inlineStr">
        <is>
          <t>C</t>
        </is>
      </c>
      <c r="AD167" s="91" t="inlineStr">
        <is>
          <t>A.HA3.3</t>
        </is>
      </c>
      <c r="AE167" s="90" t="n">
        <v>823147.5692</v>
      </c>
      <c r="AF167" s="90" t="n">
        <v>1091710.403</v>
      </c>
      <c r="AG167" s="92" t="n">
        <v>-122.3581</v>
      </c>
      <c r="AL167" s="93">
        <f>IF(ISNUMBER(AE167),COS(ATAN2(AF167-AO$4,AE167-AO$3)-(AO$5/200*PI()))*SQRT((AE167-AO$3)^2+(AF167-AO$4)^2),"-")</f>
        <v/>
      </c>
      <c r="AM167" s="94">
        <f>IF(ISNUMBER(AE167),SIN(ATAN2(AF167-AO$4,AE167-AO$3)-(AO$5/200*PI()))*SQRT((AE167-AO$3)^2+(AF167-AO$4)^2),"-")</f>
        <v/>
      </c>
      <c r="AN167" s="95">
        <f>IF(ISNUMBER(AL167),AG167-AO167,"-")</f>
        <v/>
      </c>
      <c r="AO167" s="96">
        <f>IF(ISNUMBER(AF167),((AL167-$AO$7)*AO$9)+AO$8,"-")</f>
        <v/>
      </c>
      <c r="AQ167" s="103" t="n"/>
      <c r="AV167" s="89">
        <f>AB167</f>
        <v/>
      </c>
      <c r="AW167" s="100">
        <f>AC167</f>
        <v/>
      </c>
      <c r="AX167" s="170">
        <f>AE167</f>
        <v/>
      </c>
      <c r="AY167" s="170">
        <f>AF167</f>
        <v/>
      </c>
      <c r="AZ167" s="170">
        <f>AG167</f>
        <v/>
      </c>
      <c r="BA167" s="170">
        <f>AL167+$AY$1</f>
        <v/>
      </c>
      <c r="BB167" s="170">
        <f>AM167</f>
        <v/>
      </c>
      <c r="BC167" s="171">
        <f>AN167</f>
        <v/>
      </c>
    </row>
    <row r="168" ht="15" customHeight="1" s="144">
      <c r="AB168" s="89" t="n">
        <v>45782</v>
      </c>
      <c r="AC168" s="104" t="inlineStr">
        <is>
          <t>D</t>
        </is>
      </c>
      <c r="AD168" s="91" t="inlineStr">
        <is>
          <t>A.HA3.4</t>
        </is>
      </c>
      <c r="AE168" s="90" t="n">
        <v>823149.9895</v>
      </c>
      <c r="AF168" s="90" t="n">
        <v>1091705.0824</v>
      </c>
      <c r="AG168" s="92" t="n">
        <v>-121.7834</v>
      </c>
      <c r="AL168" s="93">
        <f>IF(ISNUMBER(AE168),COS(ATAN2(AF168-AO$4,AE168-AO$3)-(AO$5/200*PI()))*SQRT((AE168-AO$3)^2+(AF168-AO$4)^2),"-")</f>
        <v/>
      </c>
      <c r="AM168" s="94">
        <f>IF(ISNUMBER(AE168),SIN(ATAN2(AF168-AO$4,AE168-AO$3)-(AO$5/200*PI()))*SQRT((AE168-AO$3)^2+(AF168-AO$4)^2),"-")</f>
        <v/>
      </c>
      <c r="AN168" s="95">
        <f>IF(ISNUMBER(AL168),AG168-AO168,"-")</f>
        <v/>
      </c>
      <c r="AO168" s="96">
        <f>IF(ISNUMBER(AF168),((AL168-$AO$7)*AO$9)+AO$8,"-")</f>
        <v/>
      </c>
      <c r="AQ168" s="103" t="n"/>
      <c r="AV168" s="89">
        <f>AB168</f>
        <v/>
      </c>
      <c r="AW168" s="100">
        <f>AC168</f>
        <v/>
      </c>
      <c r="AX168" s="170">
        <f>AE168</f>
        <v/>
      </c>
      <c r="AY168" s="170">
        <f>AF168</f>
        <v/>
      </c>
      <c r="AZ168" s="170">
        <f>AG168</f>
        <v/>
      </c>
      <c r="BA168" s="170">
        <f>AL168+$AY$1</f>
        <v/>
      </c>
      <c r="BB168" s="170">
        <f>AM168</f>
        <v/>
      </c>
      <c r="BC168" s="171">
        <f>AN168</f>
        <v/>
      </c>
    </row>
    <row r="169" ht="15" customHeight="1" s="144">
      <c r="AB169" s="89" t="n">
        <v>45798</v>
      </c>
      <c r="AC169" s="90" t="inlineStr">
        <is>
          <t>A</t>
        </is>
      </c>
      <c r="AD169" s="91" t="inlineStr">
        <is>
          <t>B.HA213.1</t>
        </is>
      </c>
      <c r="AE169" s="90" t="n">
        <v>823147.6505</v>
      </c>
      <c r="AF169" s="90" t="n">
        <v>1091710.0843</v>
      </c>
      <c r="AG169" s="92" t="n">
        <v>-121.5721</v>
      </c>
      <c r="AL169" s="93">
        <f>IF(ISNUMBER(AE169),COS(ATAN2(AF169-AO$4,AE169-AO$3)-(AO$5/200*PI()))*SQRT((AE169-AO$3)^2+(AF169-AO$4)^2),"-")</f>
        <v/>
      </c>
      <c r="AM169" s="94">
        <f>IF(ISNUMBER(AE169),SIN(ATAN2(AF169-AO$4,AE169-AO$3)-(AO$5/200*PI()))*SQRT((AE169-AO$3)^2+(AF169-AO$4)^2),"-")</f>
        <v/>
      </c>
      <c r="AN169" s="95">
        <f>IF(ISNUMBER(AL169),AG169-AO169,"-")</f>
        <v/>
      </c>
      <c r="AO169" s="96">
        <f>IF(ISNUMBER(AF169),((AL169-$AO$7)*AO$9)+AO$8,"-")</f>
        <v/>
      </c>
      <c r="AQ169" s="103" t="n"/>
      <c r="AV169" s="89">
        <f>AB169</f>
        <v/>
      </c>
      <c r="AW169" s="100">
        <f>AC169</f>
        <v/>
      </c>
      <c r="AX169" s="170">
        <f>AE169</f>
        <v/>
      </c>
      <c r="AY169" s="170">
        <f>AF169</f>
        <v/>
      </c>
      <c r="AZ169" s="170">
        <f>AG169</f>
        <v/>
      </c>
      <c r="BA169" s="170">
        <f>AL169+$AY$1</f>
        <v/>
      </c>
      <c r="BB169" s="170">
        <f>AM169</f>
        <v/>
      </c>
      <c r="BC169" s="171">
        <f>AN169</f>
        <v/>
      </c>
    </row>
    <row r="170" ht="15" customHeight="1" s="144">
      <c r="AB170" s="89" t="n">
        <v>45798</v>
      </c>
      <c r="AC170" s="90" t="inlineStr">
        <is>
          <t>B</t>
        </is>
      </c>
      <c r="AD170" s="91" t="inlineStr">
        <is>
          <t>B.HA213.2</t>
        </is>
      </c>
      <c r="AE170" s="90" t="n">
        <v>823147.5937</v>
      </c>
      <c r="AF170" s="90" t="n">
        <v>1091710.2512</v>
      </c>
      <c r="AG170" s="92" t="n">
        <v>-121.9102</v>
      </c>
      <c r="AL170" s="93">
        <f>IF(ISNUMBER(AE170),COS(ATAN2(AF170-AO$4,AE170-AO$3)-(AO$5/200*PI()))*SQRT((AE170-AO$3)^2+(AF170-AO$4)^2),"-")</f>
        <v/>
      </c>
      <c r="AM170" s="94">
        <f>IF(ISNUMBER(AE170),SIN(ATAN2(AF170-AO$4,AE170-AO$3)-(AO$5/200*PI()))*SQRT((AE170-AO$3)^2+(AF170-AO$4)^2),"-")</f>
        <v/>
      </c>
      <c r="AN170" s="95">
        <f>IF(ISNUMBER(AL170),AG170-AO170,"-")</f>
        <v/>
      </c>
      <c r="AO170" s="96">
        <f>IF(ISNUMBER(AF170),((AL170-$AO$7)*AO$9)+AO$8,"-")</f>
        <v/>
      </c>
      <c r="AQ170" s="103" t="n"/>
      <c r="AV170" s="89">
        <f>AB170</f>
        <v/>
      </c>
      <c r="AW170" s="100">
        <f>AC170</f>
        <v/>
      </c>
      <c r="AX170" s="170">
        <f>AE170</f>
        <v/>
      </c>
      <c r="AY170" s="170">
        <f>AF170</f>
        <v/>
      </c>
      <c r="AZ170" s="170">
        <f>AG170</f>
        <v/>
      </c>
      <c r="BA170" s="170">
        <f>AL170+$AY$1</f>
        <v/>
      </c>
      <c r="BB170" s="170">
        <f>AM170</f>
        <v/>
      </c>
      <c r="BC170" s="171">
        <f>AN170</f>
        <v/>
      </c>
    </row>
    <row r="171" ht="15" customHeight="1" s="144">
      <c r="AB171" s="89" t="n">
        <v>45798</v>
      </c>
      <c r="AC171" s="104" t="inlineStr">
        <is>
          <t>C</t>
        </is>
      </c>
      <c r="AD171" s="91" t="inlineStr">
        <is>
          <t>B.HA213.3</t>
        </is>
      </c>
      <c r="AE171" s="90" t="n">
        <v>823147.5699</v>
      </c>
      <c r="AF171" s="90" t="n">
        <v>1091710.4032</v>
      </c>
      <c r="AG171" s="92" t="n">
        <v>-122.3579</v>
      </c>
      <c r="AL171" s="93">
        <f>IF(ISNUMBER(AE171),COS(ATAN2(AF171-AO$4,AE171-AO$3)-(AO$5/200*PI()))*SQRT((AE171-AO$3)^2+(AF171-AO$4)^2),"-")</f>
        <v/>
      </c>
      <c r="AM171" s="94">
        <f>IF(ISNUMBER(AE171),SIN(ATAN2(AF171-AO$4,AE171-AO$3)-(AO$5/200*PI()))*SQRT((AE171-AO$3)^2+(AF171-AO$4)^2),"-")</f>
        <v/>
      </c>
      <c r="AN171" s="95">
        <f>IF(ISNUMBER(AL171),AG171-AO171,"-")</f>
        <v/>
      </c>
      <c r="AO171" s="96">
        <f>IF(ISNUMBER(AF171),((AL171-$AO$7)*AO$9)+AO$8,"-")</f>
        <v/>
      </c>
      <c r="AQ171" s="103" t="n"/>
      <c r="AV171" s="89">
        <f>AB171</f>
        <v/>
      </c>
      <c r="AW171" s="100">
        <f>AC171</f>
        <v/>
      </c>
      <c r="AX171" s="170">
        <f>AE171</f>
        <v/>
      </c>
      <c r="AY171" s="170">
        <f>AF171</f>
        <v/>
      </c>
      <c r="AZ171" s="170">
        <f>AG171</f>
        <v/>
      </c>
      <c r="BA171" s="170">
        <f>AL171+$AY$1</f>
        <v/>
      </c>
      <c r="BB171" s="170">
        <f>AM171</f>
        <v/>
      </c>
      <c r="BC171" s="171">
        <f>AN171</f>
        <v/>
      </c>
    </row>
    <row r="172" ht="15" customHeight="1" s="144">
      <c r="AB172" s="89" t="n">
        <v>45798</v>
      </c>
      <c r="AC172" s="104" t="inlineStr">
        <is>
          <t>D</t>
        </is>
      </c>
      <c r="AD172" s="91" t="inlineStr">
        <is>
          <t>B.HA213.4</t>
        </is>
      </c>
      <c r="AE172" s="90" t="n">
        <v>823149.9893</v>
      </c>
      <c r="AF172" s="90" t="n">
        <v>1091705.0828</v>
      </c>
      <c r="AG172" s="92" t="n">
        <v>-121.7836</v>
      </c>
      <c r="AL172" s="93">
        <f>IF(ISNUMBER(AE172),COS(ATAN2(AF172-AO$4,AE172-AO$3)-(AO$5/200*PI()))*SQRT((AE172-AO$3)^2+(AF172-AO$4)^2),"-")</f>
        <v/>
      </c>
      <c r="AM172" s="94">
        <f>IF(ISNUMBER(AE172),SIN(ATAN2(AF172-AO$4,AE172-AO$3)-(AO$5/200*PI()))*SQRT((AE172-AO$3)^2+(AF172-AO$4)^2),"-")</f>
        <v/>
      </c>
      <c r="AN172" s="95">
        <f>IF(ISNUMBER(AL172),AG172-AO172,"-")</f>
        <v/>
      </c>
      <c r="AO172" s="96">
        <f>IF(ISNUMBER(AF172),((AL172-$AO$7)*AO$9)+AO$8,"-")</f>
        <v/>
      </c>
      <c r="AQ172" s="103" t="n"/>
      <c r="AV172" s="89">
        <f>AB172</f>
        <v/>
      </c>
      <c r="AW172" s="100">
        <f>AC172</f>
        <v/>
      </c>
      <c r="AX172" s="170">
        <f>AE172</f>
        <v/>
      </c>
      <c r="AY172" s="170">
        <f>AF172</f>
        <v/>
      </c>
      <c r="AZ172" s="170">
        <f>AG172</f>
        <v/>
      </c>
      <c r="BA172" s="170">
        <f>AL172+$AY$1</f>
        <v/>
      </c>
      <c r="BB172" s="170">
        <f>AM172</f>
        <v/>
      </c>
      <c r="BC172" s="171">
        <f>AN172</f>
        <v/>
      </c>
    </row>
    <row r="173" ht="15" customHeight="1" s="144">
      <c r="AB173" s="89" t="n"/>
      <c r="AC173" s="104" t="n"/>
      <c r="AD173" s="91" t="n"/>
      <c r="AE173" s="90" t="n"/>
      <c r="AF173" s="90" t="n"/>
      <c r="AG173" s="92" t="n"/>
      <c r="AL173" s="93" t="n"/>
      <c r="AM173" s="94" t="n"/>
      <c r="AN173" s="95" t="n"/>
      <c r="AO173" s="96" t="n"/>
      <c r="AV173" s="90" t="n"/>
      <c r="AW173" s="100" t="n"/>
      <c r="AX173" s="170" t="n"/>
      <c r="AY173" s="170" t="n"/>
      <c r="AZ173" s="170" t="n"/>
      <c r="BA173" s="170" t="n"/>
      <c r="BB173" s="170" t="n"/>
      <c r="BC173" s="171" t="n"/>
    </row>
    <row r="174" ht="15" customHeight="1" s="144">
      <c r="AB174" s="89" t="n"/>
      <c r="AC174" s="104" t="n"/>
      <c r="AD174" s="91" t="n"/>
      <c r="AE174" s="90" t="n"/>
      <c r="AF174" s="90" t="n"/>
      <c r="AG174" s="92" t="n"/>
      <c r="AL174" s="93" t="n"/>
      <c r="AM174" s="94" t="n"/>
      <c r="AN174" s="95" t="n"/>
      <c r="AO174" s="96" t="n"/>
      <c r="AV174" s="90" t="n"/>
      <c r="AW174" s="100" t="n"/>
      <c r="AX174" s="170" t="n"/>
      <c r="AY174" s="170" t="n"/>
      <c r="AZ174" s="170" t="n"/>
      <c r="BA174" s="170" t="n"/>
      <c r="BB174" s="170" t="n"/>
      <c r="BC174" s="171" t="n"/>
    </row>
    <row r="175" ht="15" customHeight="1" s="144">
      <c r="AB175" s="89" t="n"/>
      <c r="AC175" s="104" t="n"/>
      <c r="AD175" s="91" t="n"/>
      <c r="AE175" s="90" t="n"/>
      <c r="AF175" s="90" t="n"/>
      <c r="AG175" s="92" t="n"/>
      <c r="AL175" s="93" t="n"/>
      <c r="AM175" s="94" t="n"/>
      <c r="AN175" s="95" t="n"/>
      <c r="AO175" s="96" t="n"/>
      <c r="AV175" s="90" t="n"/>
      <c r="AW175" s="100" t="n"/>
      <c r="AX175" s="170" t="n"/>
      <c r="AY175" s="170" t="n"/>
      <c r="AZ175" s="170" t="n"/>
      <c r="BA175" s="170" t="n"/>
      <c r="BB175" s="170" t="n"/>
      <c r="BC175" s="171" t="n"/>
    </row>
    <row r="176" ht="15" customHeight="1" s="144">
      <c r="AB176" s="89" t="n"/>
      <c r="AC176" s="104" t="n"/>
      <c r="AD176" s="91" t="n"/>
      <c r="AE176" s="90" t="n"/>
      <c r="AF176" s="90" t="n"/>
      <c r="AG176" s="92" t="n"/>
      <c r="AL176" s="93" t="n"/>
      <c r="AM176" s="94" t="n"/>
      <c r="AN176" s="95" t="n"/>
      <c r="AO176" s="96" t="n"/>
      <c r="AV176" s="90" t="n"/>
      <c r="AW176" s="100" t="n"/>
      <c r="AX176" s="170" t="n"/>
      <c r="AY176" s="170" t="n"/>
      <c r="AZ176" s="170" t="n"/>
      <c r="BA176" s="170" t="n"/>
      <c r="BB176" s="170" t="n"/>
      <c r="BC176" s="171" t="n"/>
    </row>
    <row r="177" ht="15" customHeight="1" s="144">
      <c r="AB177" s="89" t="n"/>
      <c r="AC177" s="104" t="n"/>
      <c r="AD177" s="91" t="n"/>
      <c r="AE177" s="90" t="n"/>
      <c r="AF177" s="90" t="n"/>
      <c r="AG177" s="92" t="n"/>
      <c r="AL177" s="93" t="n"/>
      <c r="AM177" s="94" t="n"/>
      <c r="AN177" s="95" t="n"/>
      <c r="AO177" s="96" t="n"/>
      <c r="AV177" s="90" t="n"/>
      <c r="AW177" s="100" t="n"/>
      <c r="AX177" s="170" t="n"/>
      <c r="AY177" s="170" t="n"/>
      <c r="AZ177" s="170" t="n"/>
      <c r="BA177" s="170" t="n"/>
      <c r="BB177" s="170" t="n"/>
      <c r="BC177" s="171" t="n"/>
    </row>
    <row r="178" ht="15" customHeight="1" s="144">
      <c r="AB178" s="89" t="n"/>
      <c r="AC178" s="104" t="n"/>
      <c r="AD178" s="91" t="n"/>
      <c r="AE178" s="90" t="n"/>
      <c r="AF178" s="90" t="n"/>
      <c r="AG178" s="92" t="n"/>
      <c r="AL178" s="93" t="n"/>
      <c r="AM178" s="94" t="n"/>
      <c r="AN178" s="95" t="n"/>
      <c r="AO178" s="96" t="n"/>
      <c r="AV178" s="90" t="n"/>
      <c r="AW178" s="100" t="n"/>
      <c r="AX178" s="170" t="n"/>
      <c r="AY178" s="170" t="n"/>
      <c r="AZ178" s="170" t="n"/>
      <c r="BA178" s="170" t="n"/>
      <c r="BB178" s="170" t="n"/>
      <c r="BC178" s="171" t="n"/>
    </row>
    <row r="179" ht="15" customHeight="1" s="144">
      <c r="AB179" s="89" t="n"/>
      <c r="AC179" s="104" t="n"/>
      <c r="AD179" s="91" t="n"/>
      <c r="AE179" s="90" t="n"/>
      <c r="AF179" s="90" t="n"/>
      <c r="AG179" s="92" t="n"/>
      <c r="AL179" s="93" t="n"/>
      <c r="AM179" s="94" t="n"/>
      <c r="AN179" s="95" t="n"/>
      <c r="AO179" s="96" t="n"/>
      <c r="AV179" s="90" t="n"/>
      <c r="AW179" s="100" t="n"/>
      <c r="AX179" s="170" t="n"/>
      <c r="AY179" s="170" t="n"/>
      <c r="AZ179" s="170" t="n"/>
      <c r="BA179" s="170" t="n"/>
      <c r="BB179" s="170" t="n"/>
      <c r="BC179" s="171" t="n"/>
    </row>
    <row r="180" ht="15" customHeight="1" s="144">
      <c r="AB180" s="89" t="n"/>
      <c r="AC180" s="104" t="n"/>
      <c r="AD180" s="91" t="n"/>
      <c r="AE180" s="90" t="n"/>
      <c r="AF180" s="90" t="n"/>
      <c r="AG180" s="92" t="n"/>
      <c r="AL180" s="93" t="n"/>
      <c r="AM180" s="94" t="n"/>
      <c r="AN180" s="95" t="n"/>
      <c r="AO180" s="96" t="n"/>
      <c r="AV180" s="90" t="n"/>
      <c r="AW180" s="100" t="n"/>
      <c r="AX180" s="170" t="n"/>
      <c r="AY180" s="170" t="n"/>
      <c r="AZ180" s="170" t="n"/>
      <c r="BA180" s="170" t="n"/>
      <c r="BB180" s="170" t="n"/>
      <c r="BC180" s="171" t="n"/>
    </row>
    <row r="181" ht="15" customHeight="1" s="144">
      <c r="AB181" s="89" t="n"/>
      <c r="AC181" s="104" t="n"/>
      <c r="AD181" s="91" t="n"/>
      <c r="AE181" s="90" t="n"/>
      <c r="AF181" s="90" t="n"/>
      <c r="AG181" s="92" t="n"/>
      <c r="AL181" s="93" t="n"/>
      <c r="AM181" s="94" t="n"/>
      <c r="AN181" s="95" t="n"/>
      <c r="AO181" s="96" t="n"/>
      <c r="AV181" s="90" t="n"/>
      <c r="AW181" s="100" t="n"/>
      <c r="AX181" s="170" t="n"/>
      <c r="AY181" s="170" t="n"/>
      <c r="AZ181" s="170" t="n"/>
      <c r="BA181" s="170" t="n"/>
      <c r="BB181" s="170" t="n"/>
      <c r="BC181" s="171" t="n"/>
    </row>
    <row r="182" ht="15" customHeight="1" s="144">
      <c r="AB182" s="89" t="n"/>
      <c r="AC182" s="104" t="n"/>
      <c r="AD182" s="91" t="n"/>
      <c r="AE182" s="90" t="n"/>
      <c r="AF182" s="90" t="n"/>
      <c r="AG182" s="92" t="n"/>
      <c r="AL182" s="93" t="n"/>
      <c r="AM182" s="94" t="n"/>
      <c r="AN182" s="95" t="n"/>
      <c r="AO182" s="96" t="n"/>
      <c r="AV182" s="90" t="n"/>
      <c r="AW182" s="100" t="n"/>
      <c r="AX182" s="170" t="n"/>
      <c r="AY182" s="170" t="n"/>
      <c r="AZ182" s="170" t="n"/>
      <c r="BA182" s="170" t="n"/>
      <c r="BB182" s="170" t="n"/>
      <c r="BC182" s="171" t="n"/>
    </row>
    <row r="183" ht="15" customHeight="1" s="144">
      <c r="AB183" s="89" t="n"/>
      <c r="AC183" s="90" t="n"/>
      <c r="AD183" s="91" t="n"/>
      <c r="AE183" s="90" t="n"/>
      <c r="AF183" s="90" t="n"/>
      <c r="AG183" s="92" t="n"/>
      <c r="AL183" s="93" t="n"/>
      <c r="AM183" s="94" t="n"/>
      <c r="AN183" s="95" t="n"/>
      <c r="AO183" s="96" t="n"/>
      <c r="AV183" s="90" t="n"/>
      <c r="AW183" s="100" t="n"/>
      <c r="AX183" s="170" t="n"/>
      <c r="AY183" s="170" t="n"/>
      <c r="AZ183" s="170" t="n"/>
      <c r="BA183" s="170" t="n"/>
      <c r="BB183" s="170" t="n"/>
      <c r="BC183" s="171" t="n"/>
    </row>
    <row r="184" ht="15" customHeight="1" s="144">
      <c r="AB184" s="89" t="n"/>
      <c r="AC184" s="90" t="n"/>
      <c r="AD184" s="91" t="n"/>
      <c r="AE184" s="90" t="n"/>
      <c r="AF184" s="90" t="n"/>
      <c r="AG184" s="92" t="n"/>
      <c r="AL184" s="93" t="n"/>
      <c r="AM184" s="94" t="n"/>
      <c r="AN184" s="95" t="n"/>
      <c r="AO184" s="96" t="n"/>
      <c r="AV184" s="90" t="n"/>
      <c r="AW184" s="100" t="n"/>
      <c r="AX184" s="170" t="n"/>
      <c r="AY184" s="170" t="n"/>
      <c r="AZ184" s="170" t="n"/>
      <c r="BA184" s="170" t="n"/>
      <c r="BB184" s="170" t="n"/>
      <c r="BC184" s="171" t="n"/>
    </row>
    <row r="185" ht="15" customHeight="1" s="144">
      <c r="AB185" s="89" t="n"/>
      <c r="AC185" s="104" t="n"/>
      <c r="AD185" s="91" t="n"/>
      <c r="AE185" s="90" t="n"/>
      <c r="AF185" s="90" t="n"/>
      <c r="AG185" s="92" t="n"/>
      <c r="AL185" s="93" t="n"/>
      <c r="AM185" s="94" t="n"/>
      <c r="AN185" s="95" t="n"/>
      <c r="AO185" s="96" t="n"/>
      <c r="AV185" s="90" t="n"/>
      <c r="AW185" s="100" t="n"/>
      <c r="AX185" s="170" t="n"/>
      <c r="AY185" s="170" t="n"/>
      <c r="AZ185" s="170" t="n"/>
      <c r="BA185" s="170" t="n"/>
      <c r="BB185" s="170" t="n"/>
      <c r="BC185" s="171" t="n"/>
    </row>
    <row r="186" ht="15" customHeight="1" s="144">
      <c r="AB186" s="89" t="n"/>
      <c r="AC186" s="104" t="n"/>
      <c r="AD186" s="91" t="n"/>
      <c r="AE186" s="90" t="n"/>
      <c r="AF186" s="90" t="n"/>
      <c r="AG186" s="92" t="n"/>
      <c r="AL186" s="93" t="n"/>
      <c r="AM186" s="94" t="n"/>
      <c r="AN186" s="95" t="n"/>
      <c r="AO186" s="96" t="n"/>
      <c r="AV186" s="90" t="n"/>
      <c r="AW186" s="100" t="n"/>
      <c r="AX186" s="170" t="n"/>
      <c r="AY186" s="170" t="n"/>
      <c r="AZ186" s="170" t="n"/>
      <c r="BA186" s="170" t="n"/>
      <c r="BB186" s="170" t="n"/>
      <c r="BC186" s="171" t="n"/>
    </row>
    <row r="187" ht="15" customHeight="1" s="144">
      <c r="AB187" s="89" t="n"/>
      <c r="AC187" s="104" t="n"/>
      <c r="AD187" s="91" t="n"/>
      <c r="AE187" s="90" t="n"/>
      <c r="AF187" s="90" t="n"/>
      <c r="AG187" s="92" t="n"/>
      <c r="AL187" s="93" t="n"/>
      <c r="AM187" s="94" t="n"/>
      <c r="AN187" s="95" t="n"/>
      <c r="AO187" s="96" t="n"/>
      <c r="AV187" s="90" t="n"/>
      <c r="AW187" s="100" t="n"/>
      <c r="AX187" s="170" t="n"/>
      <c r="AY187" s="170" t="n"/>
      <c r="AZ187" s="170" t="n"/>
      <c r="BA187" s="170" t="n"/>
      <c r="BB187" s="170" t="n"/>
      <c r="BC187" s="171" t="n"/>
    </row>
    <row r="188" ht="15" customHeight="1" s="144">
      <c r="AB188" s="89" t="n"/>
      <c r="AC188" s="104" t="n"/>
      <c r="AD188" s="91" t="n"/>
      <c r="AE188" s="90" t="n"/>
      <c r="AF188" s="90" t="n"/>
      <c r="AG188" s="92" t="n"/>
      <c r="AL188" s="93" t="n"/>
      <c r="AM188" s="94" t="n"/>
      <c r="AN188" s="95" t="n"/>
      <c r="AO188" s="96" t="n"/>
      <c r="AV188" s="90" t="n"/>
      <c r="AW188" s="100" t="n"/>
      <c r="AX188" s="170" t="n"/>
      <c r="AY188" s="170" t="n"/>
      <c r="AZ188" s="170" t="n"/>
      <c r="BA188" s="170" t="n"/>
      <c r="BB188" s="170" t="n"/>
      <c r="BC188" s="171" t="n"/>
    </row>
    <row r="189" ht="15" customHeight="1" s="144">
      <c r="AB189" s="89" t="n"/>
      <c r="AC189" s="104" t="n"/>
      <c r="AD189" s="91" t="n"/>
      <c r="AE189" s="90" t="n"/>
      <c r="AF189" s="90" t="n"/>
      <c r="AG189" s="92" t="n"/>
      <c r="AL189" s="93" t="n"/>
      <c r="AM189" s="94" t="n"/>
      <c r="AN189" s="95" t="n"/>
      <c r="AO189" s="96" t="n"/>
      <c r="AV189" s="90" t="n"/>
      <c r="AW189" s="100" t="n"/>
      <c r="AX189" s="170" t="n"/>
      <c r="AY189" s="170" t="n"/>
      <c r="AZ189" s="170" t="n"/>
      <c r="BA189" s="170" t="n"/>
      <c r="BB189" s="170" t="n"/>
      <c r="BC189" s="171" t="n"/>
    </row>
    <row r="190" ht="15" customHeight="1" s="144">
      <c r="AB190" s="89" t="n"/>
      <c r="AC190" s="104" t="n"/>
      <c r="AD190" s="91" t="n"/>
      <c r="AE190" s="90" t="n"/>
      <c r="AF190" s="90" t="n"/>
      <c r="AG190" s="92" t="n"/>
      <c r="AL190" s="93" t="n"/>
      <c r="AM190" s="94" t="n"/>
      <c r="AN190" s="95" t="n"/>
      <c r="AO190" s="96" t="n"/>
      <c r="AV190" s="90" t="n"/>
      <c r="AW190" s="100" t="n"/>
      <c r="AX190" s="170" t="n"/>
      <c r="AY190" s="170" t="n"/>
      <c r="AZ190" s="170" t="n"/>
      <c r="BA190" s="170" t="n"/>
      <c r="BB190" s="170" t="n"/>
      <c r="BC190" s="171" t="n"/>
    </row>
    <row r="191" ht="15" customHeight="1" s="144">
      <c r="AB191" s="89" t="n"/>
      <c r="AC191" s="104" t="n"/>
      <c r="AD191" s="91" t="n"/>
      <c r="AE191" s="90" t="n"/>
      <c r="AF191" s="90" t="n"/>
      <c r="AG191" s="92" t="n"/>
      <c r="AL191" s="93" t="n"/>
      <c r="AM191" s="94" t="n"/>
      <c r="AN191" s="95" t="n"/>
      <c r="AO191" s="96" t="n"/>
      <c r="AV191" s="90" t="n"/>
      <c r="AW191" s="100" t="n"/>
      <c r="AX191" s="170" t="n"/>
      <c r="AY191" s="170" t="n"/>
      <c r="AZ191" s="170" t="n"/>
      <c r="BA191" s="170" t="n"/>
      <c r="BB191" s="170" t="n"/>
      <c r="BC191" s="171" t="n"/>
    </row>
    <row r="192" ht="15" customHeight="1" s="144">
      <c r="AB192" s="89" t="n"/>
      <c r="AC192" s="104" t="n"/>
      <c r="AD192" s="91" t="n"/>
      <c r="AE192" s="90" t="n"/>
      <c r="AF192" s="90" t="n"/>
      <c r="AG192" s="92" t="n"/>
      <c r="AL192" s="93" t="n"/>
      <c r="AM192" s="94" t="n"/>
      <c r="AN192" s="95" t="n"/>
      <c r="AO192" s="96" t="n"/>
      <c r="AV192" s="90" t="n"/>
      <c r="AW192" s="100" t="n"/>
      <c r="AX192" s="170" t="n"/>
      <c r="AY192" s="170" t="n"/>
      <c r="AZ192" s="170" t="n"/>
      <c r="BA192" s="170" t="n"/>
      <c r="BB192" s="170" t="n"/>
      <c r="BC192" s="171" t="n"/>
    </row>
    <row r="193" ht="15" customHeight="1" s="144">
      <c r="AB193" s="89" t="n"/>
      <c r="AC193" s="104" t="n"/>
      <c r="AD193" s="91" t="n"/>
      <c r="AE193" s="90" t="n"/>
      <c r="AF193" s="90" t="n"/>
      <c r="AG193" s="92" t="n"/>
      <c r="AL193" s="93" t="n"/>
      <c r="AM193" s="94" t="n"/>
      <c r="AN193" s="95" t="n"/>
      <c r="AO193" s="96" t="n"/>
      <c r="AV193" s="90" t="n"/>
      <c r="AW193" s="100" t="n"/>
      <c r="AX193" s="170" t="n"/>
      <c r="AY193" s="170" t="n"/>
      <c r="AZ193" s="170" t="n"/>
      <c r="BA193" s="170" t="n"/>
      <c r="BB193" s="170" t="n"/>
      <c r="BC193" s="171" t="n"/>
    </row>
    <row r="194" ht="15" customHeight="1" s="144">
      <c r="AB194" s="89" t="n"/>
      <c r="AC194" s="104" t="n"/>
      <c r="AD194" s="91" t="n"/>
      <c r="AE194" s="90" t="n"/>
      <c r="AF194" s="90" t="n"/>
      <c r="AG194" s="92" t="n"/>
      <c r="AL194" s="93" t="n"/>
      <c r="AM194" s="94" t="n"/>
      <c r="AN194" s="95" t="n"/>
      <c r="AO194" s="96" t="n"/>
      <c r="AV194" s="90" t="n"/>
      <c r="AW194" s="100" t="n"/>
      <c r="AX194" s="170" t="n"/>
      <c r="AY194" s="170" t="n"/>
      <c r="AZ194" s="170" t="n"/>
      <c r="BA194" s="170" t="n"/>
      <c r="BB194" s="170" t="n"/>
      <c r="BC194" s="171" t="n"/>
    </row>
    <row r="195" ht="15" customHeight="1" s="144">
      <c r="AB195" s="89" t="n"/>
      <c r="AC195" s="104" t="n"/>
      <c r="AD195" s="91" t="n"/>
      <c r="AE195" s="90" t="n"/>
      <c r="AF195" s="90" t="n"/>
      <c r="AG195" s="92" t="n"/>
      <c r="AL195" s="93" t="n"/>
      <c r="AM195" s="94" t="n"/>
      <c r="AN195" s="95" t="n"/>
      <c r="AO195" s="96" t="n"/>
      <c r="AV195" s="90" t="n"/>
      <c r="AW195" s="100" t="n"/>
      <c r="AX195" s="170" t="n"/>
      <c r="AY195" s="170" t="n"/>
      <c r="AZ195" s="170" t="n"/>
      <c r="BA195" s="170" t="n"/>
      <c r="BB195" s="170" t="n"/>
      <c r="BC195" s="171" t="n"/>
    </row>
    <row r="196" ht="15" customHeight="1" s="144">
      <c r="AB196" s="89" t="n"/>
      <c r="AC196" s="104" t="n"/>
      <c r="AD196" s="91" t="n"/>
      <c r="AE196" s="90" t="n"/>
      <c r="AF196" s="90" t="n"/>
      <c r="AG196" s="92" t="n"/>
      <c r="AL196" s="93" t="n"/>
      <c r="AM196" s="94" t="n"/>
      <c r="AN196" s="95" t="n"/>
      <c r="AO196" s="96" t="n"/>
      <c r="AV196" s="90" t="n"/>
      <c r="AW196" s="100" t="n"/>
      <c r="AX196" s="170" t="n"/>
      <c r="AY196" s="170" t="n"/>
      <c r="AZ196" s="170" t="n"/>
      <c r="BA196" s="170" t="n"/>
      <c r="BB196" s="170" t="n"/>
      <c r="BC196" s="171" t="n"/>
    </row>
    <row r="197" ht="15" customHeight="1" s="144">
      <c r="AB197" s="89" t="n"/>
      <c r="AC197" s="104" t="n"/>
      <c r="AD197" s="91" t="n"/>
      <c r="AE197" s="90" t="n"/>
      <c r="AF197" s="90" t="n"/>
      <c r="AG197" s="92" t="n"/>
      <c r="AL197" s="93" t="n"/>
      <c r="AM197" s="94" t="n"/>
      <c r="AN197" s="95" t="n"/>
      <c r="AO197" s="96" t="n"/>
      <c r="AV197" s="90" t="n"/>
      <c r="AW197" s="100" t="n"/>
      <c r="AX197" s="170" t="n"/>
      <c r="AY197" s="170" t="n"/>
      <c r="AZ197" s="170" t="n"/>
      <c r="BA197" s="170" t="n"/>
      <c r="BB197" s="170" t="n"/>
      <c r="BC197" s="171" t="n"/>
    </row>
    <row r="198" ht="15" customHeight="1" s="144">
      <c r="AB198" s="89" t="n"/>
      <c r="AC198" s="104" t="n"/>
      <c r="AD198" s="91" t="n"/>
      <c r="AE198" s="90" t="n"/>
      <c r="AF198" s="90" t="n"/>
      <c r="AG198" s="92" t="n"/>
      <c r="AL198" s="93" t="n"/>
      <c r="AM198" s="94" t="n"/>
      <c r="AN198" s="95" t="n"/>
      <c r="AO198" s="96" t="n"/>
      <c r="AV198" s="90" t="n"/>
      <c r="AW198" s="100" t="n"/>
      <c r="AX198" s="170" t="n"/>
      <c r="AY198" s="170" t="n"/>
      <c r="AZ198" s="170" t="n"/>
      <c r="BA198" s="170" t="n"/>
      <c r="BB198" s="170" t="n"/>
      <c r="BC198" s="171" t="n"/>
    </row>
    <row r="199" ht="15" customHeight="1" s="144">
      <c r="AB199" s="89" t="n"/>
      <c r="AC199" s="104" t="n"/>
      <c r="AD199" s="91" t="n"/>
      <c r="AE199" s="90" t="n"/>
      <c r="AF199" s="90" t="n"/>
      <c r="AG199" s="92" t="n"/>
      <c r="AL199" s="93" t="n"/>
      <c r="AM199" s="94" t="n"/>
      <c r="AN199" s="95" t="n"/>
      <c r="AO199" s="96" t="n"/>
      <c r="AV199" s="90" t="n"/>
      <c r="AW199" s="100" t="n"/>
      <c r="AX199" s="170" t="n"/>
      <c r="AY199" s="170" t="n"/>
      <c r="AZ199" s="170" t="n"/>
      <c r="BA199" s="170" t="n"/>
      <c r="BB199" s="170" t="n"/>
      <c r="BC199" s="171" t="n"/>
    </row>
    <row r="200" ht="15" customHeight="1" s="144">
      <c r="AB200" s="89" t="n"/>
      <c r="AC200" s="90" t="n"/>
      <c r="AD200" s="91" t="n"/>
      <c r="AE200" s="90" t="n"/>
      <c r="AF200" s="90" t="n"/>
      <c r="AG200" s="92" t="n"/>
      <c r="AL200" s="93" t="n"/>
      <c r="AM200" s="94" t="n"/>
      <c r="AN200" s="95" t="n"/>
      <c r="AO200" s="96" t="n"/>
      <c r="AV200" s="90" t="n"/>
      <c r="AW200" s="100" t="n"/>
      <c r="AX200" s="170" t="n"/>
      <c r="AY200" s="170" t="n"/>
      <c r="AZ200" s="170" t="n"/>
      <c r="BA200" s="170" t="n"/>
      <c r="BB200" s="170" t="n"/>
      <c r="BC200" s="171" t="n"/>
    </row>
    <row r="201" ht="15" customHeight="1" s="144">
      <c r="AB201" s="89" t="n"/>
      <c r="AC201" s="90" t="n"/>
      <c r="AD201" s="91" t="n"/>
      <c r="AE201" s="90" t="n"/>
      <c r="AF201" s="90" t="n"/>
      <c r="AG201" s="92" t="n"/>
      <c r="AL201" s="93" t="n"/>
      <c r="AM201" s="94" t="n"/>
      <c r="AN201" s="95" t="n"/>
      <c r="AO201" s="96" t="n"/>
      <c r="AV201" s="90" t="n"/>
      <c r="AW201" s="100" t="n"/>
      <c r="AX201" s="170" t="n"/>
      <c r="AY201" s="170" t="n"/>
      <c r="AZ201" s="170" t="n"/>
      <c r="BA201" s="170" t="n"/>
      <c r="BB201" s="170" t="n"/>
      <c r="BC201" s="171" t="n"/>
    </row>
    <row r="202" ht="15" customHeight="1" s="144">
      <c r="AB202" s="89" t="n"/>
      <c r="AC202" s="104" t="n"/>
      <c r="AD202" s="91" t="n"/>
      <c r="AE202" s="90" t="n"/>
      <c r="AF202" s="90" t="n"/>
      <c r="AG202" s="92" t="n"/>
      <c r="AL202" s="93" t="n"/>
      <c r="AM202" s="94" t="n"/>
      <c r="AN202" s="95" t="n"/>
      <c r="AO202" s="96" t="n"/>
      <c r="AV202" s="90" t="n"/>
      <c r="AW202" s="100" t="n"/>
      <c r="AX202" s="170" t="n"/>
      <c r="AY202" s="170" t="n"/>
      <c r="AZ202" s="170" t="n"/>
      <c r="BA202" s="170" t="n"/>
      <c r="BB202" s="170" t="n"/>
      <c r="BC202" s="171" t="n"/>
    </row>
    <row r="203" ht="15" customHeight="1" s="144">
      <c r="AB203" s="89" t="n"/>
      <c r="AC203" s="104" t="n"/>
      <c r="AD203" s="91" t="n"/>
      <c r="AE203" s="90" t="n"/>
      <c r="AF203" s="90" t="n"/>
      <c r="AG203" s="92" t="n"/>
      <c r="AL203" s="93" t="n"/>
      <c r="AM203" s="94" t="n"/>
      <c r="AN203" s="95" t="n"/>
      <c r="AO203" s="96" t="n"/>
      <c r="AV203" s="90" t="n"/>
      <c r="AW203" s="100" t="n"/>
      <c r="AX203" s="170" t="n"/>
      <c r="AY203" s="170" t="n"/>
      <c r="AZ203" s="170" t="n"/>
      <c r="BA203" s="170" t="n"/>
      <c r="BB203" s="170" t="n"/>
      <c r="BC203" s="171" t="n"/>
    </row>
    <row r="204" ht="15" customHeight="1" s="144">
      <c r="AB204" s="89" t="n"/>
      <c r="AC204" s="104" t="n"/>
      <c r="AD204" s="91" t="n"/>
      <c r="AE204" s="90" t="n"/>
      <c r="AF204" s="90" t="n"/>
      <c r="AG204" s="92" t="n"/>
      <c r="AL204" s="93" t="n"/>
      <c r="AM204" s="94" t="n"/>
      <c r="AN204" s="95" t="n"/>
      <c r="AO204" s="96" t="n"/>
      <c r="AV204" s="90" t="n"/>
      <c r="AW204" s="100" t="n"/>
      <c r="AX204" s="170" t="n"/>
      <c r="AY204" s="170" t="n"/>
      <c r="AZ204" s="170" t="n"/>
      <c r="BA204" s="170" t="n"/>
      <c r="BB204" s="170" t="n"/>
      <c r="BC204" s="171" t="n"/>
    </row>
    <row r="205" ht="15" customHeight="1" s="144">
      <c r="AB205" s="89" t="n"/>
      <c r="AC205" s="104" t="n"/>
      <c r="AD205" s="91" t="n"/>
      <c r="AE205" s="90" t="n"/>
      <c r="AF205" s="90" t="n"/>
      <c r="AG205" s="92" t="n"/>
      <c r="AL205" s="93" t="n"/>
      <c r="AM205" s="94" t="n"/>
      <c r="AN205" s="95" t="n"/>
      <c r="AO205" s="96" t="n"/>
      <c r="AV205" s="90" t="n"/>
      <c r="AW205" s="100" t="n"/>
      <c r="AX205" s="170" t="n"/>
      <c r="AY205" s="170" t="n"/>
      <c r="AZ205" s="170" t="n"/>
      <c r="BA205" s="170" t="n"/>
      <c r="BB205" s="170" t="n"/>
      <c r="BC205" s="171" t="n"/>
    </row>
    <row r="206" ht="15" customHeight="1" s="144">
      <c r="AB206" s="89" t="n"/>
      <c r="AC206" s="104" t="n"/>
      <c r="AD206" s="91" t="n"/>
      <c r="AE206" s="90" t="n"/>
      <c r="AF206" s="90" t="n"/>
      <c r="AG206" s="92" t="n"/>
      <c r="AL206" s="93" t="n"/>
      <c r="AM206" s="94" t="n"/>
      <c r="AN206" s="95" t="n"/>
      <c r="AO206" s="96" t="n"/>
      <c r="AV206" s="90" t="n"/>
      <c r="AW206" s="100" t="n"/>
      <c r="AX206" s="170" t="n"/>
      <c r="AY206" s="170" t="n"/>
      <c r="AZ206" s="170" t="n"/>
      <c r="BA206" s="170" t="n"/>
      <c r="BB206" s="170" t="n"/>
      <c r="BC206" s="171" t="n"/>
    </row>
    <row r="207" ht="15" customHeight="1" s="144">
      <c r="AB207" s="89" t="n"/>
      <c r="AC207" s="104" t="n"/>
      <c r="AD207" s="91" t="n"/>
      <c r="AE207" s="90" t="n"/>
      <c r="AF207" s="90" t="n"/>
      <c r="AG207" s="92" t="n"/>
      <c r="AL207" s="93" t="n"/>
      <c r="AM207" s="94" t="n"/>
      <c r="AN207" s="95" t="n"/>
      <c r="AO207" s="96" t="n"/>
      <c r="AV207" s="90" t="n"/>
      <c r="AW207" s="100" t="n"/>
      <c r="AX207" s="170" t="n"/>
      <c r="AY207" s="170" t="n"/>
      <c r="AZ207" s="170" t="n"/>
      <c r="BA207" s="170" t="n"/>
      <c r="BB207" s="170" t="n"/>
      <c r="BC207" s="171" t="n"/>
    </row>
    <row r="208" ht="15" customHeight="1" s="144">
      <c r="AB208" s="89" t="n"/>
      <c r="AC208" s="104" t="n"/>
      <c r="AD208" s="91" t="n"/>
      <c r="AE208" s="90" t="n"/>
      <c r="AF208" s="90" t="n"/>
      <c r="AG208" s="92" t="n"/>
      <c r="AL208" s="93" t="n"/>
      <c r="AM208" s="94" t="n"/>
      <c r="AN208" s="95" t="n"/>
      <c r="AO208" s="96" t="n"/>
      <c r="AV208" s="90" t="n"/>
      <c r="AW208" s="100" t="n"/>
      <c r="AX208" s="170" t="n"/>
      <c r="AY208" s="170" t="n"/>
      <c r="AZ208" s="170" t="n"/>
      <c r="BA208" s="170" t="n"/>
      <c r="BB208" s="170" t="n"/>
      <c r="BC208" s="171" t="n"/>
    </row>
    <row r="209" ht="15" customHeight="1" s="144">
      <c r="AB209" s="89" t="n"/>
      <c r="AC209" s="104" t="n"/>
      <c r="AD209" s="91" t="n"/>
      <c r="AE209" s="90" t="n"/>
      <c r="AF209" s="90" t="n"/>
      <c r="AG209" s="92" t="n"/>
      <c r="AL209" s="93" t="n"/>
      <c r="AM209" s="94" t="n"/>
      <c r="AN209" s="95" t="n"/>
      <c r="AO209" s="96" t="n"/>
      <c r="AV209" s="90" t="n"/>
      <c r="AW209" s="100" t="n"/>
      <c r="AX209" s="170" t="n"/>
      <c r="AY209" s="170" t="n"/>
      <c r="AZ209" s="170" t="n"/>
      <c r="BA209" s="170" t="n"/>
      <c r="BB209" s="170" t="n"/>
      <c r="BC209" s="171" t="n"/>
    </row>
    <row r="210" ht="15" customHeight="1" s="144">
      <c r="AB210" s="89" t="n"/>
      <c r="AC210" s="104" t="n"/>
      <c r="AD210" s="91" t="n"/>
      <c r="AE210" s="90" t="n"/>
      <c r="AF210" s="90" t="n"/>
      <c r="AG210" s="92" t="n"/>
      <c r="AL210" s="93" t="n"/>
      <c r="AM210" s="94" t="n"/>
      <c r="AN210" s="95" t="n"/>
      <c r="AO210" s="96" t="n"/>
      <c r="AV210" s="90" t="n"/>
      <c r="AW210" s="100" t="n"/>
      <c r="AX210" s="170" t="n"/>
      <c r="AY210" s="170" t="n"/>
      <c r="AZ210" s="170" t="n"/>
      <c r="BA210" s="170" t="n"/>
      <c r="BB210" s="170" t="n"/>
      <c r="BC210" s="171" t="n"/>
    </row>
    <row r="211" ht="15" customHeight="1" s="144">
      <c r="AB211" s="89" t="n"/>
      <c r="AC211" s="104" t="n"/>
      <c r="AD211" s="91" t="n"/>
      <c r="AE211" s="90" t="n"/>
      <c r="AF211" s="90" t="n"/>
      <c r="AG211" s="92" t="n"/>
      <c r="AL211" s="93" t="n"/>
      <c r="AM211" s="94" t="n"/>
      <c r="AN211" s="95" t="n"/>
      <c r="AO211" s="96" t="n"/>
      <c r="AV211" s="90" t="n"/>
      <c r="AW211" s="100" t="n"/>
      <c r="AX211" s="170" t="n"/>
      <c r="AY211" s="170" t="n"/>
      <c r="AZ211" s="170" t="n"/>
      <c r="BA211" s="170" t="n"/>
      <c r="BB211" s="170" t="n"/>
      <c r="BC211" s="171" t="n"/>
    </row>
    <row r="212" ht="15" customHeight="1" s="144">
      <c r="AB212" s="89" t="n"/>
      <c r="AC212" s="104" t="n"/>
      <c r="AD212" s="91" t="n"/>
      <c r="AE212" s="90" t="n"/>
      <c r="AF212" s="90" t="n"/>
      <c r="AG212" s="92" t="n"/>
      <c r="AL212" s="93" t="n"/>
      <c r="AM212" s="94" t="n"/>
      <c r="AN212" s="95" t="n"/>
      <c r="AO212" s="96" t="n"/>
      <c r="AV212" s="90" t="n"/>
      <c r="AW212" s="100" t="n"/>
      <c r="AX212" s="170" t="n"/>
      <c r="AY212" s="170" t="n"/>
      <c r="AZ212" s="170" t="n"/>
      <c r="BA212" s="170" t="n"/>
      <c r="BB212" s="170" t="n"/>
      <c r="BC212" s="171" t="n"/>
    </row>
    <row r="213" ht="15" customHeight="1" s="144">
      <c r="AB213" s="89" t="n"/>
      <c r="AC213" s="104" t="n"/>
      <c r="AD213" s="91" t="n"/>
      <c r="AE213" s="90" t="n"/>
      <c r="AF213" s="90" t="n"/>
      <c r="AG213" s="92" t="n"/>
      <c r="AL213" s="93" t="n"/>
      <c r="AM213" s="94" t="n"/>
      <c r="AN213" s="95" t="n"/>
      <c r="AO213" s="96" t="n"/>
      <c r="AV213" s="90" t="n"/>
      <c r="AW213" s="100" t="n"/>
      <c r="AX213" s="170" t="n"/>
      <c r="AY213" s="170" t="n"/>
      <c r="AZ213" s="170" t="n"/>
      <c r="BA213" s="170" t="n"/>
      <c r="BB213" s="170" t="n"/>
      <c r="BC213" s="171" t="n"/>
    </row>
    <row r="214" ht="15" customHeight="1" s="144">
      <c r="AB214" s="89" t="n"/>
      <c r="AC214" s="104" t="n"/>
      <c r="AD214" s="91" t="n"/>
      <c r="AE214" s="90" t="n"/>
      <c r="AF214" s="90" t="n"/>
      <c r="AG214" s="92" t="n"/>
      <c r="AL214" s="93" t="n"/>
      <c r="AM214" s="94" t="n"/>
      <c r="AN214" s="95" t="n"/>
      <c r="AO214" s="96" t="n"/>
      <c r="AV214" s="90" t="n"/>
      <c r="AW214" s="100" t="n"/>
      <c r="AX214" s="170" t="n"/>
      <c r="AY214" s="170" t="n"/>
      <c r="AZ214" s="170" t="n"/>
      <c r="BA214" s="170" t="n"/>
      <c r="BB214" s="170" t="n"/>
      <c r="BC214" s="171" t="n"/>
    </row>
    <row r="215" ht="15" customHeight="1" s="144">
      <c r="AB215" s="89" t="n"/>
      <c r="AC215" s="104" t="n"/>
      <c r="AD215" s="91" t="n"/>
      <c r="AE215" s="90" t="n"/>
      <c r="AF215" s="90" t="n"/>
      <c r="AG215" s="92" t="n"/>
      <c r="AL215" s="93" t="n"/>
      <c r="AM215" s="94" t="n"/>
      <c r="AN215" s="95" t="n"/>
      <c r="AO215" s="96" t="n"/>
      <c r="AV215" s="90" t="n"/>
      <c r="AW215" s="100" t="n"/>
      <c r="AX215" s="170" t="n"/>
      <c r="AY215" s="170" t="n"/>
      <c r="AZ215" s="170" t="n"/>
      <c r="BA215" s="170" t="n"/>
      <c r="BB215" s="170" t="n"/>
      <c r="BC215" s="171" t="n"/>
    </row>
    <row r="216" ht="15" customHeight="1" s="144">
      <c r="AB216" s="89" t="n"/>
      <c r="AC216" s="104" t="n"/>
      <c r="AD216" s="91" t="n"/>
      <c r="AE216" s="90" t="n"/>
      <c r="AF216" s="90" t="n"/>
      <c r="AG216" s="92" t="n"/>
      <c r="AL216" s="93" t="n"/>
      <c r="AM216" s="94" t="n"/>
      <c r="AN216" s="95" t="n"/>
      <c r="AO216" s="96" t="n"/>
      <c r="AV216" s="90" t="n"/>
      <c r="AW216" s="100" t="n"/>
      <c r="AX216" s="170" t="n"/>
      <c r="AY216" s="170" t="n"/>
      <c r="AZ216" s="170" t="n"/>
      <c r="BA216" s="170" t="n"/>
      <c r="BB216" s="170" t="n"/>
      <c r="BC216" s="171" t="n"/>
    </row>
    <row r="217" ht="15" customHeight="1" s="144">
      <c r="AB217" s="89" t="n"/>
      <c r="AC217" s="104" t="n"/>
      <c r="AD217" s="91" t="n"/>
      <c r="AE217" s="90" t="n"/>
      <c r="AF217" s="90" t="n"/>
      <c r="AG217" s="92" t="n"/>
      <c r="AL217" s="93" t="n"/>
      <c r="AM217" s="94" t="n"/>
      <c r="AN217" s="95" t="n"/>
      <c r="AO217" s="96" t="n"/>
      <c r="AV217" s="90" t="n"/>
      <c r="AW217" s="100" t="n"/>
      <c r="AX217" s="170" t="n"/>
      <c r="AY217" s="170" t="n"/>
      <c r="AZ217" s="170" t="n"/>
      <c r="BA217" s="170" t="n"/>
      <c r="BB217" s="170" t="n"/>
      <c r="BC217" s="171" t="n"/>
    </row>
    <row r="218" ht="15" customHeight="1" s="144">
      <c r="AB218" s="89" t="n"/>
      <c r="AC218" s="90" t="n"/>
      <c r="AD218" s="91" t="n"/>
      <c r="AE218" s="90" t="n"/>
      <c r="AF218" s="90" t="n"/>
      <c r="AG218" s="92" t="n"/>
      <c r="AL218" s="93" t="n"/>
      <c r="AM218" s="94" t="n"/>
      <c r="AN218" s="95" t="n"/>
      <c r="AO218" s="96" t="n"/>
      <c r="AV218" s="90" t="n"/>
      <c r="AW218" s="100" t="n"/>
      <c r="AX218" s="170" t="n"/>
      <c r="AY218" s="170" t="n"/>
      <c r="AZ218" s="170" t="n"/>
      <c r="BA218" s="170" t="n"/>
      <c r="BB218" s="170" t="n"/>
      <c r="BC218" s="171" t="n"/>
    </row>
    <row r="219" ht="15" customHeight="1" s="144">
      <c r="AB219" s="89" t="n"/>
      <c r="AC219" s="90" t="n"/>
      <c r="AD219" s="91" t="n"/>
      <c r="AE219" s="90" t="n"/>
      <c r="AF219" s="90" t="n"/>
      <c r="AG219" s="92" t="n"/>
      <c r="AL219" s="93" t="n"/>
      <c r="AM219" s="94" t="n"/>
      <c r="AN219" s="95" t="n"/>
      <c r="AO219" s="96" t="n"/>
      <c r="AV219" s="90" t="n"/>
      <c r="AW219" s="100" t="n"/>
      <c r="AX219" s="170" t="n"/>
      <c r="AY219" s="170" t="n"/>
      <c r="AZ219" s="170" t="n"/>
      <c r="BA219" s="170" t="n"/>
      <c r="BB219" s="170" t="n"/>
      <c r="BC219" s="171" t="n"/>
    </row>
    <row r="220" ht="15" customHeight="1" s="144">
      <c r="AB220" s="89" t="n"/>
      <c r="AC220" s="104" t="n"/>
      <c r="AD220" s="91" t="n"/>
      <c r="AE220" s="90" t="n"/>
      <c r="AF220" s="90" t="n"/>
      <c r="AG220" s="92" t="n"/>
      <c r="AL220" s="93" t="n"/>
      <c r="AM220" s="94" t="n"/>
      <c r="AN220" s="95" t="n"/>
      <c r="AO220" s="96" t="n"/>
      <c r="AV220" s="90" t="n"/>
      <c r="AW220" s="100" t="n"/>
      <c r="AX220" s="170" t="n"/>
      <c r="AY220" s="170" t="n"/>
      <c r="AZ220" s="170" t="n"/>
      <c r="BA220" s="170" t="n"/>
      <c r="BB220" s="170" t="n"/>
      <c r="BC220" s="171" t="n"/>
    </row>
    <row r="221" ht="15" customHeight="1" s="144">
      <c r="AB221" s="89" t="n"/>
      <c r="AC221" s="104" t="n"/>
      <c r="AD221" s="91" t="n"/>
      <c r="AE221" s="90" t="n"/>
      <c r="AF221" s="90" t="n"/>
      <c r="AG221" s="92" t="n"/>
      <c r="AL221" s="93" t="n"/>
      <c r="AM221" s="94" t="n"/>
      <c r="AN221" s="95" t="n"/>
      <c r="AO221" s="96" t="n"/>
      <c r="AV221" s="90" t="n"/>
      <c r="AW221" s="100" t="n"/>
      <c r="AX221" s="170" t="n"/>
      <c r="AY221" s="170" t="n"/>
      <c r="AZ221" s="170" t="n"/>
      <c r="BA221" s="170" t="n"/>
      <c r="BB221" s="170" t="n"/>
      <c r="BC221" s="171" t="n"/>
    </row>
    <row r="222" ht="15" customHeight="1" s="144">
      <c r="AB222" s="89" t="n"/>
      <c r="AC222" s="104" t="n"/>
      <c r="AD222" s="91" t="n"/>
      <c r="AE222" s="90" t="n"/>
      <c r="AF222" s="90" t="n"/>
      <c r="AG222" s="92" t="n"/>
      <c r="AL222" s="93" t="n"/>
      <c r="AM222" s="94" t="n"/>
      <c r="AN222" s="95" t="n"/>
      <c r="AO222" s="96" t="n"/>
      <c r="AV222" s="90" t="n"/>
      <c r="AW222" s="100" t="n"/>
      <c r="AX222" s="170" t="n"/>
      <c r="AY222" s="170" t="n"/>
      <c r="AZ222" s="170" t="n"/>
      <c r="BA222" s="170" t="n"/>
      <c r="BB222" s="170" t="n"/>
      <c r="BC222" s="171" t="n"/>
    </row>
    <row r="223" ht="15" customHeight="1" s="144">
      <c r="AB223" s="89" t="n"/>
      <c r="AC223" s="104" t="n"/>
      <c r="AD223" s="91" t="n"/>
      <c r="AE223" s="90" t="n"/>
      <c r="AF223" s="90" t="n"/>
      <c r="AG223" s="92" t="n"/>
      <c r="AL223" s="93" t="n"/>
      <c r="AM223" s="94" t="n"/>
      <c r="AN223" s="95" t="n"/>
      <c r="AO223" s="96" t="n"/>
      <c r="AV223" s="90" t="n"/>
      <c r="AW223" s="100" t="n"/>
      <c r="AX223" s="170" t="n"/>
      <c r="AY223" s="170" t="n"/>
      <c r="AZ223" s="170" t="n"/>
      <c r="BA223" s="170" t="n"/>
      <c r="BB223" s="170" t="n"/>
      <c r="BC223" s="171" t="n"/>
    </row>
    <row r="224" ht="15" customHeight="1" s="144">
      <c r="AB224" s="89" t="n"/>
      <c r="AC224" s="104" t="n"/>
      <c r="AD224" s="91" t="n"/>
      <c r="AE224" s="90" t="n"/>
      <c r="AF224" s="90" t="n"/>
      <c r="AG224" s="92" t="n"/>
      <c r="AL224" s="93" t="n"/>
      <c r="AM224" s="94" t="n"/>
      <c r="AN224" s="95" t="n"/>
      <c r="AO224" s="96" t="n"/>
      <c r="AV224" s="90" t="n"/>
      <c r="AW224" s="100" t="n"/>
      <c r="AX224" s="170" t="n"/>
      <c r="AY224" s="170" t="n"/>
      <c r="AZ224" s="170" t="n"/>
      <c r="BA224" s="170" t="n"/>
      <c r="BB224" s="170" t="n"/>
      <c r="BC224" s="171" t="n"/>
    </row>
    <row r="225" ht="15" customHeight="1" s="144">
      <c r="AB225" s="89" t="n"/>
      <c r="AC225" s="104" t="n"/>
      <c r="AD225" s="91" t="n"/>
      <c r="AE225" s="90" t="n"/>
      <c r="AF225" s="90" t="n"/>
      <c r="AG225" s="92" t="n"/>
      <c r="AL225" s="93" t="n"/>
      <c r="AM225" s="94" t="n"/>
      <c r="AN225" s="95" t="n"/>
      <c r="AO225" s="96" t="n"/>
      <c r="AV225" s="90" t="n"/>
      <c r="AW225" s="100" t="n"/>
      <c r="AX225" s="170" t="n"/>
      <c r="AY225" s="170" t="n"/>
      <c r="AZ225" s="170" t="n"/>
      <c r="BA225" s="170" t="n"/>
      <c r="BB225" s="170" t="n"/>
      <c r="BC225" s="171" t="n"/>
    </row>
    <row r="226" ht="15" customHeight="1" s="144">
      <c r="AB226" s="89" t="n"/>
      <c r="AC226" s="104" t="n"/>
      <c r="AD226" s="91" t="n"/>
      <c r="AE226" s="90" t="n"/>
      <c r="AF226" s="90" t="n"/>
      <c r="AG226" s="92" t="n"/>
      <c r="AL226" s="93" t="n"/>
      <c r="AM226" s="94" t="n"/>
      <c r="AN226" s="95" t="n"/>
      <c r="AO226" s="96" t="n"/>
      <c r="AV226" s="90" t="n"/>
      <c r="AW226" s="100" t="n"/>
      <c r="AX226" s="170" t="n"/>
      <c r="AY226" s="170" t="n"/>
      <c r="AZ226" s="170" t="n"/>
      <c r="BA226" s="170" t="n"/>
      <c r="BB226" s="170" t="n"/>
      <c r="BC226" s="171" t="n"/>
    </row>
    <row r="227" ht="15" customHeight="1" s="144">
      <c r="AB227" s="89" t="n"/>
      <c r="AC227" s="104" t="n"/>
      <c r="AD227" s="91" t="n"/>
      <c r="AE227" s="90" t="n"/>
      <c r="AF227" s="90" t="n"/>
      <c r="AG227" s="92" t="n"/>
      <c r="AL227" s="93" t="n"/>
      <c r="AM227" s="94" t="n"/>
      <c r="AN227" s="95" t="n"/>
      <c r="AO227" s="96" t="n"/>
      <c r="AV227" s="90" t="n"/>
      <c r="AW227" s="100" t="n"/>
      <c r="AX227" s="170" t="n"/>
      <c r="AY227" s="170" t="n"/>
      <c r="AZ227" s="170" t="n"/>
      <c r="BA227" s="170" t="n"/>
      <c r="BB227" s="170" t="n"/>
      <c r="BC227" s="171" t="n"/>
    </row>
    <row r="228" ht="15" customHeight="1" s="144">
      <c r="AB228" s="89" t="n"/>
      <c r="AC228" s="104" t="n"/>
      <c r="AD228" s="91" t="n"/>
      <c r="AE228" s="90" t="n"/>
      <c r="AF228" s="90" t="n"/>
      <c r="AG228" s="92" t="n"/>
      <c r="AL228" s="93" t="n"/>
      <c r="AM228" s="94" t="n"/>
      <c r="AN228" s="95" t="n"/>
      <c r="AO228" s="96" t="n"/>
      <c r="AV228" s="90" t="n"/>
      <c r="AW228" s="100" t="n"/>
      <c r="AX228" s="170" t="n"/>
      <c r="AY228" s="170" t="n"/>
      <c r="AZ228" s="170" t="n"/>
      <c r="BA228" s="170" t="n"/>
      <c r="BB228" s="170" t="n"/>
      <c r="BC228" s="171" t="n"/>
    </row>
    <row r="229" ht="15" customHeight="1" s="144">
      <c r="AB229" s="89" t="n"/>
      <c r="AC229" s="104" t="n"/>
      <c r="AD229" s="91" t="n"/>
      <c r="AE229" s="90" t="n"/>
      <c r="AF229" s="90" t="n"/>
      <c r="AG229" s="92" t="n"/>
      <c r="AL229" s="93" t="n"/>
      <c r="AM229" s="94" t="n"/>
      <c r="AN229" s="95" t="n"/>
      <c r="AO229" s="96" t="n"/>
      <c r="AV229" s="90" t="n"/>
      <c r="AW229" s="100" t="n"/>
      <c r="AX229" s="170" t="n"/>
      <c r="AY229" s="170" t="n"/>
      <c r="AZ229" s="170" t="n"/>
      <c r="BA229" s="170" t="n"/>
      <c r="BB229" s="170" t="n"/>
      <c r="BC229" s="171" t="n"/>
    </row>
    <row r="230" ht="15" customHeight="1" s="144">
      <c r="AB230" s="89" t="n"/>
      <c r="AC230" s="104" t="n"/>
      <c r="AD230" s="91" t="n"/>
      <c r="AE230" s="90" t="n"/>
      <c r="AF230" s="90" t="n"/>
      <c r="AG230" s="92" t="n"/>
      <c r="AL230" s="93" t="n"/>
      <c r="AM230" s="94" t="n"/>
      <c r="AN230" s="95" t="n"/>
      <c r="AO230" s="96" t="n"/>
      <c r="AV230" s="90" t="n"/>
      <c r="AW230" s="100" t="n"/>
      <c r="AX230" s="170" t="n"/>
      <c r="AY230" s="170" t="n"/>
      <c r="AZ230" s="170" t="n"/>
      <c r="BA230" s="170" t="n"/>
      <c r="BB230" s="170" t="n"/>
      <c r="BC230" s="171" t="n"/>
    </row>
    <row r="231" ht="15" customHeight="1" s="144">
      <c r="AB231" s="89" t="n"/>
      <c r="AC231" s="104" t="n"/>
      <c r="AD231" s="91" t="n"/>
      <c r="AE231" s="90" t="n"/>
      <c r="AF231" s="90" t="n"/>
      <c r="AG231" s="92" t="n"/>
      <c r="AL231" s="93" t="n"/>
      <c r="AM231" s="94" t="n"/>
      <c r="AN231" s="95" t="n"/>
      <c r="AO231" s="96" t="n"/>
      <c r="AV231" s="90" t="n"/>
      <c r="AW231" s="100" t="n"/>
      <c r="AX231" s="170" t="n"/>
      <c r="AY231" s="170" t="n"/>
      <c r="AZ231" s="170" t="n"/>
      <c r="BA231" s="170" t="n"/>
      <c r="BB231" s="170" t="n"/>
      <c r="BC231" s="171" t="n"/>
    </row>
    <row r="232" ht="15" customHeight="1" s="144">
      <c r="AB232" s="89" t="n"/>
      <c r="AC232" s="104" t="n"/>
      <c r="AD232" s="91" t="n"/>
      <c r="AE232" s="90" t="n"/>
      <c r="AF232" s="90" t="n"/>
      <c r="AG232" s="92" t="n"/>
      <c r="AL232" s="93" t="n"/>
      <c r="AM232" s="94" t="n"/>
      <c r="AN232" s="95" t="n"/>
      <c r="AO232" s="96" t="n"/>
      <c r="AV232" s="90" t="n"/>
      <c r="AW232" s="100" t="n"/>
      <c r="AX232" s="170" t="n"/>
      <c r="AY232" s="170" t="n"/>
      <c r="AZ232" s="170" t="n"/>
      <c r="BA232" s="170" t="n"/>
      <c r="BB232" s="170" t="n"/>
      <c r="BC232" s="171" t="n"/>
    </row>
    <row r="233" ht="15" customHeight="1" s="144">
      <c r="AB233" s="89" t="n"/>
      <c r="AC233" s="104" t="n"/>
      <c r="AD233" s="91" t="n"/>
      <c r="AE233" s="90" t="n"/>
      <c r="AF233" s="90" t="n"/>
      <c r="AG233" s="92" t="n"/>
      <c r="AL233" s="93" t="n"/>
      <c r="AM233" s="94" t="n"/>
      <c r="AN233" s="95" t="n"/>
      <c r="AO233" s="96" t="n"/>
      <c r="AV233" s="90" t="n"/>
      <c r="AW233" s="100" t="n"/>
      <c r="AX233" s="170" t="n"/>
      <c r="AY233" s="170" t="n"/>
      <c r="AZ233" s="170" t="n"/>
      <c r="BA233" s="170" t="n"/>
      <c r="BB233" s="170" t="n"/>
      <c r="BC233" s="171" t="n"/>
    </row>
    <row r="234" ht="15" customHeight="1" s="144">
      <c r="AB234" s="89" t="n"/>
      <c r="AC234" s="104" t="n"/>
      <c r="AD234" s="91" t="n"/>
      <c r="AE234" s="90" t="n"/>
      <c r="AF234" s="90" t="n"/>
      <c r="AG234" s="92" t="n"/>
      <c r="AL234" s="93" t="n"/>
      <c r="AM234" s="94" t="n"/>
      <c r="AN234" s="95" t="n"/>
      <c r="AO234" s="96" t="n"/>
      <c r="AV234" s="90" t="n"/>
      <c r="AW234" s="100" t="n"/>
      <c r="AX234" s="170" t="n"/>
      <c r="AY234" s="170" t="n"/>
      <c r="AZ234" s="170" t="n"/>
      <c r="BA234" s="170" t="n"/>
      <c r="BB234" s="170" t="n"/>
      <c r="BC234" s="171" t="n"/>
    </row>
    <row r="235" ht="15" customHeight="1" s="144">
      <c r="AB235" s="89" t="n"/>
      <c r="AC235" s="104" t="n"/>
      <c r="AD235" s="91" t="n"/>
      <c r="AE235" s="90" t="n"/>
      <c r="AF235" s="90" t="n"/>
      <c r="AG235" s="92" t="n"/>
      <c r="AL235" s="93" t="n"/>
      <c r="AM235" s="94" t="n"/>
      <c r="AN235" s="95" t="n"/>
      <c r="AO235" s="96" t="n"/>
      <c r="AV235" s="90" t="n"/>
      <c r="AW235" s="100" t="n"/>
      <c r="AX235" s="170" t="n"/>
      <c r="AY235" s="170" t="n"/>
      <c r="AZ235" s="170" t="n"/>
      <c r="BA235" s="170" t="n"/>
      <c r="BB235" s="170" t="n"/>
      <c r="BC235" s="171" t="n"/>
    </row>
    <row r="236" ht="15" customHeight="1" s="144">
      <c r="AB236" s="89" t="n"/>
      <c r="AC236" s="104" t="n"/>
      <c r="AD236" s="91" t="n"/>
      <c r="AE236" s="90" t="n"/>
      <c r="AF236" s="90" t="n"/>
      <c r="AG236" s="92" t="n"/>
      <c r="AL236" s="93" t="n"/>
      <c r="AM236" s="94" t="n"/>
      <c r="AN236" s="95" t="n"/>
      <c r="AO236" s="96" t="n"/>
      <c r="AV236" s="90" t="n"/>
      <c r="AW236" s="100" t="n"/>
      <c r="AX236" s="170" t="n"/>
      <c r="AY236" s="170" t="n"/>
      <c r="AZ236" s="170" t="n"/>
      <c r="BA236" s="170" t="n"/>
      <c r="BB236" s="170" t="n"/>
      <c r="BC236" s="171" t="n"/>
    </row>
    <row r="237" ht="15" customHeight="1" s="144">
      <c r="AB237" s="89" t="n"/>
      <c r="AC237" s="104" t="n"/>
      <c r="AD237" s="91" t="n"/>
      <c r="AE237" s="90" t="n"/>
      <c r="AF237" s="90" t="n"/>
      <c r="AG237" s="92" t="n"/>
      <c r="AL237" s="93" t="n"/>
      <c r="AM237" s="94" t="n"/>
      <c r="AN237" s="95" t="n"/>
      <c r="AO237" s="96" t="n"/>
      <c r="AV237" s="90" t="n"/>
      <c r="AW237" s="100" t="n"/>
      <c r="AX237" s="170" t="n"/>
      <c r="AY237" s="170" t="n"/>
      <c r="AZ237" s="170" t="n"/>
      <c r="BA237" s="170" t="n"/>
      <c r="BB237" s="170" t="n"/>
      <c r="BC237" s="171" t="n"/>
    </row>
    <row r="238" ht="15" customHeight="1" s="144">
      <c r="AB238" s="89" t="n"/>
      <c r="AC238" s="104" t="n"/>
      <c r="AD238" s="91" t="n"/>
      <c r="AE238" s="90" t="n"/>
      <c r="AF238" s="90" t="n"/>
      <c r="AG238" s="92" t="n"/>
      <c r="AL238" s="93" t="n"/>
      <c r="AM238" s="94" t="n"/>
      <c r="AN238" s="95" t="n"/>
      <c r="AO238" s="96" t="n"/>
      <c r="AV238" s="90" t="n"/>
      <c r="AW238" s="100" t="n"/>
      <c r="AX238" s="170" t="n"/>
      <c r="AY238" s="170" t="n"/>
      <c r="AZ238" s="170" t="n"/>
      <c r="BA238" s="170" t="n"/>
      <c r="BB238" s="170" t="n"/>
      <c r="BC238" s="171" t="n"/>
    </row>
    <row r="239" ht="15" customHeight="1" s="144">
      <c r="AB239" s="89" t="n"/>
      <c r="AC239" s="104" t="n"/>
      <c r="AD239" s="91" t="n"/>
      <c r="AE239" s="90" t="n"/>
      <c r="AF239" s="90" t="n"/>
      <c r="AG239" s="92" t="n"/>
      <c r="AL239" s="93" t="n"/>
      <c r="AM239" s="94" t="n"/>
      <c r="AN239" s="95" t="n"/>
      <c r="AO239" s="96" t="n"/>
      <c r="AV239" s="90" t="n"/>
      <c r="AW239" s="100" t="n"/>
      <c r="AX239" s="170" t="n"/>
      <c r="AY239" s="170" t="n"/>
      <c r="AZ239" s="170" t="n"/>
      <c r="BA239" s="170" t="n"/>
      <c r="BB239" s="170" t="n"/>
      <c r="BC239" s="171" t="n"/>
    </row>
    <row r="240" ht="15" customHeight="1" s="144">
      <c r="AB240" s="89" t="n"/>
      <c r="AC240" s="104" t="n"/>
      <c r="AD240" s="91" t="n"/>
      <c r="AE240" s="90" t="n"/>
      <c r="AF240" s="90" t="n"/>
      <c r="AG240" s="92" t="n"/>
      <c r="AL240" s="93" t="n"/>
      <c r="AM240" s="94" t="n"/>
      <c r="AN240" s="95" t="n"/>
      <c r="AO240" s="96" t="n"/>
      <c r="AV240" s="90" t="n"/>
      <c r="AW240" s="100" t="n"/>
      <c r="AX240" s="170" t="n"/>
      <c r="AY240" s="170" t="n"/>
      <c r="AZ240" s="170" t="n"/>
      <c r="BA240" s="170" t="n"/>
      <c r="BB240" s="170" t="n"/>
      <c r="BC240" s="171" t="n"/>
    </row>
    <row r="241" ht="15" customHeight="1" s="144">
      <c r="AB241" s="89" t="n"/>
      <c r="AC241" s="104" t="n"/>
      <c r="AD241" s="91" t="n"/>
      <c r="AE241" s="90" t="n"/>
      <c r="AF241" s="90" t="n"/>
      <c r="AG241" s="92" t="n"/>
      <c r="AL241" s="93" t="n"/>
      <c r="AM241" s="94" t="n"/>
      <c r="AN241" s="95" t="n"/>
      <c r="AO241" s="96" t="n"/>
      <c r="AV241" s="90" t="n"/>
      <c r="AW241" s="100" t="n"/>
      <c r="AX241" s="170" t="n"/>
      <c r="AY241" s="170" t="n"/>
      <c r="AZ241" s="170" t="n"/>
      <c r="BA241" s="170" t="n"/>
      <c r="BB241" s="170" t="n"/>
      <c r="BC241" s="171" t="n"/>
    </row>
    <row r="242" ht="15" customHeight="1" s="144">
      <c r="AB242" s="89" t="n"/>
      <c r="AC242" s="104" t="n"/>
      <c r="AD242" s="91" t="n"/>
      <c r="AE242" s="90" t="n"/>
      <c r="AF242" s="90" t="n"/>
      <c r="AG242" s="92" t="n"/>
      <c r="AL242" s="93" t="n"/>
      <c r="AM242" s="94" t="n"/>
      <c r="AN242" s="95" t="n"/>
      <c r="AO242" s="96" t="n"/>
      <c r="AV242" s="90" t="n"/>
      <c r="AW242" s="100" t="n"/>
      <c r="AX242" s="170" t="n"/>
      <c r="AY242" s="170" t="n"/>
      <c r="AZ242" s="170" t="n"/>
      <c r="BA242" s="170" t="n"/>
      <c r="BB242" s="170" t="n"/>
      <c r="BC242" s="171" t="n"/>
    </row>
    <row r="243" ht="15" customHeight="1" s="144">
      <c r="AB243" s="89" t="n"/>
      <c r="AC243" s="104" t="n"/>
      <c r="AD243" s="91" t="n"/>
      <c r="AE243" s="90" t="n"/>
      <c r="AF243" s="90" t="n"/>
      <c r="AG243" s="92" t="n"/>
      <c r="AL243" s="93" t="n"/>
      <c r="AM243" s="94" t="n"/>
      <c r="AN243" s="95" t="n"/>
      <c r="AO243" s="96" t="n"/>
      <c r="AV243" s="90" t="n"/>
      <c r="AW243" s="100" t="n"/>
      <c r="AX243" s="170" t="n"/>
      <c r="AY243" s="170" t="n"/>
      <c r="AZ243" s="170" t="n"/>
      <c r="BA243" s="170" t="n"/>
      <c r="BB243" s="170" t="n"/>
      <c r="BC243" s="171" t="n"/>
    </row>
    <row r="244" ht="15" customHeight="1" s="144">
      <c r="AB244" s="89" t="n"/>
      <c r="AC244" s="104" t="n"/>
      <c r="AD244" s="91" t="n"/>
      <c r="AE244" s="90" t="n"/>
      <c r="AF244" s="90" t="n"/>
      <c r="AG244" s="92" t="n"/>
      <c r="AL244" s="93" t="n"/>
      <c r="AM244" s="94" t="n"/>
      <c r="AN244" s="95" t="n"/>
      <c r="AO244" s="96" t="n"/>
      <c r="AV244" s="90" t="n"/>
      <c r="AW244" s="100" t="n"/>
      <c r="AX244" s="170" t="n"/>
      <c r="AY244" s="170" t="n"/>
      <c r="AZ244" s="170" t="n"/>
      <c r="BA244" s="170" t="n"/>
      <c r="BB244" s="170" t="n"/>
      <c r="BC244" s="171" t="n"/>
    </row>
    <row r="245" ht="15" customHeight="1" s="144">
      <c r="AB245" s="89" t="n"/>
      <c r="AC245" s="104" t="n"/>
      <c r="AD245" s="91" t="n"/>
      <c r="AE245" s="90" t="n"/>
      <c r="AF245" s="90" t="n"/>
      <c r="AG245" s="92" t="n"/>
      <c r="AL245" s="93" t="n"/>
      <c r="AM245" s="94" t="n"/>
      <c r="AN245" s="95" t="n"/>
      <c r="AO245" s="96" t="n"/>
      <c r="AV245" s="90" t="n"/>
      <c r="AW245" s="100" t="n"/>
      <c r="AX245" s="170" t="n"/>
      <c r="AY245" s="170" t="n"/>
      <c r="AZ245" s="170" t="n"/>
      <c r="BA245" s="170" t="n"/>
      <c r="BB245" s="170" t="n"/>
      <c r="BC245" s="171" t="n"/>
    </row>
    <row r="246" ht="15" customHeight="1" s="144">
      <c r="AB246" s="89" t="n"/>
      <c r="AC246" s="104" t="n"/>
      <c r="AD246" s="91" t="n"/>
      <c r="AE246" s="90" t="n"/>
      <c r="AF246" s="90" t="n"/>
      <c r="AG246" s="92" t="n"/>
      <c r="AL246" s="93" t="n"/>
      <c r="AM246" s="94" t="n"/>
      <c r="AN246" s="95" t="n"/>
      <c r="AO246" s="96" t="n"/>
      <c r="AV246" s="90" t="n"/>
      <c r="AW246" s="100" t="n"/>
      <c r="AX246" s="170" t="n"/>
      <c r="AY246" s="170" t="n"/>
      <c r="AZ246" s="170" t="n"/>
      <c r="BA246" s="170" t="n"/>
      <c r="BB246" s="170" t="n"/>
      <c r="BC246" s="171" t="n"/>
    </row>
    <row r="247" ht="15" customHeight="1" s="144">
      <c r="AB247" s="89" t="n"/>
      <c r="AC247" s="104" t="n"/>
      <c r="AD247" s="91" t="n"/>
      <c r="AE247" s="90" t="n"/>
      <c r="AF247" s="90" t="n"/>
      <c r="AG247" s="92" t="n"/>
      <c r="AL247" s="93" t="n"/>
      <c r="AM247" s="94" t="n"/>
      <c r="AN247" s="95" t="n"/>
      <c r="AO247" s="96" t="n"/>
      <c r="AV247" s="90" t="n"/>
      <c r="AW247" s="100" t="n"/>
      <c r="AX247" s="170" t="n"/>
      <c r="AY247" s="170" t="n"/>
      <c r="AZ247" s="170" t="n"/>
      <c r="BA247" s="170" t="n"/>
      <c r="BB247" s="170" t="n"/>
      <c r="BC247" s="171" t="n"/>
    </row>
    <row r="248" ht="15" customHeight="1" s="144">
      <c r="AB248" s="89" t="n"/>
      <c r="AD248" s="91" t="n"/>
      <c r="AE248" s="90" t="n"/>
      <c r="AF248" s="90" t="n"/>
      <c r="AG248" s="92" t="n"/>
      <c r="AL248" s="93" t="n"/>
      <c r="AM248" s="94" t="n"/>
      <c r="AN248" s="95" t="n"/>
      <c r="AO248" s="96" t="n"/>
      <c r="AV248" s="90" t="n"/>
      <c r="AW248" s="100" t="n"/>
      <c r="AX248" s="170" t="n"/>
      <c r="AY248" s="170" t="n"/>
      <c r="AZ248" s="170" t="n"/>
      <c r="BA248" s="170" t="n"/>
      <c r="BB248" s="170" t="n"/>
      <c r="BC248" s="171" t="n"/>
    </row>
    <row r="249" ht="15" customHeight="1" s="144">
      <c r="AB249" s="89" t="n"/>
      <c r="AC249" s="104" t="n"/>
      <c r="AD249" s="91" t="n"/>
      <c r="AE249" s="90" t="n"/>
      <c r="AF249" s="90" t="n"/>
      <c r="AG249" s="92" t="n"/>
      <c r="AL249" s="93" t="n"/>
      <c r="AM249" s="94" t="n"/>
      <c r="AN249" s="95" t="n"/>
      <c r="AO249" s="96" t="n"/>
      <c r="AV249" s="90" t="n"/>
      <c r="AW249" s="100" t="n"/>
      <c r="AX249" s="170" t="n"/>
      <c r="AY249" s="170" t="n"/>
      <c r="AZ249" s="170" t="n"/>
      <c r="BA249" s="170" t="n"/>
      <c r="BB249" s="170" t="n"/>
      <c r="BC249" s="171" t="n"/>
    </row>
    <row r="250" ht="15" customHeight="1" s="144">
      <c r="AB250" s="89" t="n"/>
      <c r="AC250" s="104" t="n"/>
      <c r="AD250" s="91" t="n"/>
      <c r="AE250" s="90" t="n"/>
      <c r="AF250" s="90" t="n"/>
      <c r="AG250" s="92" t="n"/>
      <c r="AL250" s="93" t="n"/>
      <c r="AM250" s="94" t="n"/>
      <c r="AN250" s="95" t="n"/>
      <c r="AO250" s="96" t="n"/>
      <c r="AV250" s="90" t="n"/>
      <c r="AW250" s="100" t="n"/>
      <c r="AX250" s="170" t="n"/>
      <c r="AY250" s="170" t="n"/>
      <c r="AZ250" s="170" t="n"/>
      <c r="BA250" s="170" t="n"/>
      <c r="BB250" s="170" t="n"/>
      <c r="BC250" s="171" t="n"/>
    </row>
    <row r="251" ht="15" customHeight="1" s="144">
      <c r="AB251" s="89" t="n"/>
      <c r="AC251" s="104" t="n"/>
      <c r="AD251" s="91" t="n"/>
      <c r="AE251" s="90" t="n"/>
      <c r="AF251" s="90" t="n"/>
      <c r="AG251" s="92" t="n"/>
      <c r="AL251" s="93" t="n"/>
      <c r="AM251" s="94" t="n"/>
      <c r="AN251" s="95" t="n"/>
      <c r="AO251" s="96" t="n"/>
      <c r="AV251" s="90" t="n"/>
      <c r="AW251" s="100" t="n"/>
      <c r="AX251" s="170" t="n"/>
      <c r="AY251" s="170" t="n"/>
      <c r="AZ251" s="170" t="n"/>
      <c r="BA251" s="170" t="n"/>
      <c r="BB251" s="170" t="n"/>
      <c r="BC251" s="171" t="n"/>
    </row>
    <row r="252" ht="15" customHeight="1" s="144">
      <c r="AB252" s="89" t="n"/>
      <c r="AC252" s="104" t="n"/>
      <c r="AD252" s="91" t="n"/>
      <c r="AE252" s="90" t="n"/>
      <c r="AF252" s="90" t="n"/>
      <c r="AG252" s="92" t="n"/>
      <c r="AL252" s="93" t="n"/>
      <c r="AM252" s="94" t="n"/>
      <c r="AN252" s="95" t="n"/>
      <c r="AO252" s="96" t="n"/>
      <c r="AV252" s="90" t="n"/>
      <c r="AW252" s="100" t="n"/>
      <c r="AX252" s="170" t="n"/>
      <c r="AY252" s="170" t="n"/>
      <c r="AZ252" s="170" t="n"/>
      <c r="BA252" s="170" t="n"/>
      <c r="BB252" s="170" t="n"/>
      <c r="BC252" s="171" t="n"/>
    </row>
    <row r="253" ht="15" customHeight="1" s="144">
      <c r="AB253" s="89" t="n"/>
      <c r="AC253" s="104" t="n"/>
      <c r="AD253" s="91" t="n"/>
      <c r="AE253" s="90" t="n"/>
      <c r="AF253" s="90" t="n"/>
      <c r="AG253" s="92" t="n"/>
      <c r="AL253" s="93" t="n"/>
      <c r="AM253" s="94" t="n"/>
      <c r="AN253" s="95" t="n"/>
      <c r="AO253" s="96" t="n"/>
      <c r="AV253" s="90" t="n"/>
      <c r="AW253" s="100" t="n"/>
      <c r="AX253" s="170" t="n"/>
      <c r="AY253" s="170" t="n"/>
      <c r="AZ253" s="170" t="n"/>
      <c r="BA253" s="170" t="n"/>
      <c r="BB253" s="170" t="n"/>
      <c r="BC253" s="171" t="n"/>
    </row>
    <row r="254" ht="15" customHeight="1" s="144">
      <c r="AB254" s="89" t="n"/>
      <c r="AC254" s="104" t="n"/>
      <c r="AD254" s="91" t="n"/>
      <c r="AE254" s="90" t="n"/>
      <c r="AF254" s="90" t="n"/>
      <c r="AG254" s="92" t="n"/>
      <c r="AL254" s="93" t="n"/>
      <c r="AM254" s="94" t="n"/>
      <c r="AN254" s="95" t="n"/>
      <c r="AO254" s="96" t="n"/>
      <c r="AV254" s="90" t="n"/>
      <c r="AW254" s="100" t="n"/>
      <c r="AX254" s="170" t="n"/>
      <c r="AY254" s="170" t="n"/>
      <c r="AZ254" s="170" t="n"/>
      <c r="BA254" s="170" t="n"/>
      <c r="BB254" s="170" t="n"/>
      <c r="BC254" s="171" t="n"/>
    </row>
    <row r="255" ht="15" customHeight="1" s="144">
      <c r="AB255" s="89" t="n"/>
      <c r="AC255" s="104" t="n"/>
      <c r="AD255" s="91" t="n"/>
      <c r="AE255" s="90" t="n"/>
      <c r="AF255" s="90" t="n"/>
      <c r="AG255" s="92" t="n"/>
      <c r="AL255" s="93" t="n"/>
      <c r="AM255" s="94" t="n"/>
      <c r="AN255" s="95" t="n"/>
      <c r="AO255" s="96" t="n"/>
      <c r="AV255" s="90" t="n"/>
      <c r="AW255" s="100" t="n"/>
      <c r="AX255" s="170" t="n"/>
      <c r="AY255" s="170" t="n"/>
      <c r="AZ255" s="170" t="n"/>
      <c r="BA255" s="170" t="n"/>
      <c r="BB255" s="170" t="n"/>
      <c r="BC255" s="171" t="n"/>
    </row>
    <row r="256" ht="15" customHeight="1" s="144">
      <c r="AB256" s="89" t="n"/>
      <c r="AC256" s="104" t="n"/>
      <c r="AD256" s="91" t="n"/>
      <c r="AE256" s="90" t="n"/>
      <c r="AF256" s="90" t="n"/>
      <c r="AG256" s="92" t="n"/>
      <c r="AL256" s="93" t="n"/>
      <c r="AM256" s="94" t="n"/>
      <c r="AN256" s="95" t="n"/>
      <c r="AO256" s="96" t="n"/>
      <c r="AV256" s="90" t="n"/>
      <c r="AW256" s="100" t="n"/>
      <c r="AX256" s="170" t="n"/>
      <c r="AY256" s="170" t="n"/>
      <c r="AZ256" s="170" t="n"/>
      <c r="BA256" s="170" t="n"/>
      <c r="BB256" s="170" t="n"/>
      <c r="BC256" s="171" t="n"/>
    </row>
    <row r="257" ht="15" customHeight="1" s="144">
      <c r="AB257" s="89" t="n"/>
      <c r="AC257" s="104" t="n"/>
      <c r="AD257" s="91" t="n"/>
      <c r="AE257" s="90" t="n"/>
      <c r="AF257" s="90" t="n"/>
      <c r="AG257" s="92" t="n"/>
      <c r="AL257" s="93" t="n"/>
      <c r="AM257" s="94" t="n"/>
      <c r="AN257" s="95" t="n"/>
      <c r="AO257" s="96" t="n"/>
      <c r="AV257" s="90" t="n"/>
      <c r="AW257" s="100" t="n"/>
      <c r="AX257" s="170" t="n"/>
      <c r="AY257" s="170" t="n"/>
      <c r="AZ257" s="170" t="n"/>
      <c r="BA257" s="170" t="n"/>
      <c r="BB257" s="170" t="n"/>
      <c r="BC257" s="171" t="n"/>
    </row>
    <row r="258" ht="15" customHeight="1" s="144">
      <c r="AB258" s="89" t="n"/>
      <c r="AC258" s="104" t="n"/>
      <c r="AD258" s="91" t="n"/>
      <c r="AE258" s="90" t="n"/>
      <c r="AF258" s="90" t="n"/>
      <c r="AG258" s="92" t="n"/>
      <c r="AL258" s="93" t="n"/>
      <c r="AM258" s="94" t="n"/>
      <c r="AN258" s="95" t="n"/>
      <c r="AO258" s="96" t="n"/>
      <c r="AV258" s="90" t="n"/>
      <c r="AW258" s="100" t="n"/>
      <c r="AX258" s="170" t="n"/>
      <c r="AY258" s="170" t="n"/>
      <c r="AZ258" s="170" t="n"/>
      <c r="BA258" s="170" t="n"/>
      <c r="BB258" s="170" t="n"/>
      <c r="BC258" s="171" t="n"/>
    </row>
    <row r="259" ht="15" customHeight="1" s="144">
      <c r="AB259" s="89" t="n"/>
      <c r="AC259" s="104" t="n"/>
      <c r="AD259" s="91" t="n"/>
      <c r="AE259" s="90" t="n"/>
      <c r="AF259" s="90" t="n"/>
      <c r="AG259" s="92" t="n"/>
      <c r="AL259" s="93" t="n"/>
      <c r="AM259" s="94" t="n"/>
      <c r="AN259" s="95" t="n"/>
      <c r="AO259" s="96" t="n"/>
      <c r="AV259" s="90" t="n"/>
      <c r="AW259" s="100" t="n"/>
      <c r="AX259" s="170" t="n"/>
      <c r="AY259" s="170" t="n"/>
      <c r="AZ259" s="170" t="n"/>
      <c r="BA259" s="170" t="n"/>
      <c r="BB259" s="170" t="n"/>
      <c r="BC259" s="171" t="n"/>
    </row>
    <row r="260" ht="15" customHeight="1" s="144">
      <c r="AB260" s="89" t="n"/>
      <c r="AC260" s="104" t="n"/>
      <c r="AD260" s="91" t="n"/>
      <c r="AE260" s="90" t="n"/>
      <c r="AF260" s="90" t="n"/>
      <c r="AG260" s="92" t="n"/>
      <c r="AL260" s="93" t="n"/>
      <c r="AM260" s="94" t="n"/>
      <c r="AN260" s="95" t="n"/>
      <c r="AO260" s="96" t="n"/>
      <c r="AV260" s="90" t="n"/>
      <c r="AW260" s="100" t="n"/>
      <c r="AX260" s="170" t="n"/>
      <c r="AY260" s="170" t="n"/>
      <c r="AZ260" s="170" t="n"/>
      <c r="BA260" s="170" t="n"/>
      <c r="BB260" s="170" t="n"/>
      <c r="BC260" s="171" t="n"/>
    </row>
    <row r="261" ht="15" customHeight="1" s="144">
      <c r="AB261" s="89" t="n"/>
      <c r="AC261" s="104" t="n"/>
      <c r="AD261" s="91" t="n"/>
      <c r="AE261" s="90" t="n"/>
      <c r="AF261" s="90" t="n"/>
      <c r="AG261" s="92" t="n"/>
      <c r="AL261" s="93" t="n"/>
      <c r="AM261" s="94" t="n"/>
      <c r="AN261" s="95" t="n"/>
      <c r="AO261" s="96" t="n"/>
      <c r="AV261" s="90" t="n"/>
      <c r="AW261" s="100" t="n"/>
      <c r="AX261" s="170" t="n"/>
      <c r="AY261" s="170" t="n"/>
      <c r="AZ261" s="170" t="n"/>
      <c r="BA261" s="170" t="n"/>
      <c r="BB261" s="170" t="n"/>
      <c r="BC261" s="171" t="n"/>
    </row>
    <row r="262" ht="15" customHeight="1" s="144">
      <c r="AB262" s="89" t="n"/>
      <c r="AC262" s="104" t="n"/>
      <c r="AD262" s="91" t="n"/>
      <c r="AE262" s="90" t="n"/>
      <c r="AF262" s="90" t="n"/>
      <c r="AG262" s="92" t="n"/>
      <c r="AL262" s="93" t="n"/>
      <c r="AM262" s="94" t="n"/>
      <c r="AN262" s="95" t="n"/>
      <c r="AO262" s="96" t="n"/>
      <c r="AV262" s="90" t="n"/>
      <c r="AW262" s="100" t="n"/>
      <c r="AX262" s="170" t="n"/>
      <c r="AY262" s="170" t="n"/>
      <c r="AZ262" s="170" t="n"/>
      <c r="BA262" s="170" t="n"/>
      <c r="BB262" s="170" t="n"/>
      <c r="BC262" s="171" t="n"/>
    </row>
    <row r="263" ht="15" customHeight="1" s="144">
      <c r="AB263" s="89" t="n"/>
      <c r="AC263" s="104" t="n"/>
      <c r="AD263" s="91" t="n"/>
      <c r="AE263" s="90" t="n"/>
      <c r="AF263" s="90" t="n"/>
      <c r="AG263" s="92" t="n"/>
      <c r="AL263" s="93" t="n"/>
      <c r="AM263" s="94" t="n"/>
      <c r="AN263" s="95" t="n"/>
      <c r="AO263" s="96" t="n"/>
      <c r="AV263" s="90" t="n"/>
      <c r="AW263" s="100" t="n"/>
      <c r="AX263" s="170" t="n"/>
      <c r="AY263" s="170" t="n"/>
      <c r="AZ263" s="170" t="n"/>
      <c r="BA263" s="170" t="n"/>
      <c r="BB263" s="170" t="n"/>
      <c r="BC263" s="171" t="n"/>
    </row>
    <row r="264" ht="15" customHeight="1" s="144">
      <c r="AB264" s="89" t="n"/>
      <c r="AC264" s="104" t="n"/>
      <c r="AD264" s="91" t="n"/>
      <c r="AE264" s="90" t="n"/>
      <c r="AF264" s="90" t="n"/>
      <c r="AG264" s="92" t="n"/>
      <c r="AL264" s="93" t="n"/>
      <c r="AM264" s="94" t="n"/>
      <c r="AN264" s="95" t="n"/>
      <c r="AO264" s="96" t="n"/>
      <c r="AV264" s="90" t="n"/>
      <c r="AW264" s="100" t="n"/>
      <c r="AX264" s="170" t="n"/>
      <c r="AY264" s="170" t="n"/>
      <c r="AZ264" s="170" t="n"/>
      <c r="BA264" s="170" t="n"/>
      <c r="BB264" s="170" t="n"/>
      <c r="BC264" s="171" t="n"/>
    </row>
    <row r="265" ht="15" customHeight="1" s="144">
      <c r="AB265" s="89" t="n"/>
      <c r="AC265" s="104" t="n"/>
      <c r="AD265" s="91" t="n"/>
      <c r="AE265" s="90" t="n"/>
      <c r="AF265" s="90" t="n"/>
      <c r="AG265" s="92" t="n"/>
      <c r="AL265" s="93" t="n"/>
      <c r="AM265" s="94" t="n"/>
      <c r="AN265" s="95" t="n"/>
      <c r="AO265" s="96" t="n"/>
      <c r="AV265" s="90" t="n"/>
      <c r="AW265" s="100" t="n"/>
      <c r="AX265" s="170" t="n"/>
      <c r="AY265" s="170" t="n"/>
      <c r="AZ265" s="170" t="n"/>
      <c r="BA265" s="170" t="n"/>
      <c r="BB265" s="170" t="n"/>
      <c r="BC265" s="171" t="n"/>
    </row>
    <row r="266" ht="15" customHeight="1" s="144">
      <c r="AB266" s="89" t="n"/>
      <c r="AD266" s="91" t="n"/>
      <c r="AE266" s="90" t="n"/>
      <c r="AF266" s="90" t="n"/>
      <c r="AG266" s="92" t="n"/>
      <c r="AL266" s="93" t="n"/>
      <c r="AM266" s="94" t="n"/>
      <c r="AN266" s="95" t="n"/>
      <c r="AO266" s="96" t="n"/>
      <c r="AV266" s="90" t="n"/>
      <c r="AW266" s="100" t="n"/>
      <c r="AX266" s="170" t="n"/>
      <c r="AY266" s="170" t="n"/>
      <c r="AZ266" s="170" t="n"/>
      <c r="BA266" s="170" t="n"/>
      <c r="BB266" s="170" t="n"/>
      <c r="BC266" s="171" t="n"/>
    </row>
    <row r="267" ht="15" customHeight="1" s="144">
      <c r="AB267" s="89" t="n"/>
      <c r="AC267" s="104" t="n"/>
      <c r="AD267" s="91" t="n"/>
      <c r="AE267" s="90" t="n"/>
      <c r="AF267" s="90" t="n"/>
      <c r="AG267" s="92" t="n"/>
      <c r="AL267" s="93" t="n"/>
      <c r="AM267" s="94" t="n"/>
      <c r="AN267" s="95" t="n"/>
      <c r="AO267" s="96" t="n"/>
      <c r="AV267" s="90" t="n"/>
      <c r="AW267" s="100" t="n"/>
      <c r="AX267" s="170" t="n"/>
      <c r="AY267" s="170" t="n"/>
      <c r="AZ267" s="170" t="n"/>
      <c r="BA267" s="170" t="n"/>
      <c r="BB267" s="170" t="n"/>
      <c r="BC267" s="171" t="n"/>
    </row>
    <row r="268" ht="15" customHeight="1" s="144">
      <c r="AB268" s="89" t="n"/>
      <c r="AC268" s="104" t="n"/>
      <c r="AD268" s="91" t="n"/>
      <c r="AE268" s="90" t="n"/>
      <c r="AF268" s="90" t="n"/>
      <c r="AG268" s="92" t="n"/>
      <c r="AL268" s="93" t="n"/>
      <c r="AM268" s="94" t="n"/>
      <c r="AN268" s="95" t="n"/>
      <c r="AO268" s="96" t="n"/>
      <c r="AV268" s="90" t="n"/>
      <c r="AW268" s="100" t="n"/>
      <c r="AX268" s="170" t="n"/>
      <c r="AY268" s="170" t="n"/>
      <c r="AZ268" s="170" t="n"/>
      <c r="BA268" s="170" t="n"/>
      <c r="BB268" s="170" t="n"/>
      <c r="BC268" s="171" t="n"/>
    </row>
    <row r="269" ht="15" customHeight="1" s="144">
      <c r="AB269" s="89" t="n"/>
      <c r="AC269" s="104" t="n"/>
      <c r="AD269" s="91" t="n"/>
      <c r="AE269" s="90" t="n"/>
      <c r="AF269" s="90" t="n"/>
      <c r="AG269" s="92" t="n"/>
      <c r="AL269" s="93" t="n"/>
      <c r="AM269" s="94" t="n"/>
      <c r="AN269" s="95" t="n"/>
      <c r="AO269" s="96" t="n"/>
      <c r="AV269" s="90" t="n"/>
      <c r="AW269" s="100" t="n"/>
      <c r="AX269" s="170" t="n"/>
      <c r="AY269" s="170" t="n"/>
      <c r="AZ269" s="170" t="n"/>
      <c r="BA269" s="170" t="n"/>
      <c r="BB269" s="170" t="n"/>
      <c r="BC269" s="171" t="n"/>
    </row>
    <row r="270" ht="15" customHeight="1" s="144">
      <c r="AB270" s="89" t="n"/>
      <c r="AC270" s="104" t="n"/>
      <c r="AD270" s="91" t="n"/>
      <c r="AE270" s="90" t="n"/>
      <c r="AF270" s="90" t="n"/>
      <c r="AG270" s="92" t="n"/>
      <c r="AL270" s="93" t="n"/>
      <c r="AM270" s="94" t="n"/>
      <c r="AN270" s="95" t="n"/>
      <c r="AO270" s="96" t="n"/>
      <c r="AV270" s="90" t="n"/>
      <c r="AW270" s="100" t="n"/>
      <c r="AX270" s="170" t="n"/>
      <c r="AY270" s="170" t="n"/>
      <c r="AZ270" s="170" t="n"/>
      <c r="BA270" s="170" t="n"/>
      <c r="BB270" s="170" t="n"/>
      <c r="BC270" s="171" t="n"/>
    </row>
    <row r="271" ht="15" customHeight="1" s="144">
      <c r="AB271" s="89" t="n"/>
      <c r="AC271" s="104" t="n"/>
      <c r="AD271" s="91" t="n"/>
      <c r="AE271" s="90" t="n"/>
      <c r="AF271" s="90" t="n"/>
      <c r="AG271" s="92" t="n"/>
      <c r="AL271" s="93" t="n"/>
      <c r="AM271" s="94" t="n"/>
      <c r="AN271" s="95" t="n"/>
      <c r="AO271" s="96" t="n"/>
      <c r="AV271" s="90" t="n"/>
      <c r="AW271" s="100" t="n"/>
      <c r="AX271" s="170" t="n"/>
      <c r="AY271" s="170" t="n"/>
      <c r="AZ271" s="170" t="n"/>
      <c r="BA271" s="170" t="n"/>
      <c r="BB271" s="170" t="n"/>
      <c r="BC271" s="171" t="n"/>
    </row>
    <row r="272" ht="15" customHeight="1" s="144">
      <c r="AB272" s="89" t="n"/>
      <c r="AC272" s="104" t="n"/>
      <c r="AD272" s="91" t="n"/>
      <c r="AE272" s="90" t="n"/>
      <c r="AF272" s="90" t="n"/>
      <c r="AG272" s="92" t="n"/>
      <c r="AL272" s="93" t="n"/>
      <c r="AM272" s="94" t="n"/>
      <c r="AN272" s="95" t="n"/>
      <c r="AO272" s="96" t="n"/>
      <c r="AV272" s="90" t="n"/>
      <c r="AW272" s="100" t="n"/>
      <c r="AX272" s="170" t="n"/>
      <c r="AY272" s="170" t="n"/>
      <c r="AZ272" s="170" t="n"/>
      <c r="BA272" s="170" t="n"/>
      <c r="BB272" s="170" t="n"/>
      <c r="BC272" s="171" t="n"/>
    </row>
    <row r="273" ht="15" customHeight="1" s="144">
      <c r="AB273" s="89" t="n"/>
      <c r="AC273" s="104" t="n"/>
      <c r="AD273" s="91" t="n"/>
      <c r="AE273" s="90" t="n"/>
      <c r="AF273" s="90" t="n"/>
      <c r="AG273" s="92" t="n"/>
      <c r="AL273" s="93" t="n"/>
      <c r="AM273" s="94" t="n"/>
      <c r="AN273" s="95" t="n"/>
      <c r="AO273" s="96" t="n"/>
      <c r="AV273" s="90" t="n"/>
      <c r="AW273" s="100" t="n"/>
      <c r="AX273" s="170" t="n"/>
      <c r="AY273" s="170" t="n"/>
      <c r="AZ273" s="170" t="n"/>
      <c r="BA273" s="170" t="n"/>
      <c r="BB273" s="170" t="n"/>
      <c r="BC273" s="171" t="n"/>
    </row>
    <row r="274" ht="15" customHeight="1" s="144">
      <c r="AB274" s="89" t="n"/>
      <c r="AC274" s="104" t="n"/>
      <c r="AD274" s="91" t="n"/>
      <c r="AE274" s="90" t="n"/>
      <c r="AF274" s="90" t="n"/>
      <c r="AG274" s="92" t="n"/>
      <c r="AL274" s="93" t="n"/>
      <c r="AM274" s="94" t="n"/>
      <c r="AN274" s="95" t="n"/>
      <c r="AO274" s="96" t="n"/>
      <c r="AV274" s="90" t="n"/>
      <c r="AW274" s="100" t="n"/>
      <c r="AX274" s="170" t="n"/>
      <c r="AY274" s="170" t="n"/>
      <c r="AZ274" s="170" t="n"/>
      <c r="BA274" s="170" t="n"/>
      <c r="BB274" s="170" t="n"/>
      <c r="BC274" s="171" t="n"/>
    </row>
    <row r="275" ht="15" customHeight="1" s="144">
      <c r="AB275" s="89" t="n"/>
      <c r="AC275" s="104" t="n"/>
      <c r="AD275" s="91" t="n"/>
      <c r="AE275" s="90" t="n"/>
      <c r="AF275" s="90" t="n"/>
      <c r="AG275" s="92" t="n"/>
      <c r="AL275" s="93" t="n"/>
      <c r="AM275" s="94" t="n"/>
      <c r="AN275" s="95" t="n"/>
      <c r="AO275" s="96" t="n"/>
      <c r="AV275" s="90" t="n"/>
      <c r="AW275" s="100" t="n"/>
      <c r="AX275" s="170" t="n"/>
      <c r="AY275" s="170" t="n"/>
      <c r="AZ275" s="170" t="n"/>
      <c r="BA275" s="170" t="n"/>
      <c r="BB275" s="170" t="n"/>
      <c r="BC275" s="171" t="n"/>
    </row>
    <row r="276" ht="15" customHeight="1" s="144">
      <c r="AB276" s="89" t="n"/>
      <c r="AC276" s="104" t="n"/>
      <c r="AD276" s="91" t="n"/>
      <c r="AE276" s="90" t="n"/>
      <c r="AF276" s="90" t="n"/>
      <c r="AG276" s="92" t="n"/>
      <c r="AL276" s="93" t="n"/>
      <c r="AM276" s="94" t="n"/>
      <c r="AN276" s="95" t="n"/>
      <c r="AO276" s="96" t="n"/>
      <c r="AV276" s="90" t="n"/>
      <c r="AW276" s="100" t="n"/>
      <c r="AX276" s="170" t="n"/>
      <c r="AY276" s="170" t="n"/>
      <c r="AZ276" s="170" t="n"/>
      <c r="BA276" s="170" t="n"/>
      <c r="BB276" s="170" t="n"/>
      <c r="BC276" s="171" t="n"/>
    </row>
    <row r="277" ht="15" customHeight="1" s="144">
      <c r="AB277" s="89" t="n"/>
      <c r="AC277" s="104" t="n"/>
      <c r="AD277" s="91" t="n"/>
      <c r="AE277" s="90" t="n"/>
      <c r="AF277" s="90" t="n"/>
      <c r="AG277" s="92" t="n"/>
      <c r="AL277" s="93" t="n"/>
      <c r="AM277" s="94" t="n"/>
      <c r="AN277" s="95" t="n"/>
      <c r="AO277" s="96" t="n"/>
      <c r="AV277" s="90" t="n"/>
      <c r="AW277" s="100" t="n"/>
      <c r="AX277" s="170" t="n"/>
      <c r="AY277" s="170" t="n"/>
      <c r="AZ277" s="170" t="n"/>
      <c r="BA277" s="170" t="n"/>
      <c r="BB277" s="170" t="n"/>
      <c r="BC277" s="171" t="n"/>
    </row>
    <row r="278" ht="15" customHeight="1" s="144">
      <c r="AB278" s="89" t="n"/>
      <c r="AC278" s="104" t="n"/>
      <c r="AD278" s="91" t="n"/>
      <c r="AE278" s="90" t="n"/>
      <c r="AF278" s="90" t="n"/>
      <c r="AG278" s="92" t="n"/>
      <c r="AL278" s="93" t="n"/>
      <c r="AM278" s="94" t="n"/>
      <c r="AN278" s="95" t="n"/>
      <c r="AO278" s="96" t="n"/>
      <c r="AV278" s="90" t="n"/>
      <c r="AW278" s="100" t="n"/>
      <c r="AX278" s="170" t="n"/>
      <c r="AY278" s="170" t="n"/>
      <c r="AZ278" s="170" t="n"/>
      <c r="BA278" s="170" t="n"/>
      <c r="BB278" s="170" t="n"/>
      <c r="BC278" s="171" t="n"/>
    </row>
    <row r="279" ht="15" customHeight="1" s="144">
      <c r="AB279" s="89" t="n"/>
      <c r="AC279" s="104" t="n"/>
      <c r="AD279" s="91" t="n"/>
      <c r="AE279" s="90" t="n"/>
      <c r="AF279" s="90" t="n"/>
      <c r="AG279" s="92" t="n"/>
      <c r="AL279" s="93" t="n"/>
      <c r="AM279" s="94" t="n"/>
      <c r="AN279" s="95" t="n"/>
      <c r="AO279" s="96" t="n"/>
      <c r="AV279" s="90" t="n"/>
      <c r="AW279" s="100" t="n"/>
      <c r="AX279" s="170" t="n"/>
      <c r="AY279" s="170" t="n"/>
      <c r="AZ279" s="170" t="n"/>
      <c r="BA279" s="170" t="n"/>
      <c r="BB279" s="170" t="n"/>
      <c r="BC279" s="171" t="n"/>
    </row>
    <row r="280" ht="15" customHeight="1" s="144">
      <c r="AB280" s="89" t="n"/>
      <c r="AC280" s="104" t="n"/>
      <c r="AD280" s="91" t="n"/>
      <c r="AE280" s="90" t="n"/>
      <c r="AF280" s="90" t="n"/>
      <c r="AG280" s="92" t="n"/>
      <c r="AL280" s="93" t="n"/>
      <c r="AM280" s="94" t="n"/>
      <c r="AN280" s="95" t="n"/>
      <c r="AO280" s="96" t="n"/>
      <c r="AV280" s="90" t="n"/>
      <c r="AW280" s="100" t="n"/>
      <c r="AX280" s="170" t="n"/>
      <c r="AY280" s="170" t="n"/>
      <c r="AZ280" s="170" t="n"/>
      <c r="BA280" s="170" t="n"/>
      <c r="BB280" s="170" t="n"/>
      <c r="BC280" s="171" t="n"/>
    </row>
    <row r="281" ht="15" customHeight="1" s="144">
      <c r="AB281" s="89" t="n"/>
      <c r="AC281" s="104" t="n"/>
      <c r="AD281" s="91" t="n"/>
      <c r="AE281" s="90" t="n"/>
      <c r="AF281" s="90" t="n"/>
      <c r="AG281" s="92" t="n"/>
      <c r="AL281" s="93" t="n"/>
      <c r="AM281" s="94" t="n"/>
      <c r="AN281" s="95" t="n"/>
      <c r="AO281" s="96" t="n"/>
      <c r="AV281" s="90" t="n"/>
      <c r="AW281" s="100" t="n"/>
      <c r="AX281" s="170" t="n"/>
      <c r="AY281" s="170" t="n"/>
      <c r="AZ281" s="170" t="n"/>
      <c r="BA281" s="170" t="n"/>
      <c r="BB281" s="170" t="n"/>
      <c r="BC281" s="171" t="n"/>
    </row>
    <row r="282" ht="15" customHeight="1" s="144">
      <c r="AB282" s="89" t="n"/>
      <c r="AC282" s="104" t="n"/>
      <c r="AD282" s="91" t="n"/>
      <c r="AE282" s="90" t="n"/>
      <c r="AF282" s="90" t="n"/>
      <c r="AG282" s="92" t="n"/>
      <c r="AL282" s="93" t="n"/>
      <c r="AM282" s="94" t="n"/>
      <c r="AN282" s="95" t="n"/>
      <c r="AO282" s="96" t="n"/>
      <c r="AV282" s="90" t="n"/>
      <c r="AW282" s="100" t="n"/>
      <c r="AX282" s="170" t="n"/>
      <c r="AY282" s="170" t="n"/>
      <c r="AZ282" s="170" t="n"/>
      <c r="BA282" s="170" t="n"/>
      <c r="BB282" s="170" t="n"/>
      <c r="BC282" s="171" t="n"/>
    </row>
    <row r="283" ht="15" customHeight="1" s="144">
      <c r="AB283" s="89" t="n"/>
      <c r="AC283" s="104" t="n"/>
      <c r="AD283" s="91" t="n"/>
      <c r="AE283" s="90" t="n"/>
      <c r="AF283" s="90" t="n"/>
      <c r="AG283" s="92" t="n"/>
      <c r="AL283" s="93" t="n"/>
      <c r="AM283" s="94" t="n"/>
      <c r="AN283" s="95" t="n"/>
      <c r="AO283" s="96" t="n"/>
      <c r="AV283" s="90" t="n"/>
      <c r="AW283" s="100" t="n"/>
      <c r="AX283" s="170" t="n"/>
      <c r="AY283" s="170" t="n"/>
      <c r="AZ283" s="170" t="n"/>
      <c r="BA283" s="170" t="n"/>
      <c r="BB283" s="170" t="n"/>
      <c r="BC283" s="171" t="n"/>
    </row>
    <row r="284" ht="15" customHeight="1" s="144">
      <c r="AB284" s="89" t="n"/>
      <c r="AC284" s="104" t="n"/>
      <c r="AD284" s="91" t="n"/>
      <c r="AE284" s="90" t="n"/>
      <c r="AF284" s="90" t="n"/>
      <c r="AG284" s="92" t="n"/>
      <c r="AL284" s="93" t="n"/>
      <c r="AM284" s="94" t="n"/>
      <c r="AN284" s="95" t="n"/>
      <c r="AO284" s="96" t="n"/>
      <c r="AV284" s="90" t="n"/>
      <c r="AW284" s="100" t="n"/>
      <c r="AX284" s="170" t="n"/>
      <c r="AY284" s="170" t="n"/>
      <c r="AZ284" s="170" t="n"/>
      <c r="BA284" s="170" t="n"/>
      <c r="BB284" s="170" t="n"/>
      <c r="BC284" s="171" t="n"/>
    </row>
    <row r="285" ht="15" customHeight="1" s="144">
      <c r="AB285" s="89" t="n"/>
      <c r="AC285" s="104" t="n"/>
      <c r="AD285" s="91" t="n"/>
      <c r="AE285" s="90" t="n"/>
      <c r="AF285" s="90" t="n"/>
      <c r="AG285" s="92" t="n"/>
      <c r="AL285" s="93" t="n"/>
      <c r="AM285" s="94" t="n"/>
      <c r="AN285" s="95" t="n"/>
      <c r="AO285" s="96" t="n"/>
      <c r="AV285" s="90" t="n"/>
      <c r="AW285" s="100" t="n"/>
      <c r="AX285" s="170" t="n"/>
      <c r="AY285" s="170" t="n"/>
      <c r="AZ285" s="170" t="n"/>
      <c r="BA285" s="170" t="n"/>
      <c r="BB285" s="170" t="n"/>
      <c r="BC285" s="171" t="n"/>
    </row>
    <row r="286" ht="15" customHeight="1" s="144">
      <c r="AB286" s="89" t="n"/>
      <c r="AC286" s="104" t="n"/>
      <c r="AD286" s="91" t="n"/>
      <c r="AE286" s="90" t="n"/>
      <c r="AF286" s="90" t="n"/>
      <c r="AG286" s="92" t="n"/>
      <c r="AL286" s="93" t="n"/>
      <c r="AM286" s="94" t="n"/>
      <c r="AN286" s="95" t="n"/>
      <c r="AO286" s="96" t="n"/>
      <c r="AV286" s="90" t="n"/>
      <c r="AW286" s="100" t="n"/>
      <c r="AX286" s="170" t="n"/>
      <c r="AY286" s="170" t="n"/>
      <c r="AZ286" s="170" t="n"/>
      <c r="BA286" s="170" t="n"/>
      <c r="BB286" s="170" t="n"/>
      <c r="BC286" s="171" t="n"/>
    </row>
    <row r="287" ht="15" customHeight="1" s="144">
      <c r="AB287" s="89" t="n"/>
      <c r="AC287" s="104" t="n"/>
      <c r="AD287" s="91" t="n"/>
      <c r="AE287" s="90" t="n"/>
      <c r="AF287" s="90" t="n"/>
      <c r="AG287" s="92" t="n"/>
      <c r="AL287" s="93" t="n"/>
      <c r="AM287" s="94" t="n"/>
      <c r="AN287" s="95" t="n"/>
      <c r="AO287" s="96" t="n"/>
      <c r="AV287" s="90" t="n"/>
      <c r="AW287" s="100" t="n"/>
      <c r="AX287" s="170" t="n"/>
      <c r="AY287" s="170" t="n"/>
      <c r="AZ287" s="170" t="n"/>
      <c r="BA287" s="170" t="n"/>
      <c r="BB287" s="170" t="n"/>
      <c r="BC287" s="171" t="n"/>
    </row>
    <row r="288" ht="15" customHeight="1" s="144">
      <c r="AB288" s="89" t="n"/>
      <c r="AC288" s="104" t="n"/>
      <c r="AD288" s="91" t="n"/>
      <c r="AE288" s="90" t="n"/>
      <c r="AF288" s="90" t="n"/>
      <c r="AG288" s="92" t="n"/>
      <c r="AL288" s="93" t="n"/>
      <c r="AM288" s="94" t="n"/>
      <c r="AN288" s="95" t="n"/>
      <c r="AO288" s="96" t="n"/>
      <c r="AV288" s="90" t="n"/>
      <c r="AW288" s="100" t="n"/>
      <c r="AX288" s="170" t="n"/>
      <c r="AY288" s="170" t="n"/>
      <c r="AZ288" s="170" t="n"/>
      <c r="BA288" s="170" t="n"/>
      <c r="BB288" s="170" t="n"/>
      <c r="BC288" s="171" t="n"/>
    </row>
    <row r="289" ht="15" customHeight="1" s="144">
      <c r="AB289" s="89" t="n"/>
      <c r="AC289" s="104" t="n"/>
      <c r="AD289" s="91" t="n"/>
      <c r="AE289" s="90" t="n"/>
      <c r="AF289" s="90" t="n"/>
      <c r="AG289" s="92" t="n"/>
      <c r="AL289" s="93" t="n"/>
      <c r="AM289" s="94" t="n"/>
      <c r="AN289" s="95" t="n"/>
      <c r="AO289" s="96" t="n"/>
      <c r="AV289" s="90" t="n"/>
      <c r="AW289" s="100" t="n"/>
      <c r="AX289" s="170" t="n"/>
      <c r="AY289" s="170" t="n"/>
      <c r="AZ289" s="170" t="n"/>
      <c r="BA289" s="170" t="n"/>
      <c r="BB289" s="170" t="n"/>
      <c r="BC289" s="171" t="n"/>
    </row>
    <row r="290" ht="15" customHeight="1" s="144">
      <c r="AB290" s="89" t="n"/>
      <c r="AC290" s="104" t="n"/>
      <c r="AD290" s="91" t="n"/>
      <c r="AE290" s="90" t="n"/>
      <c r="AF290" s="90" t="n"/>
      <c r="AG290" s="92" t="n"/>
      <c r="AL290" s="93" t="n"/>
      <c r="AM290" s="94" t="n"/>
      <c r="AN290" s="95" t="n"/>
      <c r="AO290" s="96" t="n"/>
      <c r="AV290" s="90" t="n"/>
      <c r="AW290" s="100" t="n"/>
      <c r="AX290" s="170" t="n"/>
      <c r="AY290" s="170" t="n"/>
      <c r="AZ290" s="170" t="n"/>
      <c r="BA290" s="170" t="n"/>
      <c r="BB290" s="170" t="n"/>
      <c r="BC290" s="171" t="n"/>
    </row>
    <row r="291" ht="15" customHeight="1" s="144">
      <c r="AB291" s="89" t="n"/>
      <c r="AC291" s="104" t="n"/>
      <c r="AD291" s="91" t="n"/>
      <c r="AE291" s="90" t="n"/>
      <c r="AF291" s="90" t="n"/>
      <c r="AG291" s="92" t="n"/>
      <c r="AL291" s="93" t="n"/>
      <c r="AM291" s="94" t="n"/>
      <c r="AN291" s="95" t="n"/>
      <c r="AO291" s="96" t="n"/>
      <c r="AV291" s="90" t="n"/>
      <c r="AW291" s="100" t="n"/>
      <c r="AX291" s="170" t="n"/>
      <c r="AY291" s="170" t="n"/>
      <c r="AZ291" s="170" t="n"/>
      <c r="BA291" s="170" t="n"/>
      <c r="BB291" s="170" t="n"/>
      <c r="BC291" s="171" t="n"/>
    </row>
    <row r="292" ht="15" customHeight="1" s="144">
      <c r="AB292" s="89" t="n"/>
      <c r="AC292" s="104" t="n"/>
      <c r="AD292" s="91" t="n"/>
      <c r="AE292" s="90" t="n"/>
      <c r="AF292" s="90" t="n"/>
      <c r="AG292" s="92" t="n"/>
      <c r="AL292" s="93" t="n"/>
      <c r="AM292" s="94" t="n"/>
      <c r="AN292" s="95" t="n"/>
      <c r="AO292" s="96" t="n"/>
      <c r="AV292" s="90" t="n"/>
      <c r="AW292" s="100" t="n"/>
      <c r="AX292" s="170" t="n"/>
      <c r="AY292" s="170" t="n"/>
      <c r="AZ292" s="170" t="n"/>
      <c r="BA292" s="170" t="n"/>
      <c r="BB292" s="170" t="n"/>
      <c r="BC292" s="171" t="n"/>
    </row>
    <row r="293" ht="15" customHeight="1" s="144">
      <c r="AB293" s="89" t="n"/>
      <c r="AC293" s="104" t="n"/>
      <c r="AD293" s="91" t="n"/>
      <c r="AE293" s="90" t="n"/>
      <c r="AF293" s="90" t="n"/>
      <c r="AG293" s="92" t="n"/>
      <c r="AL293" s="93" t="n"/>
      <c r="AM293" s="94" t="n"/>
      <c r="AN293" s="95" t="n"/>
      <c r="AO293" s="96" t="n"/>
      <c r="AV293" s="90" t="n"/>
      <c r="AW293" s="100" t="n"/>
      <c r="AX293" s="170" t="n"/>
      <c r="AY293" s="170" t="n"/>
      <c r="AZ293" s="170" t="n"/>
      <c r="BA293" s="170" t="n"/>
      <c r="BB293" s="170" t="n"/>
      <c r="BC293" s="171" t="n"/>
    </row>
    <row r="294" ht="15" customHeight="1" s="144">
      <c r="AB294" s="89" t="n"/>
      <c r="AC294" s="104" t="n"/>
      <c r="AD294" s="91" t="n"/>
      <c r="AE294" s="90" t="n"/>
      <c r="AF294" s="90" t="n"/>
      <c r="AG294" s="92" t="n"/>
      <c r="AL294" s="93" t="n"/>
      <c r="AM294" s="94" t="n"/>
      <c r="AN294" s="95" t="n"/>
      <c r="AO294" s="96" t="n"/>
      <c r="AV294" s="90" t="n"/>
      <c r="AW294" s="100" t="n"/>
      <c r="AX294" s="170" t="n"/>
      <c r="AY294" s="170" t="n"/>
      <c r="AZ294" s="170" t="n"/>
      <c r="BA294" s="170" t="n"/>
      <c r="BB294" s="170" t="n"/>
      <c r="BC294" s="171" t="n"/>
    </row>
    <row r="295" ht="15" customHeight="1" s="144">
      <c r="AB295" s="89" t="n"/>
      <c r="AC295" s="104" t="n"/>
      <c r="AD295" s="91" t="n"/>
      <c r="AE295" s="90" t="n"/>
      <c r="AF295" s="90" t="n"/>
      <c r="AG295" s="92" t="n"/>
      <c r="AL295" s="93" t="n"/>
      <c r="AM295" s="94" t="n"/>
      <c r="AN295" s="95" t="n"/>
      <c r="AO295" s="96" t="n"/>
      <c r="AV295" s="90" t="n"/>
      <c r="AW295" s="100" t="n"/>
      <c r="AX295" s="170" t="n"/>
      <c r="AY295" s="170" t="n"/>
      <c r="AZ295" s="170" t="n"/>
      <c r="BA295" s="170" t="n"/>
      <c r="BB295" s="170" t="n"/>
      <c r="BC295" s="171" t="n"/>
    </row>
    <row r="296" ht="15" customHeight="1" s="144">
      <c r="AB296" s="89" t="n"/>
      <c r="AC296" s="104" t="n"/>
      <c r="AD296" s="91" t="n"/>
      <c r="AE296" s="90" t="n"/>
      <c r="AF296" s="90" t="n"/>
      <c r="AG296" s="92" t="n"/>
      <c r="AL296" s="93" t="n"/>
      <c r="AM296" s="94" t="n"/>
      <c r="AN296" s="95" t="n"/>
      <c r="AO296" s="96" t="n"/>
      <c r="AV296" s="90" t="n"/>
      <c r="AW296" s="100" t="n"/>
      <c r="AX296" s="170" t="n"/>
      <c r="AY296" s="170" t="n"/>
      <c r="AZ296" s="170" t="n"/>
      <c r="BA296" s="170" t="n"/>
      <c r="BB296" s="170" t="n"/>
      <c r="BC296" s="171" t="n"/>
    </row>
    <row r="297" ht="15" customHeight="1" s="144">
      <c r="AB297" s="89" t="n"/>
      <c r="AC297" s="104" t="n"/>
      <c r="AD297" s="91" t="n"/>
      <c r="AE297" s="90" t="n"/>
      <c r="AF297" s="90" t="n"/>
      <c r="AG297" s="92" t="n"/>
      <c r="AL297" s="93" t="n"/>
      <c r="AM297" s="94" t="n"/>
      <c r="AN297" s="95" t="n"/>
      <c r="AO297" s="96" t="n"/>
      <c r="AV297" s="90" t="n"/>
      <c r="AW297" s="100" t="n"/>
      <c r="AX297" s="170" t="n"/>
      <c r="AY297" s="170" t="n"/>
      <c r="AZ297" s="170" t="n"/>
      <c r="BA297" s="170" t="n"/>
      <c r="BB297" s="170" t="n"/>
      <c r="BC297" s="171" t="n"/>
    </row>
    <row r="298" ht="15" customHeight="1" s="144">
      <c r="AB298" s="89" t="n"/>
      <c r="AC298" s="104" t="n"/>
      <c r="AD298" s="91" t="n"/>
      <c r="AE298" s="90" t="n"/>
      <c r="AF298" s="90" t="n"/>
      <c r="AG298" s="92" t="n"/>
      <c r="AL298" s="93" t="n"/>
      <c r="AM298" s="94" t="n"/>
      <c r="AN298" s="95" t="n"/>
      <c r="AO298" s="96" t="n"/>
      <c r="AV298" s="90" t="n"/>
      <c r="AW298" s="100" t="n"/>
      <c r="AX298" s="170" t="n"/>
      <c r="AY298" s="170" t="n"/>
      <c r="AZ298" s="170" t="n"/>
      <c r="BA298" s="170" t="n"/>
      <c r="BB298" s="170" t="n"/>
      <c r="BC298" s="171" t="n"/>
    </row>
    <row r="299" ht="15" customHeight="1" s="144">
      <c r="AB299" s="89" t="n"/>
      <c r="AC299" s="104" t="n"/>
      <c r="AD299" s="91" t="n"/>
      <c r="AE299" s="90" t="n"/>
      <c r="AF299" s="90" t="n"/>
      <c r="AG299" s="92" t="n"/>
      <c r="AL299" s="93" t="n"/>
      <c r="AM299" s="94" t="n"/>
      <c r="AN299" s="95" t="n"/>
      <c r="AO299" s="96" t="n"/>
      <c r="AV299" s="90" t="n"/>
      <c r="AW299" s="100" t="n"/>
      <c r="AX299" s="170" t="n"/>
      <c r="AY299" s="170" t="n"/>
      <c r="AZ299" s="170" t="n"/>
      <c r="BA299" s="170" t="n"/>
      <c r="BB299" s="170" t="n"/>
      <c r="BC299" s="171" t="n"/>
    </row>
    <row r="300" ht="15" customHeight="1" s="144">
      <c r="AB300" s="89" t="n"/>
      <c r="AC300" s="104" t="n"/>
      <c r="AD300" s="91" t="n"/>
      <c r="AE300" s="90" t="n"/>
      <c r="AF300" s="90" t="n"/>
      <c r="AG300" s="92" t="n"/>
      <c r="AL300" s="93" t="n"/>
      <c r="AM300" s="94" t="n"/>
      <c r="AN300" s="95" t="n"/>
      <c r="AO300" s="96" t="n"/>
      <c r="AV300" s="90" t="n"/>
      <c r="AW300" s="100" t="n"/>
      <c r="AX300" s="170" t="n"/>
      <c r="AY300" s="170" t="n"/>
      <c r="AZ300" s="170" t="n"/>
      <c r="BA300" s="170" t="n"/>
      <c r="BB300" s="170" t="n"/>
      <c r="BC300" s="171" t="n"/>
    </row>
    <row r="301" ht="15" customHeight="1" s="144">
      <c r="AB301" s="89" t="n"/>
      <c r="AC301" s="104" t="n"/>
      <c r="AD301" s="91" t="n"/>
      <c r="AE301" s="90" t="n"/>
      <c r="AF301" s="90" t="n"/>
      <c r="AG301" s="92" t="n"/>
      <c r="AL301" s="93" t="n"/>
      <c r="AM301" s="94" t="n"/>
      <c r="AN301" s="95" t="n"/>
      <c r="AO301" s="96" t="n"/>
      <c r="AV301" s="90" t="n"/>
      <c r="AW301" s="100" t="n"/>
      <c r="AX301" s="170" t="n"/>
      <c r="AY301" s="170" t="n"/>
      <c r="AZ301" s="170" t="n"/>
      <c r="BA301" s="170" t="n"/>
      <c r="BB301" s="170" t="n"/>
      <c r="BC301" s="171" t="n"/>
    </row>
    <row r="302" ht="15" customHeight="1" s="144">
      <c r="AB302" s="89" t="n"/>
      <c r="AC302" s="104" t="n"/>
      <c r="AD302" s="91" t="n"/>
      <c r="AE302" s="90" t="n"/>
      <c r="AF302" s="90" t="n"/>
      <c r="AG302" s="92" t="n"/>
      <c r="AL302" s="93" t="n"/>
      <c r="AM302" s="94" t="n"/>
      <c r="AN302" s="95" t="n"/>
      <c r="AO302" s="96" t="n"/>
      <c r="AV302" s="90" t="n"/>
      <c r="AW302" s="100" t="n"/>
      <c r="AX302" s="170" t="n"/>
      <c r="AY302" s="170" t="n"/>
      <c r="AZ302" s="170" t="n"/>
      <c r="BA302" s="170" t="n"/>
      <c r="BB302" s="170" t="n"/>
      <c r="BC302" s="171" t="n"/>
    </row>
    <row r="303" ht="15" customHeight="1" s="144">
      <c r="AB303" s="89" t="n"/>
      <c r="AC303" s="104" t="n"/>
      <c r="AD303" s="91" t="n"/>
      <c r="AE303" s="90" t="n"/>
      <c r="AF303" s="90" t="n"/>
      <c r="AG303" s="92" t="n"/>
      <c r="AL303" s="93" t="n"/>
      <c r="AM303" s="94" t="n"/>
      <c r="AN303" s="95" t="n"/>
      <c r="AO303" s="96" t="n"/>
      <c r="AV303" s="90" t="n"/>
      <c r="AW303" s="100" t="n"/>
      <c r="AX303" s="170" t="n"/>
      <c r="AY303" s="170" t="n"/>
      <c r="AZ303" s="170" t="n"/>
      <c r="BA303" s="170" t="n"/>
      <c r="BB303" s="170" t="n"/>
      <c r="BC303" s="171" t="n"/>
    </row>
    <row r="304" ht="15" customHeight="1" s="144">
      <c r="AB304" s="89" t="n"/>
      <c r="AC304" s="104" t="n"/>
      <c r="AD304" s="91" t="n"/>
      <c r="AE304" s="90" t="n"/>
      <c r="AF304" s="90" t="n"/>
      <c r="AG304" s="92" t="n"/>
      <c r="AL304" s="93" t="n"/>
      <c r="AM304" s="94" t="n"/>
      <c r="AN304" s="95" t="n"/>
      <c r="AO304" s="96" t="n"/>
      <c r="AV304" s="90" t="n"/>
      <c r="AW304" s="100" t="n"/>
      <c r="AX304" s="170" t="n"/>
      <c r="AY304" s="170" t="n"/>
      <c r="AZ304" s="170" t="n"/>
      <c r="BA304" s="170" t="n"/>
      <c r="BB304" s="170" t="n"/>
      <c r="BC304" s="171" t="n"/>
    </row>
    <row r="305" ht="15" customHeight="1" s="144">
      <c r="AB305" s="89" t="n"/>
      <c r="AC305" s="104" t="n"/>
      <c r="AD305" s="91" t="n"/>
      <c r="AE305" s="90" t="n"/>
      <c r="AF305" s="90" t="n"/>
      <c r="AG305" s="92" t="n"/>
      <c r="AL305" s="93" t="n"/>
      <c r="AM305" s="94" t="n"/>
      <c r="AN305" s="95" t="n"/>
      <c r="AO305" s="96" t="n"/>
      <c r="AV305" s="90" t="n"/>
      <c r="AW305" s="100" t="n"/>
      <c r="AX305" s="170" t="n"/>
      <c r="AY305" s="170" t="n"/>
      <c r="AZ305" s="170" t="n"/>
      <c r="BA305" s="170" t="n"/>
      <c r="BB305" s="170" t="n"/>
      <c r="BC305" s="171" t="n"/>
    </row>
    <row r="306" ht="15" customHeight="1" s="144">
      <c r="AB306" s="89" t="n"/>
      <c r="AC306" s="104" t="n"/>
      <c r="AD306" s="91" t="n"/>
      <c r="AE306" s="90" t="n"/>
      <c r="AF306" s="90" t="n"/>
      <c r="AG306" s="92" t="n"/>
      <c r="AL306" s="93" t="n"/>
      <c r="AM306" s="94" t="n"/>
      <c r="AN306" s="95" t="n"/>
      <c r="AO306" s="96" t="n"/>
      <c r="AV306" s="90" t="n"/>
      <c r="AW306" s="100" t="n"/>
      <c r="AX306" s="170" t="n"/>
      <c r="AY306" s="170" t="n"/>
      <c r="AZ306" s="170" t="n"/>
      <c r="BA306" s="170" t="n"/>
      <c r="BB306" s="170" t="n"/>
      <c r="BC306" s="171" t="n"/>
    </row>
    <row r="307" ht="15" customHeight="1" s="144">
      <c r="AB307" s="89" t="n"/>
      <c r="AC307" s="104" t="n"/>
      <c r="AD307" s="91" t="n"/>
      <c r="AE307" s="90" t="n"/>
      <c r="AF307" s="90" t="n"/>
      <c r="AG307" s="92" t="n"/>
      <c r="AL307" s="93" t="n"/>
      <c r="AM307" s="94" t="n"/>
      <c r="AN307" s="95" t="n"/>
      <c r="AO307" s="96" t="n"/>
      <c r="AV307" s="90" t="n"/>
      <c r="AW307" s="100" t="n"/>
      <c r="AX307" s="170" t="n"/>
      <c r="AY307" s="170" t="n"/>
      <c r="AZ307" s="170" t="n"/>
      <c r="BA307" s="170" t="n"/>
      <c r="BB307" s="170" t="n"/>
      <c r="BC307" s="171" t="n"/>
    </row>
    <row r="308" ht="15" customHeight="1" s="144">
      <c r="AB308" s="89" t="n"/>
      <c r="AC308" s="104" t="n"/>
      <c r="AD308" s="91" t="n"/>
      <c r="AE308" s="90" t="n"/>
      <c r="AF308" s="90" t="n"/>
      <c r="AG308" s="92" t="n"/>
      <c r="AL308" s="93" t="n"/>
      <c r="AM308" s="94" t="n"/>
      <c r="AN308" s="95" t="n"/>
      <c r="AO308" s="96" t="n"/>
      <c r="AV308" s="90" t="n"/>
      <c r="AW308" s="100" t="n"/>
      <c r="AX308" s="170" t="n"/>
      <c r="AY308" s="170" t="n"/>
      <c r="AZ308" s="170" t="n"/>
      <c r="BA308" s="170" t="n"/>
      <c r="BB308" s="170" t="n"/>
      <c r="BC308" s="171" t="n"/>
    </row>
    <row r="309" ht="15" customHeight="1" s="144">
      <c r="AB309" s="89" t="n"/>
      <c r="AC309" s="104" t="n"/>
      <c r="AD309" s="91" t="n"/>
      <c r="AE309" s="90" t="n"/>
      <c r="AF309" s="90" t="n"/>
      <c r="AG309" s="92" t="n"/>
      <c r="AL309" s="93" t="n"/>
      <c r="AM309" s="94" t="n"/>
      <c r="AN309" s="95" t="n"/>
      <c r="AO309" s="96" t="n"/>
      <c r="AV309" s="90" t="n"/>
      <c r="AW309" s="100" t="n"/>
      <c r="AX309" s="170" t="n"/>
      <c r="AY309" s="170" t="n"/>
      <c r="AZ309" s="170" t="n"/>
      <c r="BA309" s="170" t="n"/>
      <c r="BB309" s="170" t="n"/>
      <c r="BC309" s="171" t="n"/>
    </row>
    <row r="310" ht="15" customHeight="1" s="144">
      <c r="AB310" s="89" t="n"/>
      <c r="AC310" s="104" t="n"/>
      <c r="AD310" s="91" t="n"/>
      <c r="AE310" s="90" t="n"/>
      <c r="AF310" s="90" t="n"/>
      <c r="AG310" s="92" t="n"/>
      <c r="AL310" s="93" t="n"/>
      <c r="AM310" s="94" t="n"/>
      <c r="AN310" s="95" t="n"/>
      <c r="AO310" s="96" t="n"/>
      <c r="AV310" s="90" t="n"/>
      <c r="AW310" s="100" t="n"/>
      <c r="AX310" s="170" t="n"/>
      <c r="AY310" s="170" t="n"/>
      <c r="AZ310" s="170" t="n"/>
      <c r="BA310" s="170" t="n"/>
      <c r="BB310" s="170" t="n"/>
      <c r="BC310" s="171" t="n"/>
    </row>
    <row r="311" ht="15" customHeight="1" s="144">
      <c r="AB311" s="89" t="n"/>
      <c r="AC311" s="104" t="n"/>
      <c r="AD311" s="91" t="n"/>
      <c r="AE311" s="90" t="n"/>
      <c r="AF311" s="90" t="n"/>
      <c r="AG311" s="92" t="n"/>
      <c r="AL311" s="93" t="n"/>
      <c r="AM311" s="94" t="n"/>
      <c r="AN311" s="95" t="n"/>
      <c r="AO311" s="96" t="n"/>
      <c r="AV311" s="90" t="n"/>
      <c r="AW311" s="100" t="n"/>
      <c r="AX311" s="170" t="n"/>
      <c r="AY311" s="170" t="n"/>
      <c r="AZ311" s="170" t="n"/>
      <c r="BA311" s="170" t="n"/>
      <c r="BB311" s="170" t="n"/>
      <c r="BC311" s="171" t="n"/>
    </row>
    <row r="312" ht="15" customHeight="1" s="144">
      <c r="AB312" s="89" t="n"/>
      <c r="AC312" s="104" t="n"/>
      <c r="AD312" s="91" t="n"/>
      <c r="AE312" s="90" t="n"/>
      <c r="AF312" s="90" t="n"/>
      <c r="AG312" s="92" t="n"/>
      <c r="AL312" s="93" t="n"/>
      <c r="AM312" s="94" t="n"/>
      <c r="AN312" s="95" t="n"/>
      <c r="AO312" s="96" t="n"/>
      <c r="AV312" s="90" t="n"/>
      <c r="AW312" s="100" t="n"/>
      <c r="AX312" s="170" t="n"/>
      <c r="AY312" s="170" t="n"/>
      <c r="AZ312" s="170" t="n"/>
      <c r="BA312" s="170" t="n"/>
      <c r="BB312" s="170" t="n"/>
      <c r="BC312" s="171" t="n"/>
    </row>
    <row r="313" ht="15" customHeight="1" s="144">
      <c r="AB313" s="89" t="n"/>
      <c r="AC313" s="104" t="n"/>
      <c r="AD313" s="91" t="n"/>
      <c r="AE313" s="90" t="n"/>
      <c r="AF313" s="90" t="n"/>
      <c r="AG313" s="92" t="n"/>
      <c r="AL313" s="93" t="n"/>
      <c r="AM313" s="94" t="n"/>
      <c r="AN313" s="95" t="n"/>
      <c r="AO313" s="96" t="n"/>
      <c r="AV313" s="90" t="n"/>
      <c r="AW313" s="100" t="n"/>
      <c r="AX313" s="170" t="n"/>
      <c r="AY313" s="170" t="n"/>
      <c r="AZ313" s="170" t="n"/>
      <c r="BA313" s="170" t="n"/>
      <c r="BB313" s="170" t="n"/>
      <c r="BC313" s="171" t="n"/>
    </row>
    <row r="314" ht="15" customHeight="1" s="144">
      <c r="AB314" s="89" t="n"/>
      <c r="AC314" s="104" t="n"/>
      <c r="AD314" s="91" t="n"/>
      <c r="AE314" s="90" t="n"/>
      <c r="AF314" s="90" t="n"/>
      <c r="AG314" s="92" t="n"/>
      <c r="AL314" s="93" t="n"/>
      <c r="AM314" s="94" t="n"/>
      <c r="AN314" s="95" t="n"/>
      <c r="AO314" s="96" t="n"/>
      <c r="AV314" s="90" t="n"/>
      <c r="AW314" s="100" t="n"/>
      <c r="AX314" s="170" t="n"/>
      <c r="AY314" s="170" t="n"/>
      <c r="AZ314" s="170" t="n"/>
      <c r="BA314" s="170" t="n"/>
      <c r="BB314" s="170" t="n"/>
      <c r="BC314" s="171" t="n"/>
    </row>
    <row r="315" ht="15" customHeight="1" s="144">
      <c r="AB315" s="89" t="n"/>
      <c r="AC315" s="104" t="n"/>
      <c r="AD315" s="91" t="n"/>
      <c r="AE315" s="90" t="n"/>
      <c r="AF315" s="90" t="n"/>
      <c r="AG315" s="92" t="n"/>
      <c r="AL315" s="93" t="n"/>
      <c r="AM315" s="94" t="n"/>
      <c r="AN315" s="95" t="n"/>
      <c r="AO315" s="96" t="n"/>
      <c r="AV315" s="90" t="n"/>
      <c r="AW315" s="100" t="n"/>
      <c r="AX315" s="170" t="n"/>
      <c r="AY315" s="170" t="n"/>
      <c r="AZ315" s="170" t="n"/>
      <c r="BA315" s="170" t="n"/>
      <c r="BB315" s="170" t="n"/>
      <c r="BC315" s="171" t="n"/>
    </row>
    <row r="316" ht="15" customHeight="1" s="144">
      <c r="AB316" s="89" t="n"/>
      <c r="AC316" s="104" t="n"/>
      <c r="AD316" s="91" t="n"/>
      <c r="AE316" s="90" t="n"/>
      <c r="AF316" s="90" t="n"/>
      <c r="AG316" s="92" t="n"/>
      <c r="AL316" s="93" t="n"/>
      <c r="AM316" s="94" t="n"/>
      <c r="AN316" s="95" t="n"/>
      <c r="AO316" s="96" t="n"/>
      <c r="AV316" s="90" t="n"/>
      <c r="AW316" s="100" t="n"/>
      <c r="AX316" s="170" t="n"/>
      <c r="AY316" s="170" t="n"/>
      <c r="AZ316" s="170" t="n"/>
      <c r="BA316" s="170" t="n"/>
      <c r="BB316" s="170" t="n"/>
      <c r="BC316" s="171" t="n"/>
    </row>
    <row r="317" ht="15" customHeight="1" s="144">
      <c r="AB317" s="89" t="n"/>
      <c r="AC317" s="104" t="n"/>
      <c r="AD317" s="91" t="n"/>
      <c r="AE317" s="90" t="n"/>
      <c r="AF317" s="90" t="n"/>
      <c r="AG317" s="92" t="n"/>
      <c r="AL317" s="93" t="n"/>
      <c r="AM317" s="94" t="n"/>
      <c r="AN317" s="95" t="n"/>
      <c r="AO317" s="96" t="n"/>
      <c r="AV317" s="90" t="n"/>
      <c r="AW317" s="100" t="n"/>
      <c r="AX317" s="170" t="n"/>
      <c r="AY317" s="170" t="n"/>
      <c r="AZ317" s="170" t="n"/>
      <c r="BA317" s="170" t="n"/>
      <c r="BB317" s="170" t="n"/>
      <c r="BC317" s="171" t="n"/>
    </row>
    <row r="318" ht="15" customHeight="1" s="144">
      <c r="AB318" s="89" t="n"/>
      <c r="AC318" s="104" t="n"/>
      <c r="AD318" s="91" t="n"/>
      <c r="AE318" s="90" t="n"/>
      <c r="AF318" s="90" t="n"/>
      <c r="AG318" s="92" t="n"/>
      <c r="AL318" s="93" t="n"/>
      <c r="AM318" s="94" t="n"/>
      <c r="AN318" s="95" t="n"/>
      <c r="AO318" s="96" t="n"/>
      <c r="AV318" s="90" t="n"/>
      <c r="AW318" s="100" t="n"/>
      <c r="AX318" s="170" t="n"/>
      <c r="AY318" s="170" t="n"/>
      <c r="AZ318" s="170" t="n"/>
      <c r="BA318" s="170" t="n"/>
      <c r="BB318" s="170" t="n"/>
      <c r="BC318" s="171" t="n"/>
    </row>
    <row r="319" ht="15" customHeight="1" s="144">
      <c r="AB319" s="89" t="n"/>
      <c r="AC319" s="104" t="n"/>
      <c r="AD319" s="91" t="n"/>
      <c r="AE319" s="90" t="n"/>
      <c r="AF319" s="90" t="n"/>
      <c r="AG319" s="92" t="n"/>
      <c r="AL319" s="93" t="n"/>
      <c r="AM319" s="94" t="n"/>
      <c r="AN319" s="95" t="n"/>
      <c r="AO319" s="96" t="n"/>
      <c r="AV319" s="90" t="n"/>
      <c r="AW319" s="100" t="n"/>
      <c r="AX319" s="170" t="n"/>
      <c r="AY319" s="170" t="n"/>
      <c r="AZ319" s="170" t="n"/>
      <c r="BA319" s="170" t="n"/>
      <c r="BB319" s="170" t="n"/>
      <c r="BC319" s="171" t="n"/>
    </row>
    <row r="320" ht="15" customHeight="1" s="144">
      <c r="AB320" s="89" t="n"/>
      <c r="AC320" s="104" t="n"/>
      <c r="AD320" s="91" t="n"/>
      <c r="AE320" s="90" t="n"/>
      <c r="AF320" s="90" t="n"/>
      <c r="AG320" s="92" t="n"/>
      <c r="AL320" s="93" t="n"/>
      <c r="AM320" s="94" t="n"/>
      <c r="AN320" s="95" t="n"/>
      <c r="AO320" s="96" t="n"/>
      <c r="AV320" s="90" t="n"/>
      <c r="AW320" s="100" t="n"/>
      <c r="AX320" s="170" t="n"/>
      <c r="AY320" s="170" t="n"/>
      <c r="AZ320" s="170" t="n"/>
      <c r="BA320" s="170" t="n"/>
      <c r="BB320" s="170" t="n"/>
      <c r="BC320" s="171" t="n"/>
    </row>
    <row r="321" ht="15" customHeight="1" s="144">
      <c r="AB321" s="89" t="n"/>
      <c r="AC321" s="104" t="n"/>
      <c r="AD321" s="91" t="n"/>
      <c r="AE321" s="90" t="n"/>
      <c r="AF321" s="90" t="n"/>
      <c r="AG321" s="92" t="n"/>
      <c r="AL321" s="93" t="n"/>
      <c r="AM321" s="94" t="n"/>
      <c r="AN321" s="95" t="n"/>
      <c r="AO321" s="96" t="n"/>
      <c r="AV321" s="90" t="n"/>
      <c r="AW321" s="100" t="n"/>
      <c r="AX321" s="170" t="n"/>
      <c r="AY321" s="170" t="n"/>
      <c r="AZ321" s="170" t="n"/>
      <c r="BA321" s="170" t="n"/>
      <c r="BB321" s="170" t="n"/>
      <c r="BC321" s="171" t="n"/>
    </row>
    <row r="322" ht="15" customHeight="1" s="144">
      <c r="AB322" s="89" t="n"/>
      <c r="AC322" s="104" t="n"/>
      <c r="AD322" s="91" t="n"/>
      <c r="AE322" s="90" t="n"/>
      <c r="AF322" s="90" t="n"/>
      <c r="AG322" s="92" t="n"/>
      <c r="AL322" s="93" t="n"/>
      <c r="AM322" s="94" t="n"/>
      <c r="AN322" s="95" t="n"/>
      <c r="AO322" s="96" t="n"/>
      <c r="AV322" s="90" t="n"/>
      <c r="AW322" s="100" t="n"/>
      <c r="AX322" s="170" t="n"/>
      <c r="AY322" s="170" t="n"/>
      <c r="AZ322" s="170" t="n"/>
      <c r="BA322" s="170" t="n"/>
      <c r="BB322" s="170" t="n"/>
      <c r="BC322" s="171" t="n"/>
    </row>
    <row r="323" ht="15" customHeight="1" s="144">
      <c r="AB323" s="89" t="n"/>
      <c r="AC323" s="104" t="n"/>
      <c r="AD323" s="91" t="n"/>
      <c r="AE323" s="90" t="n"/>
      <c r="AF323" s="90" t="n"/>
      <c r="AG323" s="92" t="n"/>
      <c r="AL323" s="93" t="n"/>
      <c r="AM323" s="94" t="n"/>
      <c r="AN323" s="95" t="n"/>
      <c r="AO323" s="96" t="n"/>
      <c r="AV323" s="90" t="n"/>
      <c r="AW323" s="100" t="n"/>
      <c r="AX323" s="170" t="n"/>
      <c r="AY323" s="170" t="n"/>
      <c r="AZ323" s="170" t="n"/>
      <c r="BA323" s="170" t="n"/>
      <c r="BB323" s="170" t="n"/>
      <c r="BC323" s="171" t="n"/>
    </row>
    <row r="324" ht="15" customHeight="1" s="144">
      <c r="AB324" s="89" t="n"/>
      <c r="AC324" s="104" t="n"/>
      <c r="AD324" s="91" t="n"/>
      <c r="AE324" s="90" t="n"/>
      <c r="AF324" s="90" t="n"/>
      <c r="AG324" s="92" t="n"/>
      <c r="AL324" s="93" t="n"/>
      <c r="AM324" s="94" t="n"/>
      <c r="AN324" s="95" t="n"/>
      <c r="AO324" s="96" t="n"/>
      <c r="AV324" s="90" t="n"/>
      <c r="AW324" s="100" t="n"/>
      <c r="AX324" s="170" t="n"/>
      <c r="AY324" s="170" t="n"/>
      <c r="AZ324" s="170" t="n"/>
      <c r="BA324" s="170" t="n"/>
      <c r="BB324" s="170" t="n"/>
      <c r="BC324" s="171" t="n"/>
    </row>
    <row r="325" ht="15" customHeight="1" s="144">
      <c r="AB325" s="89" t="n"/>
      <c r="AC325" s="104" t="n"/>
      <c r="AD325" s="91" t="n"/>
      <c r="AE325" s="90" t="n"/>
      <c r="AF325" s="90" t="n"/>
      <c r="AG325" s="92" t="n"/>
      <c r="AL325" s="93" t="n"/>
      <c r="AM325" s="94" t="n"/>
      <c r="AN325" s="95" t="n"/>
      <c r="AO325" s="96" t="n"/>
      <c r="AV325" s="90" t="n"/>
      <c r="AW325" s="100" t="n"/>
      <c r="AX325" s="170" t="n"/>
      <c r="AY325" s="170" t="n"/>
      <c r="AZ325" s="170" t="n"/>
      <c r="BA325" s="170" t="n"/>
      <c r="BB325" s="170" t="n"/>
      <c r="BC325" s="171" t="n"/>
    </row>
    <row r="326" ht="15" customHeight="1" s="144">
      <c r="AB326" s="89" t="n"/>
      <c r="AC326" s="104" t="n"/>
      <c r="AD326" s="91" t="n"/>
      <c r="AE326" s="90" t="n"/>
      <c r="AF326" s="90" t="n"/>
      <c r="AG326" s="92" t="n"/>
      <c r="AL326" s="93" t="n"/>
      <c r="AM326" s="94" t="n"/>
      <c r="AN326" s="95" t="n"/>
      <c r="AO326" s="96" t="n"/>
      <c r="AV326" s="90" t="n"/>
      <c r="AW326" s="100" t="n"/>
      <c r="AX326" s="170" t="n"/>
      <c r="AY326" s="170" t="n"/>
      <c r="AZ326" s="170" t="n"/>
      <c r="BA326" s="170" t="n"/>
      <c r="BB326" s="170" t="n"/>
      <c r="BC326" s="171" t="n"/>
    </row>
    <row r="327" ht="15" customHeight="1" s="144">
      <c r="AB327" s="89" t="n"/>
      <c r="AC327" s="104" t="n"/>
      <c r="AD327" s="91" t="n"/>
      <c r="AE327" s="90" t="n"/>
      <c r="AF327" s="90" t="n"/>
      <c r="AG327" s="92" t="n"/>
      <c r="AL327" s="93" t="n"/>
      <c r="AM327" s="94" t="n"/>
      <c r="AN327" s="95" t="n"/>
      <c r="AO327" s="96" t="n"/>
      <c r="AV327" s="90" t="n"/>
      <c r="AW327" s="100" t="n"/>
      <c r="AX327" s="170" t="n"/>
      <c r="AY327" s="170" t="n"/>
      <c r="AZ327" s="170" t="n"/>
      <c r="BA327" s="170" t="n"/>
      <c r="BB327" s="170" t="n"/>
      <c r="BC327" s="171" t="n"/>
    </row>
    <row r="328" ht="15" customHeight="1" s="144">
      <c r="AB328" s="89" t="n"/>
      <c r="AC328" s="104" t="n"/>
      <c r="AD328" s="91" t="n"/>
      <c r="AE328" s="90" t="n"/>
      <c r="AF328" s="90" t="n"/>
      <c r="AG328" s="92" t="n"/>
      <c r="AL328" s="93" t="n"/>
      <c r="AM328" s="94" t="n"/>
      <c r="AN328" s="95" t="n"/>
      <c r="AO328" s="96" t="n"/>
      <c r="AV328" s="90" t="n"/>
      <c r="AW328" s="100" t="n"/>
      <c r="AX328" s="170" t="n"/>
      <c r="AY328" s="170" t="n"/>
      <c r="AZ328" s="170" t="n"/>
      <c r="BA328" s="170" t="n"/>
      <c r="BB328" s="170" t="n"/>
      <c r="BC328" s="171" t="n"/>
    </row>
    <row r="329" ht="15" customHeight="1" s="144">
      <c r="AB329" s="89" t="n"/>
      <c r="AC329" s="104" t="n"/>
      <c r="AD329" s="91" t="n"/>
      <c r="AE329" s="90" t="n"/>
      <c r="AF329" s="90" t="n"/>
      <c r="AG329" s="92" t="n"/>
      <c r="AL329" s="93" t="n"/>
      <c r="AM329" s="94" t="n"/>
      <c r="AN329" s="95" t="n"/>
      <c r="AO329" s="96" t="n"/>
      <c r="AV329" s="90" t="n"/>
      <c r="AW329" s="100" t="n"/>
      <c r="AX329" s="170" t="n"/>
      <c r="AY329" s="170" t="n"/>
      <c r="AZ329" s="170" t="n"/>
      <c r="BA329" s="170" t="n"/>
      <c r="BB329" s="170" t="n"/>
      <c r="BC329" s="171" t="n"/>
    </row>
    <row r="330" ht="15" customHeight="1" s="144">
      <c r="AB330" s="89" t="n"/>
      <c r="AC330" s="104" t="n"/>
      <c r="AD330" s="91" t="n"/>
      <c r="AE330" s="90" t="n"/>
      <c r="AF330" s="90" t="n"/>
      <c r="AG330" s="92" t="n"/>
      <c r="AL330" s="93" t="n"/>
      <c r="AM330" s="94" t="n"/>
      <c r="AN330" s="95" t="n"/>
      <c r="AO330" s="96" t="n"/>
      <c r="AV330" s="90" t="n"/>
      <c r="AW330" s="100" t="n"/>
      <c r="AX330" s="170" t="n"/>
      <c r="AY330" s="170" t="n"/>
      <c r="AZ330" s="170" t="n"/>
      <c r="BA330" s="170" t="n"/>
      <c r="BB330" s="170" t="n"/>
      <c r="BC330" s="171" t="n"/>
    </row>
    <row r="331" ht="15" customHeight="1" s="144">
      <c r="AB331" s="89" t="n"/>
      <c r="AC331" s="104" t="n"/>
      <c r="AD331" s="91" t="n"/>
      <c r="AE331" s="90" t="n"/>
      <c r="AF331" s="90" t="n"/>
      <c r="AG331" s="92" t="n"/>
      <c r="AL331" s="93" t="n"/>
      <c r="AM331" s="94" t="n"/>
      <c r="AN331" s="95" t="n"/>
      <c r="AO331" s="96" t="n"/>
      <c r="AV331" s="90" t="n"/>
      <c r="AW331" s="100" t="n"/>
      <c r="AX331" s="170" t="n"/>
      <c r="AY331" s="170" t="n"/>
      <c r="AZ331" s="170" t="n"/>
      <c r="BA331" s="170" t="n"/>
      <c r="BB331" s="170" t="n"/>
      <c r="BC331" s="171" t="n"/>
    </row>
    <row r="332" ht="15" customHeight="1" s="144">
      <c r="AB332" s="89" t="n"/>
      <c r="AC332" s="104" t="n"/>
      <c r="AD332" s="91" t="n"/>
      <c r="AE332" s="90" t="n"/>
      <c r="AF332" s="90" t="n"/>
      <c r="AG332" s="92" t="n"/>
      <c r="AL332" s="93" t="n"/>
      <c r="AM332" s="94" t="n"/>
      <c r="AN332" s="95" t="n"/>
      <c r="AO332" s="96" t="n"/>
      <c r="AV332" s="90" t="n"/>
      <c r="AW332" s="100" t="n"/>
      <c r="AX332" s="170" t="n"/>
      <c r="AY332" s="170" t="n"/>
      <c r="AZ332" s="170" t="n"/>
      <c r="BA332" s="170" t="n"/>
      <c r="BB332" s="170" t="n"/>
      <c r="BC332" s="171" t="n"/>
    </row>
    <row r="333" ht="15" customHeight="1" s="144">
      <c r="AB333" s="89" t="n"/>
      <c r="AC333" s="104" t="n"/>
      <c r="AD333" s="91" t="n"/>
      <c r="AE333" s="90" t="n"/>
      <c r="AF333" s="90" t="n"/>
      <c r="AG333" s="92" t="n"/>
      <c r="AL333" s="93" t="n"/>
      <c r="AM333" s="94" t="n"/>
      <c r="AN333" s="95" t="n"/>
      <c r="AO333" s="96" t="n"/>
      <c r="AV333" s="90" t="n"/>
      <c r="AW333" s="100" t="n"/>
      <c r="AX333" s="170" t="n"/>
      <c r="AY333" s="170" t="n"/>
      <c r="AZ333" s="170" t="n"/>
      <c r="BA333" s="170" t="n"/>
      <c r="BB333" s="170" t="n"/>
      <c r="BC333" s="171" t="n"/>
    </row>
    <row r="334" ht="15" customHeight="1" s="144">
      <c r="AB334" s="89" t="n"/>
      <c r="AC334" s="104" t="n"/>
      <c r="AD334" s="91" t="n"/>
      <c r="AE334" s="90" t="n"/>
      <c r="AF334" s="90" t="n"/>
      <c r="AG334" s="92" t="n"/>
      <c r="AL334" s="93" t="n"/>
      <c r="AM334" s="94" t="n"/>
      <c r="AN334" s="95" t="n"/>
      <c r="AO334" s="96" t="n"/>
      <c r="AV334" s="90" t="n"/>
      <c r="AW334" s="100" t="n"/>
      <c r="AX334" s="170" t="n"/>
      <c r="AY334" s="170" t="n"/>
      <c r="AZ334" s="170" t="n"/>
      <c r="BA334" s="170" t="n"/>
      <c r="BB334" s="170" t="n"/>
      <c r="BC334" s="171" t="n"/>
    </row>
    <row r="335" ht="15" customHeight="1" s="144">
      <c r="AB335" s="89" t="n"/>
      <c r="AD335" s="91" t="n"/>
      <c r="AE335" s="90" t="n"/>
      <c r="AF335" s="90" t="n"/>
      <c r="AG335" s="92" t="n"/>
      <c r="AL335" s="93" t="n"/>
      <c r="AM335" s="94" t="n"/>
      <c r="AN335" s="95" t="n"/>
      <c r="AO335" s="96" t="n"/>
      <c r="AV335" s="90" t="n"/>
      <c r="AW335" s="100" t="n"/>
      <c r="AX335" s="170" t="n"/>
      <c r="AY335" s="170" t="n"/>
      <c r="AZ335" s="170" t="n"/>
      <c r="BA335" s="170" t="n"/>
      <c r="BB335" s="170" t="n"/>
      <c r="BC335" s="171" t="n"/>
    </row>
    <row r="336" ht="15" customHeight="1" s="144">
      <c r="AB336" s="89" t="n"/>
      <c r="AC336" s="104" t="n"/>
      <c r="AD336" s="91" t="n"/>
      <c r="AE336" s="90" t="n"/>
      <c r="AF336" s="90" t="n"/>
      <c r="AG336" s="92" t="n"/>
      <c r="AL336" s="93" t="n"/>
      <c r="AM336" s="94" t="n"/>
      <c r="AN336" s="95" t="n"/>
      <c r="AO336" s="96" t="n"/>
      <c r="AV336" s="90" t="n"/>
      <c r="AW336" s="100" t="n"/>
      <c r="AX336" s="170" t="n"/>
      <c r="AY336" s="170" t="n"/>
      <c r="AZ336" s="170" t="n"/>
      <c r="BA336" s="170" t="n"/>
      <c r="BB336" s="170" t="n"/>
      <c r="BC336" s="171" t="n"/>
    </row>
    <row r="337" ht="15" customHeight="1" s="144">
      <c r="AB337" s="89" t="n"/>
      <c r="AC337" s="104" t="n"/>
      <c r="AD337" s="91" t="n"/>
      <c r="AE337" s="90" t="n"/>
      <c r="AF337" s="90" t="n"/>
      <c r="AG337" s="92" t="n"/>
      <c r="AL337" s="93" t="n"/>
      <c r="AM337" s="94" t="n"/>
      <c r="AN337" s="95" t="n"/>
      <c r="AO337" s="96" t="n"/>
      <c r="AV337" s="90" t="n"/>
      <c r="AW337" s="100" t="n"/>
      <c r="AX337" s="170" t="n"/>
      <c r="AY337" s="170" t="n"/>
      <c r="AZ337" s="170" t="n"/>
      <c r="BA337" s="170" t="n"/>
      <c r="BB337" s="170" t="n"/>
      <c r="BC337" s="171" t="n"/>
    </row>
    <row r="338" ht="15" customHeight="1" s="144">
      <c r="AB338" s="89" t="n"/>
      <c r="AC338" s="104" t="n"/>
      <c r="AD338" s="91" t="n"/>
      <c r="AE338" s="90" t="n"/>
      <c r="AF338" s="90" t="n"/>
      <c r="AG338" s="92" t="n"/>
      <c r="AL338" s="93" t="n"/>
      <c r="AM338" s="94" t="n"/>
      <c r="AN338" s="95" t="n"/>
      <c r="AO338" s="96" t="n"/>
      <c r="AV338" s="90" t="n"/>
      <c r="AW338" s="100" t="n"/>
      <c r="AX338" s="170" t="n"/>
      <c r="AY338" s="170" t="n"/>
      <c r="AZ338" s="170" t="n"/>
      <c r="BA338" s="170" t="n"/>
      <c r="BB338" s="170" t="n"/>
      <c r="BC338" s="171" t="n"/>
    </row>
    <row r="339" ht="15" customHeight="1" s="144">
      <c r="AB339" s="89" t="n"/>
      <c r="AC339" s="104" t="n"/>
      <c r="AD339" s="91" t="n"/>
      <c r="AE339" s="90" t="n"/>
      <c r="AF339" s="90" t="n"/>
      <c r="AG339" s="92" t="n"/>
      <c r="AL339" s="93" t="n"/>
      <c r="AM339" s="94" t="n"/>
      <c r="AN339" s="95" t="n"/>
      <c r="AO339" s="96" t="n"/>
      <c r="AV339" s="90" t="n"/>
      <c r="AW339" s="100" t="n"/>
      <c r="AX339" s="170" t="n"/>
      <c r="AY339" s="170" t="n"/>
      <c r="AZ339" s="170" t="n"/>
      <c r="BA339" s="170" t="n"/>
      <c r="BB339" s="170" t="n"/>
      <c r="BC339" s="171" t="n"/>
    </row>
    <row r="340" ht="15" customHeight="1" s="144">
      <c r="AB340" s="89" t="n"/>
      <c r="AC340" s="104" t="n"/>
      <c r="AD340" s="91" t="n"/>
      <c r="AE340" s="90" t="n"/>
      <c r="AF340" s="90" t="n"/>
      <c r="AG340" s="92" t="n"/>
      <c r="AL340" s="93" t="n"/>
      <c r="AM340" s="94" t="n"/>
      <c r="AN340" s="95" t="n"/>
      <c r="AO340" s="96" t="n"/>
      <c r="AV340" s="90" t="n"/>
      <c r="AW340" s="100" t="n"/>
      <c r="AX340" s="170" t="n"/>
      <c r="AY340" s="170" t="n"/>
      <c r="AZ340" s="170" t="n"/>
      <c r="BA340" s="170" t="n"/>
      <c r="BB340" s="170" t="n"/>
      <c r="BC340" s="171" t="n"/>
    </row>
    <row r="341" ht="15" customHeight="1" s="144">
      <c r="AB341" s="89" t="n"/>
      <c r="AC341" s="104" t="n"/>
      <c r="AD341" s="91" t="n"/>
      <c r="AE341" s="90" t="n"/>
      <c r="AF341" s="90" t="n"/>
      <c r="AG341" s="92" t="n"/>
      <c r="AL341" s="93" t="n"/>
      <c r="AM341" s="94" t="n"/>
      <c r="AN341" s="95" t="n"/>
      <c r="AO341" s="96" t="n"/>
      <c r="AV341" s="90" t="n"/>
      <c r="AW341" s="100" t="n"/>
      <c r="AX341" s="170" t="n"/>
      <c r="AY341" s="170" t="n"/>
      <c r="AZ341" s="170" t="n"/>
      <c r="BA341" s="170" t="n"/>
      <c r="BB341" s="170" t="n"/>
      <c r="BC341" s="171" t="n"/>
    </row>
    <row r="342" ht="15" customHeight="1" s="144">
      <c r="AB342" s="89" t="n"/>
      <c r="AC342" s="104" t="n"/>
      <c r="AD342" s="91" t="n"/>
      <c r="AE342" s="90" t="n"/>
      <c r="AF342" s="90" t="n"/>
      <c r="AG342" s="92" t="n"/>
      <c r="AL342" s="93" t="n"/>
      <c r="AM342" s="94" t="n"/>
      <c r="AN342" s="95" t="n"/>
      <c r="AO342" s="96" t="n"/>
      <c r="AV342" s="90" t="n"/>
      <c r="AW342" s="100" t="n"/>
      <c r="AX342" s="170" t="n"/>
      <c r="AY342" s="170" t="n"/>
      <c r="AZ342" s="170" t="n"/>
      <c r="BA342" s="170" t="n"/>
      <c r="BB342" s="170" t="n"/>
      <c r="BC342" s="171" t="n"/>
    </row>
    <row r="343" ht="15" customHeight="1" s="144">
      <c r="AB343" s="89" t="n"/>
      <c r="AC343" s="104" t="n"/>
      <c r="AD343" s="91" t="n"/>
      <c r="AE343" s="90" t="n"/>
      <c r="AF343" s="90" t="n"/>
      <c r="AG343" s="92" t="n"/>
      <c r="AL343" s="93" t="n"/>
      <c r="AM343" s="94" t="n"/>
      <c r="AN343" s="95" t="n"/>
      <c r="AO343" s="96" t="n"/>
      <c r="AV343" s="90" t="n"/>
      <c r="AW343" s="100" t="n"/>
      <c r="AX343" s="170" t="n"/>
      <c r="AY343" s="170" t="n"/>
      <c r="AZ343" s="170" t="n"/>
      <c r="BA343" s="170" t="n"/>
      <c r="BB343" s="170" t="n"/>
      <c r="BC343" s="171" t="n"/>
    </row>
    <row r="344" ht="15" customHeight="1" s="144">
      <c r="AB344" s="89" t="n"/>
      <c r="AC344" s="104" t="n"/>
      <c r="AD344" s="91" t="n"/>
      <c r="AE344" s="90" t="n"/>
      <c r="AF344" s="90" t="n"/>
      <c r="AG344" s="92" t="n"/>
      <c r="AL344" s="93" t="n"/>
      <c r="AM344" s="94" t="n"/>
      <c r="AN344" s="95" t="n"/>
      <c r="AO344" s="96" t="n"/>
      <c r="AV344" s="90" t="n"/>
      <c r="AW344" s="100" t="n"/>
      <c r="AX344" s="170" t="n"/>
      <c r="AY344" s="170" t="n"/>
      <c r="AZ344" s="170" t="n"/>
      <c r="BA344" s="170" t="n"/>
      <c r="BB344" s="170" t="n"/>
      <c r="BC344" s="171" t="n"/>
    </row>
    <row r="345" ht="15" customHeight="1" s="144">
      <c r="AB345" s="89" t="n"/>
      <c r="AC345" s="104" t="n"/>
      <c r="AD345" s="91" t="n"/>
      <c r="AE345" s="90" t="n"/>
      <c r="AF345" s="90" t="n"/>
      <c r="AG345" s="92" t="n"/>
      <c r="AL345" s="93" t="n"/>
      <c r="AM345" s="94" t="n"/>
      <c r="AN345" s="95" t="n"/>
      <c r="AO345" s="96" t="n"/>
      <c r="AV345" s="90" t="n"/>
      <c r="AW345" s="100" t="n"/>
      <c r="AX345" s="170" t="n"/>
      <c r="AY345" s="170" t="n"/>
      <c r="AZ345" s="170" t="n"/>
      <c r="BA345" s="170" t="n"/>
      <c r="BB345" s="170" t="n"/>
      <c r="BC345" s="171" t="n"/>
    </row>
    <row r="346" ht="15" customHeight="1" s="144">
      <c r="AB346" s="89" t="n"/>
      <c r="AC346" s="104" t="n"/>
      <c r="AD346" s="91" t="n"/>
      <c r="AE346" s="90" t="n"/>
      <c r="AF346" s="90" t="n"/>
      <c r="AG346" s="92" t="n"/>
      <c r="AL346" s="93" t="n"/>
      <c r="AM346" s="94" t="n"/>
      <c r="AN346" s="95" t="n"/>
      <c r="AO346" s="96" t="n"/>
      <c r="AV346" s="90" t="n"/>
      <c r="AW346" s="100" t="n"/>
      <c r="AX346" s="170" t="n"/>
      <c r="AY346" s="170" t="n"/>
      <c r="AZ346" s="170" t="n"/>
      <c r="BA346" s="170" t="n"/>
      <c r="BB346" s="170" t="n"/>
      <c r="BC346" s="171" t="n"/>
    </row>
    <row r="347" ht="15" customHeight="1" s="144">
      <c r="AB347" s="89" t="n"/>
      <c r="AC347" s="104" t="n"/>
      <c r="AD347" s="91" t="n"/>
      <c r="AE347" s="90" t="n"/>
      <c r="AF347" s="90" t="n"/>
      <c r="AG347" s="92" t="n"/>
      <c r="AL347" s="93" t="n"/>
      <c r="AM347" s="94" t="n"/>
      <c r="AN347" s="95" t="n"/>
      <c r="AO347" s="96" t="n"/>
      <c r="AV347" s="90" t="n"/>
      <c r="AW347" s="100" t="n"/>
      <c r="AX347" s="170" t="n"/>
      <c r="AY347" s="170" t="n"/>
      <c r="AZ347" s="170" t="n"/>
      <c r="BA347" s="170" t="n"/>
      <c r="BB347" s="170" t="n"/>
      <c r="BC347" s="171" t="n"/>
    </row>
    <row r="348" ht="15" customHeight="1" s="144">
      <c r="AB348" s="89" t="n"/>
      <c r="AC348" s="104" t="n"/>
      <c r="AD348" s="91" t="n"/>
      <c r="AE348" s="90" t="n"/>
      <c r="AF348" s="90" t="n"/>
      <c r="AG348" s="92" t="n"/>
      <c r="AL348" s="93" t="n"/>
      <c r="AM348" s="94" t="n"/>
      <c r="AN348" s="95" t="n"/>
      <c r="AO348" s="96" t="n"/>
      <c r="AV348" s="90" t="n"/>
      <c r="AW348" s="100" t="n"/>
      <c r="AX348" s="170" t="n"/>
      <c r="AY348" s="170" t="n"/>
      <c r="AZ348" s="170" t="n"/>
      <c r="BA348" s="170" t="n"/>
      <c r="BB348" s="170" t="n"/>
      <c r="BC348" s="171" t="n"/>
    </row>
    <row r="349" ht="15" customHeight="1" s="144">
      <c r="AB349" s="89" t="n"/>
      <c r="AC349" s="104" t="n"/>
      <c r="AD349" s="91" t="n"/>
      <c r="AE349" s="90" t="n"/>
      <c r="AF349" s="90" t="n"/>
      <c r="AG349" s="92" t="n"/>
      <c r="AL349" s="93" t="n"/>
      <c r="AM349" s="94" t="n"/>
      <c r="AN349" s="95" t="n"/>
      <c r="AO349" s="96" t="n"/>
      <c r="AV349" s="90" t="n"/>
      <c r="AW349" s="100" t="n"/>
      <c r="AX349" s="170" t="n"/>
      <c r="AY349" s="170" t="n"/>
      <c r="AZ349" s="170" t="n"/>
      <c r="BA349" s="170" t="n"/>
      <c r="BB349" s="170" t="n"/>
      <c r="BC349" s="171" t="n"/>
    </row>
    <row r="350" ht="15" customHeight="1" s="144">
      <c r="AB350" s="89" t="n"/>
      <c r="AC350" s="104" t="n"/>
      <c r="AD350" s="91" t="n"/>
      <c r="AE350" s="90" t="n"/>
      <c r="AF350" s="90" t="n"/>
      <c r="AG350" s="92" t="n"/>
      <c r="AL350" s="93" t="n"/>
      <c r="AM350" s="94" t="n"/>
      <c r="AN350" s="95" t="n"/>
      <c r="AO350" s="96" t="n"/>
      <c r="AV350" s="90" t="n"/>
      <c r="AW350" s="100" t="n"/>
      <c r="AX350" s="170" t="n"/>
      <c r="AY350" s="170" t="n"/>
      <c r="AZ350" s="170" t="n"/>
      <c r="BA350" s="170" t="n"/>
      <c r="BB350" s="170" t="n"/>
      <c r="BC350" s="171" t="n"/>
    </row>
    <row r="351" ht="15" customHeight="1" s="144">
      <c r="AB351" s="89" t="n"/>
      <c r="AC351" s="104" t="n"/>
      <c r="AD351" s="91" t="n"/>
      <c r="AE351" s="90" t="n"/>
      <c r="AF351" s="90" t="n"/>
      <c r="AG351" s="92" t="n"/>
      <c r="AL351" s="93" t="n"/>
      <c r="AM351" s="94" t="n"/>
      <c r="AN351" s="95" t="n"/>
      <c r="AO351" s="96" t="n"/>
      <c r="AV351" s="90" t="n"/>
      <c r="AW351" s="100" t="n"/>
      <c r="AX351" s="170" t="n"/>
      <c r="AY351" s="170" t="n"/>
      <c r="AZ351" s="170" t="n"/>
      <c r="BA351" s="170" t="n"/>
      <c r="BB351" s="170" t="n"/>
      <c r="BC351" s="171" t="n"/>
    </row>
    <row r="352" ht="15" customHeight="1" s="144">
      <c r="AB352" s="89" t="n"/>
      <c r="AC352" s="104" t="n"/>
      <c r="AD352" s="91" t="n"/>
      <c r="AE352" s="90" t="n"/>
      <c r="AF352" s="90" t="n"/>
      <c r="AG352" s="92" t="n"/>
      <c r="AL352" s="93" t="n"/>
      <c r="AM352" s="94" t="n"/>
      <c r="AN352" s="95" t="n"/>
      <c r="AO352" s="96" t="n"/>
      <c r="AV352" s="90" t="n"/>
      <c r="AW352" s="100" t="n"/>
      <c r="AX352" s="170" t="n"/>
      <c r="AY352" s="170" t="n"/>
      <c r="AZ352" s="170" t="n"/>
      <c r="BA352" s="170" t="n"/>
      <c r="BB352" s="170" t="n"/>
      <c r="BC352" s="171" t="n"/>
    </row>
    <row r="353" ht="15" customHeight="1" s="144">
      <c r="AB353" s="89" t="n"/>
      <c r="AC353" s="104" t="n"/>
      <c r="AD353" s="91" t="n"/>
      <c r="AE353" s="90" t="n"/>
      <c r="AF353" s="90" t="n"/>
      <c r="AG353" s="92" t="n"/>
      <c r="AL353" s="93" t="n"/>
      <c r="AM353" s="94" t="n"/>
      <c r="AN353" s="95" t="n"/>
      <c r="AO353" s="96" t="n"/>
      <c r="AV353" s="90" t="n"/>
      <c r="AW353" s="100" t="n"/>
      <c r="AX353" s="170" t="n"/>
      <c r="AY353" s="170" t="n"/>
      <c r="AZ353" s="170" t="n"/>
      <c r="BA353" s="170" t="n"/>
      <c r="BB353" s="170" t="n"/>
      <c r="BC353" s="171" t="n"/>
    </row>
    <row r="354" ht="15" customHeight="1" s="144">
      <c r="AB354" s="89" t="n"/>
      <c r="AC354" s="104" t="n"/>
      <c r="AD354" s="91" t="n"/>
      <c r="AE354" s="90" t="n"/>
      <c r="AF354" s="90" t="n"/>
      <c r="AG354" s="92" t="n"/>
      <c r="AL354" s="93" t="n"/>
      <c r="AM354" s="94" t="n"/>
      <c r="AN354" s="95" t="n"/>
      <c r="AO354" s="96" t="n"/>
      <c r="AV354" s="90" t="n"/>
      <c r="AW354" s="100" t="n"/>
      <c r="AX354" s="170" t="n"/>
      <c r="AY354" s="170" t="n"/>
      <c r="AZ354" s="170" t="n"/>
      <c r="BA354" s="170" t="n"/>
      <c r="BB354" s="170" t="n"/>
      <c r="BC354" s="171" t="n"/>
    </row>
    <row r="355" ht="15" customHeight="1" s="144">
      <c r="AB355" s="89" t="n"/>
      <c r="AC355" s="104" t="n"/>
      <c r="AD355" s="91" t="n"/>
      <c r="AE355" s="90" t="n"/>
      <c r="AF355" s="90" t="n"/>
      <c r="AG355" s="92" t="n"/>
      <c r="AL355" s="93" t="n"/>
      <c r="AM355" s="94" t="n"/>
      <c r="AN355" s="95" t="n"/>
      <c r="AO355" s="96" t="n"/>
      <c r="AV355" s="90" t="n"/>
      <c r="AW355" s="100" t="n"/>
      <c r="AX355" s="170" t="n"/>
      <c r="AY355" s="170" t="n"/>
      <c r="AZ355" s="170" t="n"/>
      <c r="BA355" s="170" t="n"/>
      <c r="BB355" s="170" t="n"/>
      <c r="BC355" s="171" t="n"/>
    </row>
    <row r="356" ht="15" customHeight="1" s="144">
      <c r="AB356" s="89" t="n"/>
      <c r="AC356" s="104" t="n"/>
      <c r="AD356" s="91" t="n"/>
      <c r="AE356" s="90" t="n"/>
      <c r="AF356" s="90" t="n"/>
      <c r="AG356" s="92" t="n"/>
      <c r="AL356" s="93" t="n"/>
      <c r="AM356" s="94" t="n"/>
      <c r="AN356" s="95" t="n"/>
      <c r="AO356" s="96" t="n"/>
      <c r="AV356" s="90" t="n"/>
      <c r="AW356" s="100" t="n"/>
      <c r="AX356" s="170" t="n"/>
      <c r="AY356" s="170" t="n"/>
      <c r="AZ356" s="170" t="n"/>
      <c r="BA356" s="170" t="n"/>
      <c r="BB356" s="170" t="n"/>
      <c r="BC356" s="171" t="n"/>
    </row>
    <row r="357" ht="15" customHeight="1" s="144">
      <c r="AB357" s="89" t="n"/>
      <c r="AC357" s="104" t="n"/>
      <c r="AD357" s="91" t="n"/>
      <c r="AE357" s="90" t="n"/>
      <c r="AF357" s="90" t="n"/>
      <c r="AG357" s="92" t="n"/>
      <c r="AL357" s="93" t="n"/>
      <c r="AM357" s="94" t="n"/>
      <c r="AN357" s="95" t="n"/>
      <c r="AO357" s="96" t="n"/>
      <c r="AV357" s="90" t="n"/>
      <c r="AW357" s="100" t="n"/>
      <c r="AX357" s="170" t="n"/>
      <c r="AY357" s="170" t="n"/>
      <c r="AZ357" s="170" t="n"/>
      <c r="BA357" s="170" t="n"/>
      <c r="BB357" s="170" t="n"/>
      <c r="BC357" s="171" t="n"/>
    </row>
    <row r="358" ht="15" customHeight="1" s="144">
      <c r="AB358" s="89" t="n"/>
      <c r="AC358" s="104" t="n"/>
      <c r="AD358" s="91" t="n"/>
      <c r="AE358" s="90" t="n"/>
      <c r="AF358" s="90" t="n"/>
      <c r="AG358" s="92" t="n"/>
      <c r="AL358" s="93" t="n"/>
      <c r="AM358" s="94" t="n"/>
      <c r="AN358" s="95" t="n"/>
      <c r="AO358" s="96" t="n"/>
      <c r="AV358" s="90" t="n"/>
      <c r="AW358" s="100" t="n"/>
      <c r="AX358" s="170" t="n"/>
      <c r="AY358" s="170" t="n"/>
      <c r="AZ358" s="170" t="n"/>
      <c r="BA358" s="170" t="n"/>
      <c r="BB358" s="170" t="n"/>
      <c r="BC358" s="171" t="n"/>
    </row>
    <row r="359" ht="15" customHeight="1" s="144">
      <c r="AB359" s="89" t="n"/>
      <c r="AC359" s="104" t="n"/>
      <c r="AD359" s="91" t="n"/>
      <c r="AE359" s="90" t="n"/>
      <c r="AF359" s="90" t="n"/>
      <c r="AG359" s="92" t="n"/>
      <c r="AL359" s="93" t="n"/>
      <c r="AM359" s="94" t="n"/>
      <c r="AN359" s="95" t="n"/>
      <c r="AO359" s="96" t="n"/>
      <c r="AV359" s="90" t="n"/>
      <c r="AW359" s="100" t="n"/>
      <c r="AX359" s="170" t="n"/>
      <c r="AY359" s="170" t="n"/>
      <c r="AZ359" s="170" t="n"/>
      <c r="BA359" s="170" t="n"/>
      <c r="BB359" s="170" t="n"/>
      <c r="BC359" s="171" t="n"/>
    </row>
    <row r="360" ht="15" customHeight="1" s="144">
      <c r="AB360" s="89" t="n"/>
      <c r="AC360" s="104" t="n"/>
      <c r="AD360" s="91" t="n"/>
      <c r="AE360" s="90" t="n"/>
      <c r="AF360" s="90" t="n"/>
      <c r="AG360" s="92" t="n"/>
      <c r="AL360" s="93" t="n"/>
      <c r="AM360" s="94" t="n"/>
      <c r="AN360" s="95" t="n"/>
      <c r="AO360" s="96" t="n"/>
      <c r="AV360" s="90" t="n"/>
      <c r="AW360" s="100" t="n"/>
      <c r="AX360" s="170" t="n"/>
      <c r="AY360" s="170" t="n"/>
      <c r="AZ360" s="170" t="n"/>
      <c r="BA360" s="170" t="n"/>
      <c r="BB360" s="170" t="n"/>
      <c r="BC360" s="171" t="n"/>
    </row>
    <row r="361" ht="15" customHeight="1" s="144">
      <c r="AB361" s="89" t="n"/>
      <c r="AC361" s="104" t="n"/>
      <c r="AD361" s="91" t="n"/>
      <c r="AE361" s="90" t="n"/>
      <c r="AF361" s="90" t="n"/>
      <c r="AG361" s="92" t="n"/>
      <c r="AL361" s="93" t="n"/>
      <c r="AM361" s="94" t="n"/>
      <c r="AN361" s="95" t="n"/>
      <c r="AO361" s="96" t="n"/>
      <c r="AV361" s="90" t="n"/>
      <c r="AW361" s="100" t="n"/>
      <c r="AX361" s="170" t="n"/>
      <c r="AY361" s="170" t="n"/>
      <c r="AZ361" s="170" t="n"/>
      <c r="BA361" s="170" t="n"/>
      <c r="BB361" s="170" t="n"/>
      <c r="BC361" s="171" t="n"/>
    </row>
    <row r="362" ht="15" customHeight="1" s="144">
      <c r="AB362" s="89" t="n"/>
      <c r="AC362" s="104" t="n"/>
      <c r="AD362" s="91" t="n"/>
      <c r="AE362" s="90" t="n"/>
      <c r="AF362" s="90" t="n"/>
      <c r="AG362" s="92" t="n"/>
      <c r="AL362" s="93" t="n"/>
      <c r="AM362" s="94" t="n"/>
      <c r="AN362" s="95" t="n"/>
      <c r="AO362" s="96" t="n"/>
      <c r="AV362" s="90" t="n"/>
      <c r="AW362" s="100" t="n"/>
      <c r="AX362" s="170" t="n"/>
      <c r="AY362" s="170" t="n"/>
      <c r="AZ362" s="170" t="n"/>
      <c r="BA362" s="170" t="n"/>
      <c r="BB362" s="170" t="n"/>
      <c r="BC362" s="171" t="n"/>
    </row>
    <row r="363" ht="15" customHeight="1" s="144">
      <c r="AB363" s="89" t="n"/>
      <c r="AC363" s="104" t="n"/>
      <c r="AD363" s="91" t="n"/>
      <c r="AE363" s="90" t="n"/>
      <c r="AF363" s="90" t="n"/>
      <c r="AG363" s="92" t="n"/>
      <c r="AL363" s="93" t="n"/>
      <c r="AM363" s="94" t="n"/>
      <c r="AN363" s="95" t="n"/>
      <c r="AO363" s="96" t="n"/>
      <c r="AV363" s="90" t="n"/>
      <c r="AW363" s="100" t="n"/>
      <c r="AX363" s="170" t="n"/>
      <c r="AY363" s="170" t="n"/>
      <c r="AZ363" s="170" t="n"/>
      <c r="BA363" s="170" t="n"/>
      <c r="BB363" s="170" t="n"/>
      <c r="BC363" s="171" t="n"/>
    </row>
    <row r="364" ht="15" customHeight="1" s="144">
      <c r="AB364" s="89" t="n"/>
      <c r="AC364" s="104" t="n"/>
      <c r="AD364" s="91" t="n"/>
      <c r="AE364" s="90" t="n"/>
      <c r="AF364" s="90" t="n"/>
      <c r="AG364" s="92" t="n"/>
      <c r="AL364" s="93" t="n"/>
      <c r="AM364" s="94" t="n"/>
      <c r="AN364" s="95" t="n"/>
      <c r="AO364" s="96" t="n"/>
      <c r="AV364" s="90" t="n"/>
      <c r="AW364" s="100" t="n"/>
      <c r="AX364" s="170" t="n"/>
      <c r="AY364" s="170" t="n"/>
      <c r="AZ364" s="170" t="n"/>
      <c r="BA364" s="170" t="n"/>
      <c r="BB364" s="170" t="n"/>
      <c r="BC364" s="171" t="n"/>
    </row>
    <row r="365" ht="15" customHeight="1" s="144">
      <c r="AB365" s="89" t="n"/>
      <c r="AC365" s="104" t="n"/>
      <c r="AD365" s="91" t="n"/>
      <c r="AE365" s="90" t="n"/>
      <c r="AF365" s="90" t="n"/>
      <c r="AG365" s="92" t="n"/>
      <c r="AL365" s="93" t="n"/>
      <c r="AM365" s="94" t="n"/>
      <c r="AN365" s="95" t="n"/>
      <c r="AO365" s="96" t="n"/>
      <c r="AV365" s="90" t="n"/>
      <c r="AW365" s="100" t="n"/>
      <c r="AX365" s="170" t="n"/>
      <c r="AY365" s="170" t="n"/>
      <c r="AZ365" s="170" t="n"/>
      <c r="BA365" s="170" t="n"/>
      <c r="BB365" s="170" t="n"/>
      <c r="BC365" s="171" t="n"/>
    </row>
    <row r="366" ht="15" customHeight="1" s="144">
      <c r="AB366" s="89" t="n"/>
      <c r="AC366" s="104" t="n"/>
      <c r="AD366" s="91" t="n"/>
      <c r="AE366" s="90" t="n"/>
      <c r="AF366" s="90" t="n"/>
      <c r="AG366" s="92" t="n"/>
      <c r="AL366" s="93" t="n"/>
      <c r="AM366" s="94" t="n"/>
      <c r="AN366" s="95" t="n"/>
      <c r="AO366" s="96" t="n"/>
      <c r="AV366" s="90" t="n"/>
      <c r="AW366" s="100" t="n"/>
      <c r="AX366" s="170" t="n"/>
      <c r="AY366" s="170" t="n"/>
      <c r="AZ366" s="170" t="n"/>
      <c r="BA366" s="170" t="n"/>
      <c r="BB366" s="170" t="n"/>
      <c r="BC366" s="171" t="n"/>
    </row>
    <row r="367" ht="15" customHeight="1" s="144">
      <c r="AB367" s="89" t="n"/>
      <c r="AC367" s="104" t="n"/>
      <c r="AD367" s="91" t="n"/>
      <c r="AE367" s="90" t="n"/>
      <c r="AF367" s="90" t="n"/>
      <c r="AG367" s="92" t="n"/>
      <c r="AL367" s="93" t="n"/>
      <c r="AM367" s="94" t="n"/>
      <c r="AN367" s="95" t="n"/>
      <c r="AO367" s="96" t="n"/>
      <c r="AV367" s="90" t="n"/>
      <c r="AW367" s="100" t="n"/>
      <c r="AX367" s="170" t="n"/>
      <c r="AY367" s="170" t="n"/>
      <c r="AZ367" s="170" t="n"/>
      <c r="BA367" s="170" t="n"/>
      <c r="BB367" s="170" t="n"/>
      <c r="BC367" s="171" t="n"/>
    </row>
    <row r="368" ht="15" customHeight="1" s="144">
      <c r="AB368" s="89" t="n"/>
      <c r="AC368" s="104" t="n"/>
      <c r="AD368" s="91" t="n"/>
      <c r="AE368" s="90" t="n"/>
      <c r="AF368" s="90" t="n"/>
      <c r="AG368" s="92" t="n"/>
      <c r="AL368" s="93" t="n"/>
      <c r="AM368" s="94" t="n"/>
      <c r="AN368" s="95" t="n"/>
      <c r="AO368" s="96" t="n"/>
      <c r="AV368" s="90" t="n"/>
      <c r="AW368" s="100" t="n"/>
      <c r="AX368" s="170" t="n"/>
      <c r="AY368" s="170" t="n"/>
      <c r="AZ368" s="170" t="n"/>
      <c r="BA368" s="170" t="n"/>
      <c r="BB368" s="170" t="n"/>
      <c r="BC368" s="171" t="n"/>
    </row>
    <row r="369" ht="15" customHeight="1" s="144">
      <c r="AB369" s="89" t="n"/>
      <c r="AC369" s="104" t="n"/>
      <c r="AD369" s="91" t="n"/>
      <c r="AE369" s="90" t="n"/>
      <c r="AF369" s="90" t="n"/>
      <c r="AG369" s="92" t="n"/>
      <c r="AL369" s="93" t="n"/>
      <c r="AM369" s="94" t="n"/>
      <c r="AN369" s="95" t="n"/>
      <c r="AO369" s="96" t="n"/>
      <c r="AV369" s="90" t="n"/>
      <c r="AW369" s="100" t="n"/>
      <c r="AX369" s="170" t="n"/>
      <c r="AY369" s="170" t="n"/>
      <c r="AZ369" s="170" t="n"/>
      <c r="BA369" s="170" t="n"/>
      <c r="BB369" s="170" t="n"/>
      <c r="BC369" s="171" t="n"/>
    </row>
    <row r="370" ht="15" customHeight="1" s="144">
      <c r="AB370" s="89" t="n"/>
      <c r="AC370" s="104" t="n"/>
      <c r="AD370" s="91" t="n"/>
      <c r="AE370" s="90" t="n"/>
      <c r="AF370" s="90" t="n"/>
      <c r="AG370" s="92" t="n"/>
      <c r="AL370" s="93" t="n"/>
      <c r="AM370" s="94" t="n"/>
      <c r="AN370" s="95" t="n"/>
      <c r="AO370" s="96" t="n"/>
      <c r="AV370" s="90" t="n"/>
      <c r="AW370" s="100" t="n"/>
      <c r="AX370" s="170" t="n"/>
      <c r="AY370" s="170" t="n"/>
      <c r="AZ370" s="170" t="n"/>
      <c r="BA370" s="170" t="n"/>
      <c r="BB370" s="170" t="n"/>
      <c r="BC370" s="171" t="n"/>
    </row>
    <row r="371" ht="15" customHeight="1" s="144">
      <c r="AB371" s="89" t="n"/>
      <c r="AC371" s="104" t="n"/>
      <c r="AD371" s="91" t="n"/>
      <c r="AE371" s="90" t="n"/>
      <c r="AF371" s="90" t="n"/>
      <c r="AG371" s="92" t="n"/>
      <c r="AL371" s="93" t="n"/>
      <c r="AM371" s="94" t="n"/>
      <c r="AN371" s="95" t="n"/>
      <c r="AO371" s="96" t="n"/>
      <c r="AV371" s="90" t="n"/>
      <c r="AW371" s="100" t="n"/>
      <c r="AX371" s="170" t="n"/>
      <c r="AY371" s="170" t="n"/>
      <c r="AZ371" s="170" t="n"/>
      <c r="BA371" s="170" t="n"/>
      <c r="BB371" s="170" t="n"/>
      <c r="BC371" s="171" t="n"/>
    </row>
    <row r="372" ht="15" customHeight="1" s="144">
      <c r="AB372" s="89" t="n"/>
      <c r="AC372" s="104" t="n"/>
      <c r="AD372" s="91" t="n"/>
      <c r="AE372" s="90" t="n"/>
      <c r="AF372" s="90" t="n"/>
      <c r="AG372" s="92" t="n"/>
      <c r="AL372" s="93" t="n"/>
      <c r="AM372" s="94" t="n"/>
      <c r="AN372" s="95" t="n"/>
      <c r="AO372" s="96" t="n"/>
      <c r="AV372" s="90" t="n"/>
      <c r="AW372" s="100" t="n"/>
      <c r="AX372" s="170" t="n"/>
      <c r="AY372" s="170" t="n"/>
      <c r="AZ372" s="170" t="n"/>
      <c r="BA372" s="170" t="n"/>
      <c r="BB372" s="170" t="n"/>
      <c r="BC372" s="171" t="n"/>
    </row>
    <row r="373" ht="15" customHeight="1" s="144">
      <c r="AB373" s="89" t="n"/>
      <c r="AC373" s="104" t="n"/>
      <c r="AD373" s="91" t="n"/>
      <c r="AE373" s="90" t="n"/>
      <c r="AF373" s="90" t="n"/>
      <c r="AG373" s="92" t="n"/>
      <c r="AL373" s="93" t="n"/>
      <c r="AM373" s="94" t="n"/>
      <c r="AN373" s="95" t="n"/>
      <c r="AO373" s="96" t="n"/>
      <c r="AV373" s="90" t="n"/>
      <c r="AW373" s="100" t="n"/>
      <c r="AX373" s="170" t="n"/>
      <c r="AY373" s="170" t="n"/>
      <c r="AZ373" s="170" t="n"/>
      <c r="BA373" s="170" t="n"/>
      <c r="BB373" s="170" t="n"/>
      <c r="BC373" s="171" t="n"/>
    </row>
    <row r="374" ht="15" customHeight="1" s="144">
      <c r="AB374" s="89" t="n"/>
      <c r="AC374" s="104" t="n"/>
      <c r="AD374" s="91" t="n"/>
      <c r="AE374" s="90" t="n"/>
      <c r="AF374" s="90" t="n"/>
      <c r="AG374" s="92" t="n"/>
      <c r="AL374" s="93" t="n"/>
      <c r="AM374" s="94" t="n"/>
      <c r="AN374" s="95" t="n"/>
      <c r="AO374" s="96" t="n"/>
      <c r="AV374" s="90" t="n"/>
      <c r="AW374" s="100" t="n"/>
      <c r="AX374" s="170" t="n"/>
      <c r="AY374" s="170" t="n"/>
      <c r="AZ374" s="170" t="n"/>
      <c r="BA374" s="170" t="n"/>
      <c r="BB374" s="170" t="n"/>
      <c r="BC374" s="171" t="n"/>
    </row>
    <row r="375" ht="15" customHeight="1" s="144">
      <c r="AB375" s="89" t="n"/>
      <c r="AC375" s="104" t="n"/>
      <c r="AD375" s="91" t="n"/>
      <c r="AE375" s="90" t="n"/>
      <c r="AF375" s="90" t="n"/>
      <c r="AG375" s="92" t="n"/>
      <c r="AL375" s="93" t="n"/>
      <c r="AM375" s="94" t="n"/>
      <c r="AN375" s="95" t="n"/>
      <c r="AO375" s="96" t="n"/>
      <c r="AV375" s="90" t="n"/>
      <c r="AW375" s="100" t="n"/>
      <c r="AX375" s="170" t="n"/>
      <c r="AY375" s="170" t="n"/>
      <c r="AZ375" s="170" t="n"/>
      <c r="BA375" s="170" t="n"/>
      <c r="BB375" s="170" t="n"/>
      <c r="BC375" s="171" t="n"/>
    </row>
    <row r="376" ht="15" customHeight="1" s="144">
      <c r="AB376" s="89" t="n"/>
      <c r="AC376" s="104" t="n"/>
      <c r="AD376" s="91" t="n"/>
      <c r="AE376" s="90" t="n"/>
      <c r="AF376" s="90" t="n"/>
      <c r="AG376" s="92" t="n"/>
      <c r="AL376" s="93" t="n"/>
      <c r="AM376" s="94" t="n"/>
      <c r="AN376" s="95" t="n"/>
      <c r="AO376" s="96" t="n"/>
      <c r="AV376" s="90" t="n"/>
      <c r="AW376" s="100" t="n"/>
      <c r="AX376" s="170" t="n"/>
      <c r="AY376" s="170" t="n"/>
      <c r="AZ376" s="170" t="n"/>
      <c r="BA376" s="170" t="n"/>
      <c r="BB376" s="170" t="n"/>
      <c r="BC376" s="171" t="n"/>
    </row>
    <row r="377" ht="15" customHeight="1" s="144">
      <c r="AB377" s="89" t="n"/>
      <c r="AC377" s="104" t="n"/>
      <c r="AD377" s="91" t="n"/>
      <c r="AE377" s="90" t="n"/>
      <c r="AF377" s="90" t="n"/>
      <c r="AG377" s="92" t="n"/>
      <c r="AL377" s="93" t="n"/>
      <c r="AM377" s="94" t="n"/>
      <c r="AN377" s="95" t="n"/>
      <c r="AO377" s="96" t="n"/>
      <c r="AV377" s="90" t="n"/>
      <c r="AW377" s="100" t="n"/>
      <c r="AX377" s="170" t="n"/>
      <c r="AY377" s="170" t="n"/>
      <c r="AZ377" s="170" t="n"/>
      <c r="BA377" s="170" t="n"/>
      <c r="BB377" s="170" t="n"/>
      <c r="BC377" s="171" t="n"/>
    </row>
    <row r="378" ht="15" customHeight="1" s="144">
      <c r="AB378" s="89" t="n"/>
      <c r="AC378" s="104" t="n"/>
      <c r="AD378" s="91" t="n"/>
      <c r="AE378" s="90" t="n"/>
      <c r="AF378" s="90" t="n"/>
      <c r="AG378" s="92" t="n"/>
      <c r="AL378" s="93" t="n"/>
      <c r="AM378" s="94" t="n"/>
      <c r="AN378" s="95" t="n"/>
      <c r="AO378" s="96" t="n"/>
      <c r="AV378" s="90" t="n"/>
      <c r="AW378" s="100" t="n"/>
      <c r="AX378" s="170" t="n"/>
      <c r="AY378" s="170" t="n"/>
      <c r="AZ378" s="170" t="n"/>
      <c r="BA378" s="170" t="n"/>
      <c r="BB378" s="170" t="n"/>
      <c r="BC378" s="171" t="n"/>
    </row>
    <row r="379" ht="15" customHeight="1" s="144">
      <c r="AB379" s="89" t="n"/>
      <c r="AC379" s="104" t="n"/>
      <c r="AD379" s="91" t="n"/>
      <c r="AE379" s="90" t="n"/>
      <c r="AF379" s="90" t="n"/>
      <c r="AG379" s="92" t="n"/>
      <c r="AL379" s="93" t="n"/>
      <c r="AM379" s="94" t="n"/>
      <c r="AN379" s="95" t="n"/>
      <c r="AO379" s="96" t="n"/>
      <c r="AV379" s="90" t="n"/>
      <c r="AW379" s="100" t="n"/>
      <c r="AX379" s="170" t="n"/>
      <c r="AY379" s="170" t="n"/>
      <c r="AZ379" s="170" t="n"/>
      <c r="BA379" s="170" t="n"/>
      <c r="BB379" s="170" t="n"/>
      <c r="BC379" s="171" t="n"/>
    </row>
    <row r="380" ht="15" customHeight="1" s="144">
      <c r="AB380" s="89" t="n"/>
      <c r="AC380" s="104" t="n"/>
      <c r="AD380" s="91" t="n"/>
      <c r="AE380" s="90" t="n"/>
      <c r="AF380" s="90" t="n"/>
      <c r="AG380" s="92" t="n"/>
      <c r="AL380" s="93" t="n"/>
      <c r="AM380" s="94" t="n"/>
      <c r="AN380" s="95" t="n"/>
      <c r="AO380" s="96" t="n"/>
      <c r="AV380" s="90" t="n"/>
      <c r="AW380" s="100" t="n"/>
      <c r="AX380" s="170" t="n"/>
      <c r="AY380" s="170" t="n"/>
      <c r="AZ380" s="170" t="n"/>
      <c r="BA380" s="170" t="n"/>
      <c r="BB380" s="170" t="n"/>
      <c r="BC380" s="171" t="n"/>
    </row>
    <row r="381" ht="15" customHeight="1" s="144">
      <c r="AB381" s="89" t="n"/>
      <c r="AC381" s="104" t="n"/>
      <c r="AD381" s="91" t="n"/>
      <c r="AE381" s="90" t="n"/>
      <c r="AF381" s="90" t="n"/>
      <c r="AG381" s="92" t="n"/>
      <c r="AL381" s="93" t="n"/>
      <c r="AM381" s="94" t="n"/>
      <c r="AN381" s="95" t="n"/>
      <c r="AO381" s="96" t="n"/>
      <c r="AV381" s="90" t="n"/>
      <c r="AW381" s="100" t="n"/>
      <c r="AX381" s="170" t="n"/>
      <c r="AY381" s="170" t="n"/>
      <c r="AZ381" s="170" t="n"/>
      <c r="BA381" s="170" t="n"/>
      <c r="BB381" s="170" t="n"/>
      <c r="BC381" s="171" t="n"/>
    </row>
    <row r="382" ht="15" customHeight="1" s="144">
      <c r="AB382" s="89" t="n"/>
      <c r="AC382" s="104" t="n"/>
      <c r="AD382" s="91" t="n"/>
      <c r="AE382" s="90" t="n"/>
      <c r="AF382" s="90" t="n"/>
      <c r="AG382" s="92" t="n"/>
      <c r="AL382" s="93" t="n"/>
      <c r="AM382" s="94" t="n"/>
      <c r="AN382" s="95" t="n"/>
      <c r="AO382" s="96" t="n"/>
      <c r="AV382" s="90" t="n"/>
      <c r="AW382" s="100" t="n"/>
      <c r="AX382" s="170" t="n"/>
      <c r="AY382" s="170" t="n"/>
      <c r="AZ382" s="170" t="n"/>
      <c r="BA382" s="170" t="n"/>
      <c r="BB382" s="170" t="n"/>
      <c r="BC382" s="171" t="n"/>
    </row>
    <row r="383" ht="15" customHeight="1" s="144">
      <c r="AB383" s="89" t="n"/>
      <c r="AC383" s="104" t="n"/>
      <c r="AD383" s="91" t="n"/>
      <c r="AE383" s="90" t="n"/>
      <c r="AF383" s="90" t="n"/>
      <c r="AG383" s="92" t="n"/>
      <c r="AL383" s="93" t="n"/>
      <c r="AM383" s="94" t="n"/>
      <c r="AN383" s="95" t="n"/>
      <c r="AO383" s="96" t="n"/>
      <c r="AV383" s="90" t="n"/>
      <c r="AW383" s="100" t="n"/>
      <c r="AX383" s="170" t="n"/>
      <c r="AY383" s="170" t="n"/>
      <c r="AZ383" s="170" t="n"/>
      <c r="BA383" s="170" t="n"/>
      <c r="BB383" s="170" t="n"/>
      <c r="BC383" s="171" t="n"/>
    </row>
    <row r="384" ht="15" customHeight="1" s="144">
      <c r="AB384" s="89" t="n"/>
      <c r="AC384" s="104" t="n"/>
      <c r="AD384" s="91" t="n"/>
      <c r="AE384" s="90" t="n"/>
      <c r="AF384" s="90" t="n"/>
      <c r="AG384" s="92" t="n"/>
      <c r="AL384" s="93" t="n"/>
      <c r="AM384" s="94" t="n"/>
      <c r="AN384" s="95" t="n"/>
      <c r="AO384" s="96" t="n"/>
      <c r="AV384" s="90" t="n"/>
      <c r="AW384" s="100" t="n"/>
      <c r="AX384" s="170" t="n"/>
      <c r="AY384" s="170" t="n"/>
      <c r="AZ384" s="170" t="n"/>
      <c r="BA384" s="170" t="n"/>
      <c r="BB384" s="170" t="n"/>
      <c r="BC384" s="171" t="n"/>
    </row>
    <row r="385" ht="15" customHeight="1" s="144">
      <c r="AB385" s="89" t="n"/>
      <c r="AC385" s="104" t="n"/>
      <c r="AD385" s="91" t="n"/>
      <c r="AE385" s="90" t="n"/>
      <c r="AF385" s="90" t="n"/>
      <c r="AG385" s="92" t="n"/>
      <c r="AL385" s="93" t="n"/>
      <c r="AM385" s="94" t="n"/>
      <c r="AN385" s="95" t="n"/>
      <c r="AO385" s="96" t="n"/>
      <c r="AV385" s="90" t="n"/>
      <c r="AW385" s="100" t="n"/>
      <c r="AX385" s="170" t="n"/>
      <c r="AY385" s="170" t="n"/>
      <c r="AZ385" s="170" t="n"/>
      <c r="BA385" s="170" t="n"/>
      <c r="BB385" s="170" t="n"/>
      <c r="BC385" s="171" t="n"/>
    </row>
    <row r="386" ht="15" customHeight="1" s="144">
      <c r="AB386" s="89" t="n"/>
      <c r="AC386" s="104" t="n"/>
      <c r="AD386" s="91" t="n"/>
      <c r="AE386" s="90" t="n"/>
      <c r="AF386" s="90" t="n"/>
      <c r="AG386" s="92" t="n"/>
      <c r="AL386" s="93" t="n"/>
      <c r="AM386" s="94" t="n"/>
      <c r="AN386" s="95" t="n"/>
      <c r="AO386" s="96" t="n"/>
      <c r="AV386" s="90" t="n"/>
      <c r="AW386" s="100" t="n"/>
      <c r="AX386" s="170" t="n"/>
      <c r="AY386" s="170" t="n"/>
      <c r="AZ386" s="170" t="n"/>
      <c r="BA386" s="170" t="n"/>
      <c r="BB386" s="170" t="n"/>
      <c r="BC386" s="171" t="n"/>
    </row>
    <row r="387" ht="15" customHeight="1" s="144">
      <c r="AB387" s="89" t="n"/>
      <c r="AC387" s="104" t="n"/>
      <c r="AD387" s="91" t="n"/>
      <c r="AE387" s="90" t="n"/>
      <c r="AF387" s="90" t="n"/>
      <c r="AG387" s="92" t="n"/>
      <c r="AL387" s="93" t="n"/>
      <c r="AM387" s="94" t="n"/>
      <c r="AN387" s="95" t="n"/>
      <c r="AO387" s="96" t="n"/>
      <c r="AV387" s="90" t="n"/>
      <c r="AW387" s="100" t="n"/>
      <c r="AX387" s="170" t="n"/>
      <c r="AY387" s="170" t="n"/>
      <c r="AZ387" s="170" t="n"/>
      <c r="BA387" s="170" t="n"/>
      <c r="BB387" s="170" t="n"/>
      <c r="BC387" s="171" t="n"/>
    </row>
    <row r="388" ht="15" customHeight="1" s="144">
      <c r="AB388" s="89" t="n"/>
      <c r="AC388" s="104" t="n"/>
      <c r="AD388" s="91" t="n"/>
      <c r="AE388" s="90" t="n"/>
      <c r="AF388" s="90" t="n"/>
      <c r="AG388" s="92" t="n"/>
      <c r="AL388" s="93" t="n"/>
      <c r="AM388" s="94" t="n"/>
      <c r="AN388" s="95" t="n"/>
      <c r="AO388" s="96" t="n"/>
      <c r="AV388" s="90" t="n"/>
      <c r="AW388" s="100" t="n"/>
      <c r="AX388" s="170" t="n"/>
      <c r="AY388" s="170" t="n"/>
      <c r="AZ388" s="170" t="n"/>
      <c r="BA388" s="170" t="n"/>
      <c r="BB388" s="170" t="n"/>
      <c r="BC388" s="171" t="n"/>
    </row>
    <row r="389" ht="15" customHeight="1" s="144">
      <c r="AB389" s="89" t="n"/>
      <c r="AC389" s="104" t="n"/>
      <c r="AD389" s="91" t="n"/>
      <c r="AE389" s="90" t="n"/>
      <c r="AF389" s="90" t="n"/>
      <c r="AG389" s="92" t="n"/>
      <c r="AL389" s="93" t="n"/>
      <c r="AM389" s="94" t="n"/>
      <c r="AN389" s="95" t="n"/>
      <c r="AO389" s="96" t="n"/>
      <c r="AV389" s="90" t="n"/>
      <c r="AW389" s="100" t="n"/>
      <c r="AX389" s="170" t="n"/>
      <c r="AY389" s="170" t="n"/>
      <c r="AZ389" s="170" t="n"/>
      <c r="BA389" s="170" t="n"/>
      <c r="BB389" s="170" t="n"/>
      <c r="BC389" s="171" t="n"/>
    </row>
    <row r="390" ht="15" customHeight="1" s="144">
      <c r="AB390" s="89" t="n"/>
      <c r="AC390" s="104" t="n"/>
      <c r="AD390" s="91" t="n"/>
      <c r="AE390" s="90" t="n"/>
      <c r="AF390" s="90" t="n"/>
      <c r="AG390" s="92" t="n"/>
      <c r="AL390" s="93" t="n"/>
      <c r="AM390" s="94" t="n"/>
      <c r="AN390" s="95" t="n"/>
      <c r="AO390" s="96" t="n"/>
      <c r="AV390" s="90" t="n"/>
      <c r="AW390" s="100" t="n"/>
      <c r="AX390" s="170" t="n"/>
      <c r="AY390" s="170" t="n"/>
      <c r="AZ390" s="170" t="n"/>
      <c r="BA390" s="170" t="n"/>
      <c r="BB390" s="170" t="n"/>
      <c r="BC390" s="171" t="n"/>
    </row>
    <row r="391" ht="15" customHeight="1" s="144">
      <c r="AB391" s="89" t="n"/>
      <c r="AC391" s="104" t="n"/>
      <c r="AD391" s="91" t="n"/>
      <c r="AE391" s="90" t="n"/>
      <c r="AF391" s="90" t="n"/>
      <c r="AG391" s="92" t="n"/>
      <c r="AL391" s="93" t="n"/>
      <c r="AM391" s="94" t="n"/>
      <c r="AN391" s="95" t="n"/>
      <c r="AO391" s="96" t="n"/>
      <c r="AV391" s="90" t="n"/>
      <c r="AW391" s="100" t="n"/>
      <c r="AX391" s="170" t="n"/>
      <c r="AY391" s="170" t="n"/>
      <c r="AZ391" s="170" t="n"/>
      <c r="BA391" s="170" t="n"/>
      <c r="BB391" s="170" t="n"/>
      <c r="BC391" s="171" t="n"/>
    </row>
    <row r="392" ht="15" customHeight="1" s="144">
      <c r="AB392" s="89" t="n"/>
      <c r="AC392" s="104" t="n"/>
      <c r="AD392" s="91" t="n"/>
      <c r="AE392" s="90" t="n"/>
      <c r="AF392" s="90" t="n"/>
      <c r="AG392" s="92" t="n"/>
      <c r="AL392" s="93" t="n"/>
      <c r="AM392" s="94" t="n"/>
      <c r="AN392" s="95" t="n"/>
      <c r="AO392" s="96" t="n"/>
      <c r="AV392" s="90" t="n"/>
      <c r="AW392" s="100" t="n"/>
      <c r="AX392" s="170" t="n"/>
      <c r="AY392" s="170" t="n"/>
      <c r="AZ392" s="170" t="n"/>
      <c r="BA392" s="170" t="n"/>
      <c r="BB392" s="170" t="n"/>
      <c r="BC392" s="171" t="n"/>
    </row>
    <row r="393" ht="15" customHeight="1" s="144">
      <c r="AB393" s="89" t="n"/>
      <c r="AC393" s="104" t="n"/>
      <c r="AD393" s="91" t="n"/>
      <c r="AE393" s="90" t="n"/>
      <c r="AF393" s="90" t="n"/>
      <c r="AG393" s="92" t="n"/>
      <c r="AL393" s="93" t="n"/>
      <c r="AM393" s="94" t="n"/>
      <c r="AN393" s="95" t="n"/>
      <c r="AO393" s="96" t="n"/>
      <c r="AV393" s="90" t="n"/>
      <c r="AW393" s="100" t="n"/>
      <c r="AX393" s="170" t="n"/>
      <c r="AY393" s="170" t="n"/>
      <c r="AZ393" s="170" t="n"/>
      <c r="BA393" s="170" t="n"/>
      <c r="BB393" s="170" t="n"/>
      <c r="BC393" s="171" t="n"/>
    </row>
    <row r="394" ht="15" customHeight="1" s="144">
      <c r="AB394" s="89" t="n"/>
      <c r="AC394" s="104" t="n"/>
      <c r="AD394" s="91" t="n"/>
      <c r="AE394" s="90" t="n"/>
      <c r="AF394" s="90" t="n"/>
      <c r="AG394" s="92" t="n"/>
      <c r="AL394" s="93" t="n"/>
      <c r="AM394" s="94" t="n"/>
      <c r="AN394" s="95" t="n"/>
      <c r="AO394" s="96" t="n"/>
      <c r="AV394" s="90" t="n"/>
      <c r="AW394" s="100" t="n"/>
      <c r="AX394" s="170" t="n"/>
      <c r="AY394" s="170" t="n"/>
      <c r="AZ394" s="170" t="n"/>
      <c r="BA394" s="170" t="n"/>
      <c r="BB394" s="170" t="n"/>
      <c r="BC394" s="171" t="n"/>
    </row>
    <row r="395" ht="15" customHeight="1" s="144">
      <c r="AB395" s="89" t="n"/>
      <c r="AC395" s="104" t="n"/>
      <c r="AD395" s="91" t="n"/>
      <c r="AE395" s="90" t="n"/>
      <c r="AF395" s="90" t="n"/>
      <c r="AG395" s="92" t="n"/>
      <c r="AL395" s="93" t="n"/>
      <c r="AM395" s="94" t="n"/>
      <c r="AN395" s="95" t="n"/>
      <c r="AO395" s="96" t="n"/>
      <c r="AV395" s="90" t="n"/>
      <c r="AW395" s="100" t="n"/>
      <c r="AX395" s="170" t="n"/>
      <c r="AY395" s="170" t="n"/>
      <c r="AZ395" s="170" t="n"/>
      <c r="BA395" s="170" t="n"/>
      <c r="BB395" s="170" t="n"/>
      <c r="BC395" s="171" t="n"/>
    </row>
    <row r="396" ht="15" customHeight="1" s="144">
      <c r="AB396" s="89" t="n"/>
      <c r="AC396" s="104" t="n"/>
      <c r="AD396" s="91" t="n"/>
      <c r="AE396" s="90" t="n"/>
      <c r="AF396" s="90" t="n"/>
      <c r="AG396" s="92" t="n"/>
      <c r="AL396" s="93" t="n"/>
      <c r="AM396" s="94" t="n"/>
      <c r="AN396" s="95" t="n"/>
      <c r="AO396" s="96" t="n"/>
      <c r="AV396" s="90" t="n"/>
      <c r="AW396" s="100" t="n"/>
      <c r="AX396" s="170" t="n"/>
      <c r="AY396" s="170" t="n"/>
      <c r="AZ396" s="170" t="n"/>
      <c r="BA396" s="170" t="n"/>
      <c r="BB396" s="170" t="n"/>
      <c r="BC396" s="171" t="n"/>
    </row>
    <row r="397" ht="15" customHeight="1" s="144">
      <c r="AB397" s="89" t="n"/>
      <c r="AC397" s="104" t="n"/>
      <c r="AD397" s="91" t="n"/>
      <c r="AE397" s="90" t="n"/>
      <c r="AF397" s="90" t="n"/>
      <c r="AG397" s="92" t="n"/>
      <c r="AL397" s="93" t="n"/>
      <c r="AM397" s="94" t="n"/>
      <c r="AN397" s="95" t="n"/>
      <c r="AO397" s="96" t="n"/>
      <c r="AV397" s="90" t="n"/>
      <c r="AW397" s="100" t="n"/>
      <c r="AX397" s="170" t="n"/>
      <c r="AY397" s="170" t="n"/>
      <c r="AZ397" s="170" t="n"/>
      <c r="BA397" s="170" t="n"/>
      <c r="BB397" s="170" t="n"/>
      <c r="BC397" s="171" t="n"/>
    </row>
    <row r="398" ht="15" customHeight="1" s="144">
      <c r="AB398" s="89" t="n"/>
      <c r="AC398" s="104" t="n"/>
      <c r="AD398" s="91" t="n"/>
      <c r="AE398" s="90" t="n"/>
      <c r="AF398" s="90" t="n"/>
      <c r="AG398" s="92" t="n"/>
      <c r="AL398" s="93" t="n"/>
      <c r="AM398" s="94" t="n"/>
      <c r="AN398" s="95" t="n"/>
      <c r="AO398" s="96" t="n"/>
      <c r="AV398" s="90" t="n"/>
      <c r="AW398" s="100" t="n"/>
      <c r="AX398" s="170" t="n"/>
      <c r="AY398" s="170" t="n"/>
      <c r="AZ398" s="170" t="n"/>
      <c r="BA398" s="170" t="n"/>
      <c r="BB398" s="170" t="n"/>
      <c r="BC398" s="171" t="n"/>
    </row>
    <row r="399" ht="15" customHeight="1" s="144">
      <c r="AB399" s="89" t="n"/>
      <c r="AC399" s="104" t="n"/>
      <c r="AD399" s="91" t="n"/>
      <c r="AE399" s="90" t="n"/>
      <c r="AF399" s="90" t="n"/>
      <c r="AG399" s="92" t="n"/>
      <c r="AL399" s="93" t="n"/>
      <c r="AM399" s="94" t="n"/>
      <c r="AN399" s="95" t="n"/>
      <c r="AO399" s="96" t="n"/>
      <c r="AV399" s="90" t="n"/>
      <c r="AW399" s="100" t="n"/>
      <c r="AX399" s="170" t="n"/>
      <c r="AY399" s="170" t="n"/>
      <c r="AZ399" s="170" t="n"/>
      <c r="BA399" s="170" t="n"/>
      <c r="BB399" s="170" t="n"/>
      <c r="BC399" s="171" t="n"/>
    </row>
    <row r="400" ht="15" customHeight="1" s="144">
      <c r="AB400" s="89" t="n"/>
      <c r="AC400" s="104" t="n"/>
      <c r="AD400" s="91" t="n"/>
      <c r="AE400" s="90" t="n"/>
      <c r="AF400" s="90" t="n"/>
      <c r="AG400" s="92" t="n"/>
      <c r="AL400" s="93" t="n"/>
      <c r="AM400" s="94" t="n"/>
      <c r="AN400" s="95" t="n"/>
      <c r="AO400" s="96" t="n"/>
      <c r="AV400" s="90" t="n"/>
      <c r="AW400" s="100" t="n"/>
      <c r="AX400" s="170" t="n"/>
      <c r="AY400" s="170" t="n"/>
      <c r="AZ400" s="170" t="n"/>
      <c r="BA400" s="170" t="n"/>
      <c r="BB400" s="170" t="n"/>
      <c r="BC400" s="171" t="n"/>
    </row>
    <row r="401" ht="15" customHeight="1" s="144">
      <c r="AB401" s="89" t="n"/>
      <c r="AC401" s="104" t="n"/>
      <c r="AD401" s="91" t="n"/>
      <c r="AE401" s="90" t="n"/>
      <c r="AF401" s="90" t="n"/>
      <c r="AG401" s="92" t="n"/>
      <c r="AL401" s="93" t="n"/>
      <c r="AM401" s="94" t="n"/>
      <c r="AN401" s="95" t="n"/>
      <c r="AO401" s="96" t="n"/>
      <c r="AV401" s="90" t="n"/>
      <c r="AW401" s="100" t="n"/>
      <c r="AX401" s="170" t="n"/>
      <c r="AY401" s="170" t="n"/>
      <c r="AZ401" s="170" t="n"/>
      <c r="BA401" s="170" t="n"/>
      <c r="BB401" s="170" t="n"/>
      <c r="BC401" s="171" t="n"/>
    </row>
    <row r="402" ht="15" customHeight="1" s="144">
      <c r="AB402" s="89" t="n"/>
      <c r="AC402" s="104" t="n"/>
      <c r="AD402" s="91" t="n"/>
      <c r="AE402" s="90" t="n"/>
      <c r="AF402" s="90" t="n"/>
      <c r="AG402" s="92" t="n"/>
      <c r="AL402" s="93" t="n"/>
      <c r="AM402" s="94" t="n"/>
      <c r="AN402" s="95" t="n"/>
      <c r="AO402" s="96" t="n"/>
      <c r="AV402" s="90" t="n"/>
      <c r="AW402" s="100" t="n"/>
      <c r="AX402" s="170" t="n"/>
      <c r="AY402" s="170" t="n"/>
      <c r="AZ402" s="170" t="n"/>
      <c r="BA402" s="170" t="n"/>
      <c r="BB402" s="170" t="n"/>
      <c r="BC402" s="171" t="n"/>
    </row>
    <row r="403" ht="15" customHeight="1" s="144">
      <c r="AB403" s="89" t="n"/>
      <c r="AC403" s="104" t="n"/>
      <c r="AD403" s="91" t="n"/>
      <c r="AE403" s="90" t="n"/>
      <c r="AF403" s="90" t="n"/>
      <c r="AG403" s="92" t="n"/>
      <c r="AL403" s="93" t="n"/>
      <c r="AM403" s="94" t="n"/>
      <c r="AN403" s="95" t="n"/>
      <c r="AO403" s="96" t="n"/>
      <c r="AV403" s="90" t="n"/>
      <c r="AW403" s="100" t="n"/>
      <c r="AX403" s="170" t="n"/>
      <c r="AY403" s="170" t="n"/>
      <c r="AZ403" s="170" t="n"/>
      <c r="BA403" s="170" t="n"/>
      <c r="BB403" s="170" t="n"/>
      <c r="BC403" s="171" t="n"/>
    </row>
    <row r="404" ht="15" customHeight="1" s="144">
      <c r="AB404" s="89" t="n"/>
      <c r="AC404" s="104" t="n"/>
      <c r="AD404" s="91" t="n"/>
      <c r="AE404" s="90" t="n"/>
      <c r="AF404" s="90" t="n"/>
      <c r="AG404" s="92" t="n"/>
      <c r="AL404" s="93" t="n"/>
      <c r="AM404" s="94" t="n"/>
      <c r="AN404" s="95" t="n"/>
      <c r="AO404" s="96" t="n"/>
      <c r="AV404" s="90" t="n"/>
      <c r="AW404" s="100" t="n"/>
      <c r="AX404" s="170" t="n"/>
      <c r="AY404" s="170" t="n"/>
      <c r="AZ404" s="170" t="n"/>
      <c r="BA404" s="170" t="n"/>
      <c r="BB404" s="170" t="n"/>
      <c r="BC404" s="171" t="n"/>
    </row>
    <row r="405" ht="15" customHeight="1" s="144">
      <c r="AB405" s="89" t="n"/>
      <c r="AC405" s="104" t="n"/>
      <c r="AD405" s="91" t="n"/>
      <c r="AE405" s="90" t="n"/>
      <c r="AF405" s="90" t="n"/>
      <c r="AG405" s="92" t="n"/>
      <c r="AL405" s="93" t="n"/>
      <c r="AM405" s="94" t="n"/>
      <c r="AN405" s="95" t="n"/>
      <c r="AO405" s="96" t="n"/>
      <c r="AV405" s="90" t="n"/>
      <c r="AW405" s="100" t="n"/>
      <c r="AX405" s="170" t="n"/>
      <c r="AY405" s="170" t="n"/>
      <c r="AZ405" s="170" t="n"/>
      <c r="BA405" s="170" t="n"/>
      <c r="BB405" s="170" t="n"/>
      <c r="BC405" s="171" t="n"/>
    </row>
    <row r="406" ht="15" customHeight="1" s="144">
      <c r="AB406" s="89" t="n"/>
      <c r="AC406" s="104" t="n"/>
      <c r="AD406" s="91" t="n"/>
      <c r="AE406" s="90" t="n"/>
      <c r="AF406" s="90" t="n"/>
      <c r="AG406" s="92" t="n"/>
      <c r="AL406" s="93" t="n"/>
      <c r="AM406" s="94" t="n"/>
      <c r="AN406" s="95" t="n"/>
      <c r="AO406" s="96" t="n"/>
      <c r="AV406" s="90" t="n"/>
      <c r="AW406" s="100" t="n"/>
      <c r="AX406" s="170" t="n"/>
      <c r="AY406" s="170" t="n"/>
      <c r="AZ406" s="170" t="n"/>
      <c r="BA406" s="170" t="n"/>
      <c r="BB406" s="170" t="n"/>
      <c r="BC406" s="171" t="n"/>
    </row>
    <row r="407" ht="15" customHeight="1" s="144">
      <c r="AB407" s="89" t="n"/>
      <c r="AC407" s="104" t="n"/>
      <c r="AD407" s="91" t="n"/>
      <c r="AE407" s="90" t="n"/>
      <c r="AF407" s="90" t="n"/>
      <c r="AG407" s="92" t="n"/>
      <c r="AL407" s="93" t="n"/>
      <c r="AM407" s="94" t="n"/>
      <c r="AN407" s="95" t="n"/>
      <c r="AO407" s="96" t="n"/>
      <c r="AV407" s="90" t="n"/>
      <c r="AW407" s="100" t="n"/>
      <c r="AX407" s="170" t="n"/>
      <c r="AY407" s="170" t="n"/>
      <c r="AZ407" s="170" t="n"/>
      <c r="BA407" s="170" t="n"/>
      <c r="BB407" s="170" t="n"/>
      <c r="BC407" s="171" t="n"/>
    </row>
    <row r="408" ht="15" customHeight="1" s="144">
      <c r="AB408" s="89" t="n"/>
      <c r="AC408" s="104" t="n"/>
      <c r="AD408" s="91" t="n"/>
      <c r="AE408" s="90" t="n"/>
      <c r="AF408" s="90" t="n"/>
      <c r="AG408" s="92" t="n"/>
      <c r="AL408" s="93" t="n"/>
      <c r="AM408" s="94" t="n"/>
      <c r="AN408" s="95" t="n"/>
      <c r="AO408" s="96" t="n"/>
      <c r="AV408" s="90" t="n"/>
      <c r="AW408" s="100" t="n"/>
      <c r="AX408" s="170" t="n"/>
      <c r="AY408" s="170" t="n"/>
      <c r="AZ408" s="170" t="n"/>
      <c r="BA408" s="170" t="n"/>
      <c r="BB408" s="170" t="n"/>
      <c r="BC408" s="171" t="n"/>
    </row>
    <row r="409" ht="15" customHeight="1" s="144">
      <c r="AB409" s="89" t="n"/>
      <c r="AC409" s="104" t="n"/>
      <c r="AD409" s="91" t="n"/>
      <c r="AE409" s="90" t="n"/>
      <c r="AF409" s="90" t="n"/>
      <c r="AG409" s="92" t="n"/>
      <c r="AL409" s="93" t="n"/>
      <c r="AM409" s="94" t="n"/>
      <c r="AN409" s="95" t="n"/>
      <c r="AO409" s="96" t="n"/>
      <c r="AV409" s="90" t="n"/>
      <c r="AW409" s="100" t="n"/>
      <c r="AX409" s="170" t="n"/>
      <c r="AY409" s="170" t="n"/>
      <c r="AZ409" s="170" t="n"/>
      <c r="BA409" s="170" t="n"/>
      <c r="BB409" s="170" t="n"/>
      <c r="BC409" s="171" t="n"/>
    </row>
    <row r="410" ht="15" customHeight="1" s="144">
      <c r="AB410" s="89" t="n"/>
      <c r="AC410" s="104" t="n"/>
      <c r="AD410" s="91" t="n"/>
      <c r="AE410" s="90" t="n"/>
      <c r="AF410" s="90" t="n"/>
      <c r="AG410" s="92" t="n"/>
      <c r="AL410" s="93" t="n"/>
      <c r="AM410" s="94" t="n"/>
      <c r="AN410" s="95" t="n"/>
      <c r="AO410" s="96" t="n"/>
      <c r="AV410" s="90" t="n"/>
      <c r="AW410" s="100" t="n"/>
      <c r="AX410" s="170" t="n"/>
      <c r="AY410" s="170" t="n"/>
      <c r="AZ410" s="170" t="n"/>
      <c r="BA410" s="170" t="n"/>
      <c r="BB410" s="170" t="n"/>
      <c r="BC410" s="171" t="n"/>
    </row>
    <row r="411" ht="15" customHeight="1" s="144">
      <c r="AB411" s="89" t="n"/>
      <c r="AC411" s="104" t="n"/>
      <c r="AD411" s="91" t="n"/>
      <c r="AE411" s="90" t="n"/>
      <c r="AF411" s="90" t="n"/>
      <c r="AG411" s="92" t="n"/>
      <c r="AL411" s="93" t="n"/>
      <c r="AM411" s="94" t="n"/>
      <c r="AN411" s="95" t="n"/>
      <c r="AO411" s="96" t="n"/>
      <c r="AV411" s="90" t="n"/>
      <c r="AW411" s="100" t="n"/>
      <c r="AX411" s="170" t="n"/>
      <c r="AY411" s="170" t="n"/>
      <c r="AZ411" s="170" t="n"/>
      <c r="BA411" s="170" t="n"/>
      <c r="BB411" s="170" t="n"/>
      <c r="BC411" s="171" t="n"/>
    </row>
    <row r="412" ht="15" customHeight="1" s="144">
      <c r="AB412" s="89" t="n"/>
      <c r="AC412" s="104" t="n"/>
      <c r="AD412" s="91" t="n"/>
      <c r="AE412" s="90" t="n"/>
      <c r="AF412" s="90" t="n"/>
      <c r="AG412" s="92" t="n"/>
      <c r="AL412" s="93" t="n"/>
      <c r="AM412" s="94" t="n"/>
      <c r="AN412" s="95" t="n"/>
      <c r="AO412" s="96" t="n"/>
      <c r="AV412" s="90" t="n"/>
      <c r="AW412" s="100" t="n"/>
      <c r="AX412" s="170" t="n"/>
      <c r="AY412" s="170" t="n"/>
      <c r="AZ412" s="170" t="n"/>
      <c r="BA412" s="170" t="n"/>
      <c r="BB412" s="170" t="n"/>
      <c r="BC412" s="171" t="n"/>
    </row>
    <row r="413" ht="15" customHeight="1" s="144">
      <c r="AB413" s="89" t="n"/>
      <c r="AC413" s="104" t="n"/>
      <c r="AD413" s="91" t="n"/>
      <c r="AE413" s="90" t="n"/>
      <c r="AF413" s="90" t="n"/>
      <c r="AG413" s="92" t="n"/>
      <c r="AL413" s="93" t="n"/>
      <c r="AM413" s="94" t="n"/>
      <c r="AN413" s="95" t="n"/>
      <c r="AO413" s="96" t="n"/>
      <c r="AV413" s="90" t="n"/>
      <c r="AW413" s="100" t="n"/>
      <c r="AX413" s="170" t="n"/>
      <c r="AY413" s="170" t="n"/>
      <c r="AZ413" s="170" t="n"/>
      <c r="BA413" s="170" t="n"/>
      <c r="BB413" s="170" t="n"/>
      <c r="BC413" s="171" t="n"/>
    </row>
    <row r="414" ht="15" customHeight="1" s="144">
      <c r="AB414" s="89" t="n"/>
      <c r="AC414" s="104" t="n"/>
      <c r="AD414" s="91" t="n"/>
      <c r="AE414" s="90" t="n"/>
      <c r="AF414" s="90" t="n"/>
      <c r="AG414" s="92" t="n"/>
      <c r="AL414" s="93" t="n"/>
      <c r="AM414" s="94" t="n"/>
      <c r="AN414" s="95" t="n"/>
      <c r="AO414" s="96" t="n"/>
      <c r="AV414" s="90" t="n"/>
      <c r="AW414" s="100" t="n"/>
      <c r="AX414" s="170" t="n"/>
      <c r="AY414" s="170" t="n"/>
      <c r="AZ414" s="170" t="n"/>
      <c r="BA414" s="170" t="n"/>
      <c r="BB414" s="170" t="n"/>
      <c r="BC414" s="171" t="n"/>
    </row>
    <row r="415" ht="15" customHeight="1" s="144">
      <c r="AB415" s="89" t="n"/>
      <c r="AC415" s="104" t="n"/>
      <c r="AD415" s="91" t="n"/>
      <c r="AE415" s="90" t="n"/>
      <c r="AF415" s="90" t="n"/>
      <c r="AG415" s="92" t="n"/>
      <c r="AL415" s="93" t="n"/>
      <c r="AM415" s="94" t="n"/>
      <c r="AN415" s="95" t="n"/>
      <c r="AO415" s="96" t="n"/>
      <c r="AV415" s="90" t="n"/>
      <c r="AW415" s="100" t="n"/>
      <c r="AX415" s="170" t="n"/>
      <c r="AY415" s="170" t="n"/>
      <c r="AZ415" s="170" t="n"/>
      <c r="BA415" s="170" t="n"/>
      <c r="BB415" s="170" t="n"/>
      <c r="BC415" s="171" t="n"/>
    </row>
    <row r="416" ht="15" customHeight="1" s="144">
      <c r="AB416" s="89" t="n"/>
      <c r="AC416" s="104" t="n"/>
      <c r="AD416" s="91" t="n"/>
      <c r="AE416" s="90" t="n"/>
      <c r="AF416" s="90" t="n"/>
      <c r="AG416" s="92" t="n"/>
      <c r="AL416" s="93" t="n"/>
      <c r="AM416" s="94" t="n"/>
      <c r="AN416" s="95" t="n"/>
      <c r="AO416" s="96" t="n"/>
      <c r="AV416" s="90" t="n"/>
      <c r="AW416" s="100" t="n"/>
      <c r="AX416" s="170" t="n"/>
      <c r="AY416" s="170" t="n"/>
      <c r="AZ416" s="170" t="n"/>
      <c r="BA416" s="170" t="n"/>
      <c r="BB416" s="170" t="n"/>
      <c r="BC416" s="171" t="n"/>
    </row>
    <row r="417" ht="15" customHeight="1" s="144">
      <c r="AB417" s="89" t="n"/>
      <c r="AC417" s="104" t="n"/>
      <c r="AD417" s="91" t="n"/>
      <c r="AE417" s="90" t="n"/>
      <c r="AF417" s="90" t="n"/>
      <c r="AG417" s="92" t="n"/>
      <c r="AL417" s="93" t="n"/>
      <c r="AM417" s="94" t="n"/>
      <c r="AN417" s="95" t="n"/>
      <c r="AO417" s="96" t="n"/>
      <c r="AV417" s="90" t="n"/>
      <c r="AW417" s="100" t="n"/>
      <c r="AX417" s="170" t="n"/>
      <c r="AY417" s="170" t="n"/>
      <c r="AZ417" s="170" t="n"/>
      <c r="BA417" s="170" t="n"/>
      <c r="BB417" s="170" t="n"/>
      <c r="BC417" s="171" t="n"/>
    </row>
    <row r="418" ht="15" customHeight="1" s="144">
      <c r="AB418" s="89" t="n"/>
      <c r="AC418" s="104" t="n"/>
      <c r="AD418" s="91" t="n"/>
      <c r="AE418" s="90" t="n"/>
      <c r="AF418" s="90" t="n"/>
      <c r="AG418" s="92" t="n"/>
      <c r="AL418" s="93" t="n"/>
      <c r="AM418" s="94" t="n"/>
      <c r="AN418" s="95" t="n"/>
      <c r="AO418" s="96" t="n"/>
      <c r="AV418" s="90" t="n"/>
      <c r="AW418" s="100" t="n"/>
      <c r="AX418" s="170" t="n"/>
      <c r="AY418" s="170" t="n"/>
      <c r="AZ418" s="170" t="n"/>
      <c r="BA418" s="170" t="n"/>
      <c r="BB418" s="170" t="n"/>
      <c r="BC418" s="171" t="n"/>
    </row>
    <row r="419" ht="15" customHeight="1" s="144">
      <c r="AB419" s="89" t="n"/>
      <c r="AC419" s="104" t="n"/>
      <c r="AD419" s="91" t="n"/>
      <c r="AE419" s="90" t="n"/>
      <c r="AF419" s="90" t="n"/>
      <c r="AG419" s="92" t="n"/>
      <c r="AL419" s="93" t="n"/>
      <c r="AM419" s="94" t="n"/>
      <c r="AN419" s="95" t="n"/>
      <c r="AO419" s="96" t="n"/>
      <c r="AV419" s="90" t="n"/>
      <c r="AW419" s="100" t="n"/>
      <c r="AX419" s="170" t="n"/>
      <c r="AY419" s="170" t="n"/>
      <c r="AZ419" s="170" t="n"/>
      <c r="BA419" s="170" t="n"/>
      <c r="BB419" s="170" t="n"/>
      <c r="BC419" s="171" t="n"/>
    </row>
    <row r="420" ht="15" customHeight="1" s="144">
      <c r="AB420" s="89" t="n"/>
      <c r="AC420" s="104" t="n"/>
      <c r="AD420" s="91" t="n"/>
      <c r="AE420" s="90" t="n"/>
      <c r="AF420" s="90" t="n"/>
      <c r="AG420" s="92" t="n"/>
      <c r="AL420" s="93" t="n"/>
      <c r="AM420" s="94" t="n"/>
      <c r="AN420" s="95" t="n"/>
      <c r="AO420" s="96" t="n"/>
      <c r="AV420" s="90" t="n"/>
      <c r="AW420" s="100" t="n"/>
      <c r="AX420" s="170" t="n"/>
      <c r="AY420" s="170" t="n"/>
      <c r="AZ420" s="170" t="n"/>
      <c r="BA420" s="170" t="n"/>
      <c r="BB420" s="170" t="n"/>
      <c r="BC420" s="171" t="n"/>
    </row>
    <row r="421" ht="15" customHeight="1" s="144">
      <c r="AB421" s="89" t="n"/>
      <c r="AC421" s="104" t="n"/>
      <c r="AD421" s="91" t="n"/>
      <c r="AE421" s="90" t="n"/>
      <c r="AF421" s="90" t="n"/>
      <c r="AG421" s="92" t="n"/>
      <c r="AL421" s="93" t="n"/>
      <c r="AM421" s="94" t="n"/>
      <c r="AN421" s="95" t="n"/>
      <c r="AO421" s="96" t="n"/>
      <c r="AV421" s="90" t="n"/>
      <c r="AW421" s="100" t="n"/>
      <c r="AX421" s="170" t="n"/>
      <c r="AY421" s="170" t="n"/>
      <c r="AZ421" s="170" t="n"/>
      <c r="BA421" s="170" t="n"/>
      <c r="BB421" s="170" t="n"/>
      <c r="BC421" s="171" t="n"/>
    </row>
    <row r="422" ht="15" customHeight="1" s="144">
      <c r="AB422" s="89" t="n"/>
      <c r="AC422" s="104" t="n"/>
      <c r="AD422" s="91" t="n"/>
      <c r="AE422" s="90" t="n"/>
      <c r="AF422" s="90" t="n"/>
      <c r="AG422" s="92" t="n"/>
      <c r="AL422" s="93" t="n"/>
      <c r="AM422" s="94" t="n"/>
      <c r="AN422" s="95" t="n"/>
      <c r="AO422" s="96" t="n"/>
      <c r="AV422" s="90" t="n"/>
      <c r="AW422" s="100" t="n"/>
      <c r="AX422" s="170" t="n"/>
      <c r="AY422" s="170" t="n"/>
      <c r="AZ422" s="170" t="n"/>
      <c r="BA422" s="170" t="n"/>
      <c r="BB422" s="170" t="n"/>
      <c r="BC422" s="171" t="n"/>
    </row>
    <row r="423" ht="15" customHeight="1" s="144">
      <c r="AB423" s="89" t="n"/>
      <c r="AC423" s="104" t="n"/>
      <c r="AD423" s="91" t="n"/>
      <c r="AE423" s="90" t="n"/>
      <c r="AF423" s="90" t="n"/>
      <c r="AG423" s="92" t="n"/>
      <c r="AL423" s="93" t="n"/>
      <c r="AM423" s="94" t="n"/>
      <c r="AN423" s="95" t="n"/>
      <c r="AO423" s="96" t="n"/>
      <c r="AV423" s="90" t="n"/>
      <c r="AW423" s="100" t="n"/>
      <c r="AX423" s="170" t="n"/>
      <c r="AY423" s="170" t="n"/>
      <c r="AZ423" s="170" t="n"/>
      <c r="BA423" s="170" t="n"/>
      <c r="BB423" s="170" t="n"/>
      <c r="BC423" s="171" t="n"/>
    </row>
    <row r="424" ht="15" customHeight="1" s="144">
      <c r="AB424" s="89" t="n"/>
      <c r="AC424" s="104" t="n"/>
      <c r="AD424" s="91" t="n"/>
      <c r="AE424" s="90" t="n"/>
      <c r="AF424" s="90" t="n"/>
      <c r="AG424" s="92" t="n"/>
      <c r="AL424" s="93" t="n"/>
      <c r="AM424" s="94" t="n"/>
      <c r="AN424" s="95" t="n"/>
      <c r="AO424" s="96" t="n"/>
      <c r="AV424" s="90" t="n"/>
      <c r="AW424" s="100" t="n"/>
      <c r="AX424" s="170" t="n"/>
      <c r="AY424" s="170" t="n"/>
      <c r="AZ424" s="170" t="n"/>
      <c r="BA424" s="170" t="n"/>
      <c r="BB424" s="170" t="n"/>
      <c r="BC424" s="171" t="n"/>
    </row>
    <row r="425" ht="15" customHeight="1" s="144">
      <c r="AB425" s="89" t="n"/>
      <c r="AC425" s="104" t="n"/>
      <c r="AD425" s="91" t="n"/>
      <c r="AE425" s="90" t="n"/>
      <c r="AF425" s="90" t="n"/>
      <c r="AG425" s="92" t="n"/>
      <c r="AL425" s="93" t="n"/>
      <c r="AM425" s="94" t="n"/>
      <c r="AN425" s="95" t="n"/>
      <c r="AO425" s="96" t="n"/>
      <c r="AV425" s="90" t="n"/>
      <c r="AW425" s="100" t="n"/>
      <c r="AX425" s="170" t="n"/>
      <c r="AY425" s="170" t="n"/>
      <c r="AZ425" s="170" t="n"/>
      <c r="BA425" s="170" t="n"/>
      <c r="BB425" s="170" t="n"/>
      <c r="BC425" s="171" t="n"/>
    </row>
    <row r="426" ht="15" customHeight="1" s="144">
      <c r="AB426" s="89" t="n"/>
      <c r="AC426" s="104" t="n"/>
      <c r="AD426" s="91" t="n"/>
      <c r="AE426" s="90" t="n"/>
      <c r="AF426" s="90" t="n"/>
      <c r="AG426" s="92" t="n"/>
      <c r="AL426" s="93" t="n"/>
      <c r="AM426" s="94" t="n"/>
      <c r="AN426" s="95" t="n"/>
      <c r="AO426" s="96" t="n"/>
      <c r="AV426" s="90" t="n"/>
      <c r="AW426" s="100" t="n"/>
      <c r="AX426" s="170" t="n"/>
      <c r="AY426" s="170" t="n"/>
      <c r="AZ426" s="170" t="n"/>
      <c r="BA426" s="170" t="n"/>
      <c r="BB426" s="170" t="n"/>
      <c r="BC426" s="171" t="n"/>
    </row>
    <row r="427" ht="15" customHeight="1" s="144">
      <c r="AB427" s="89" t="n"/>
      <c r="AC427" s="104" t="n"/>
      <c r="AD427" s="91" t="n"/>
      <c r="AE427" s="90" t="n"/>
      <c r="AF427" s="90" t="n"/>
      <c r="AG427" s="92" t="n"/>
      <c r="AL427" s="93" t="n"/>
      <c r="AM427" s="94" t="n"/>
      <c r="AN427" s="95" t="n"/>
      <c r="AO427" s="96" t="n"/>
      <c r="AV427" s="90" t="n"/>
      <c r="AW427" s="100" t="n"/>
      <c r="AX427" s="170" t="n"/>
      <c r="AY427" s="170" t="n"/>
      <c r="AZ427" s="170" t="n"/>
      <c r="BA427" s="170" t="n"/>
      <c r="BB427" s="170" t="n"/>
      <c r="BC427" s="171" t="n"/>
    </row>
    <row r="428" ht="15" customHeight="1" s="144">
      <c r="AB428" s="89" t="n"/>
      <c r="AC428" s="104" t="n"/>
      <c r="AD428" s="91" t="n"/>
      <c r="AE428" s="90" t="n"/>
      <c r="AF428" s="90" t="n"/>
      <c r="AG428" s="92" t="n"/>
      <c r="AL428" s="93" t="n"/>
      <c r="AM428" s="94" t="n"/>
      <c r="AN428" s="95" t="n"/>
      <c r="AO428" s="96" t="n"/>
      <c r="AV428" s="90" t="n"/>
      <c r="AW428" s="100" t="n"/>
      <c r="AX428" s="170" t="n"/>
      <c r="AY428" s="170" t="n"/>
      <c r="AZ428" s="170" t="n"/>
      <c r="BA428" s="170" t="n"/>
      <c r="BB428" s="170" t="n"/>
      <c r="BC428" s="171" t="n"/>
    </row>
    <row r="429" ht="15" customHeight="1" s="144">
      <c r="AB429" s="89" t="n"/>
      <c r="AC429" s="104" t="n"/>
      <c r="AD429" s="91" t="n"/>
      <c r="AE429" s="90" t="n"/>
      <c r="AF429" s="90" t="n"/>
      <c r="AG429" s="92" t="n"/>
      <c r="AL429" s="93" t="n"/>
      <c r="AM429" s="94" t="n"/>
      <c r="AN429" s="95" t="n"/>
      <c r="AO429" s="96" t="n"/>
      <c r="AV429" s="90" t="n"/>
      <c r="AW429" s="100" t="n"/>
      <c r="AX429" s="170" t="n"/>
      <c r="AY429" s="170" t="n"/>
      <c r="AZ429" s="170" t="n"/>
      <c r="BA429" s="170" t="n"/>
      <c r="BB429" s="170" t="n"/>
      <c r="BC429" s="171" t="n"/>
    </row>
    <row r="430" ht="15" customHeight="1" s="144">
      <c r="AB430" s="89" t="n"/>
      <c r="AC430" s="104" t="n"/>
      <c r="AD430" s="91" t="n"/>
      <c r="AE430" s="90" t="n"/>
      <c r="AF430" s="90" t="n"/>
      <c r="AG430" s="92" t="n"/>
      <c r="AL430" s="93" t="n"/>
      <c r="AM430" s="94" t="n"/>
      <c r="AN430" s="95" t="n"/>
      <c r="AO430" s="96" t="n"/>
      <c r="AV430" s="90" t="n"/>
      <c r="AW430" s="100" t="n"/>
      <c r="AX430" s="170" t="n"/>
      <c r="AY430" s="170" t="n"/>
      <c r="AZ430" s="170" t="n"/>
      <c r="BA430" s="170" t="n"/>
      <c r="BB430" s="170" t="n"/>
      <c r="BC430" s="171" t="n"/>
    </row>
    <row r="431" ht="15" customHeight="1" s="144">
      <c r="AB431" s="89" t="n"/>
      <c r="AC431" s="104" t="n"/>
      <c r="AD431" s="91" t="n"/>
      <c r="AE431" s="90" t="n"/>
      <c r="AF431" s="90" t="n"/>
      <c r="AG431" s="92" t="n"/>
      <c r="AL431" s="93" t="n"/>
      <c r="AM431" s="94" t="n"/>
      <c r="AN431" s="95" t="n"/>
      <c r="AO431" s="96" t="n"/>
      <c r="AV431" s="90" t="n"/>
      <c r="AW431" s="100" t="n"/>
      <c r="AX431" s="170" t="n"/>
      <c r="AY431" s="170" t="n"/>
      <c r="AZ431" s="170" t="n"/>
      <c r="BA431" s="170" t="n"/>
      <c r="BB431" s="170" t="n"/>
      <c r="BC431" s="171" t="n"/>
    </row>
    <row r="432" ht="15" customHeight="1" s="144">
      <c r="AB432" s="89" t="n"/>
      <c r="AC432" s="104" t="n"/>
      <c r="AD432" s="91" t="n"/>
      <c r="AE432" s="90" t="n"/>
      <c r="AF432" s="90" t="n"/>
      <c r="AG432" s="92" t="n"/>
      <c r="AL432" s="93" t="n"/>
      <c r="AM432" s="94" t="n"/>
      <c r="AN432" s="95" t="n"/>
      <c r="AO432" s="96" t="n"/>
      <c r="AV432" s="90" t="n"/>
      <c r="AW432" s="100" t="n"/>
      <c r="AX432" s="170" t="n"/>
      <c r="AY432" s="170" t="n"/>
      <c r="AZ432" s="170" t="n"/>
      <c r="BA432" s="170" t="n"/>
      <c r="BB432" s="170" t="n"/>
      <c r="BC432" s="171" t="n"/>
    </row>
    <row r="433" ht="15" customHeight="1" s="144">
      <c r="AB433" s="89" t="n"/>
      <c r="AC433" s="104" t="n"/>
      <c r="AD433" s="91" t="n"/>
      <c r="AE433" s="90" t="n"/>
      <c r="AF433" s="90" t="n"/>
      <c r="AG433" s="92" t="n"/>
      <c r="AL433" s="93" t="n"/>
      <c r="AM433" s="94" t="n"/>
      <c r="AN433" s="95" t="n"/>
      <c r="AO433" s="96" t="n"/>
      <c r="AV433" s="90" t="n"/>
      <c r="AW433" s="100" t="n"/>
      <c r="AX433" s="170" t="n"/>
      <c r="AY433" s="170" t="n"/>
      <c r="AZ433" s="170" t="n"/>
      <c r="BA433" s="170" t="n"/>
      <c r="BB433" s="170" t="n"/>
      <c r="BC433" s="171" t="n"/>
    </row>
    <row r="434" ht="15" customHeight="1" s="144">
      <c r="AB434" s="89" t="n"/>
      <c r="AC434" s="104" t="n"/>
      <c r="AD434" s="91" t="n"/>
      <c r="AE434" s="90" t="n"/>
      <c r="AF434" s="90" t="n"/>
      <c r="AG434" s="92" t="n"/>
      <c r="AL434" s="93" t="n"/>
      <c r="AM434" s="94" t="n"/>
      <c r="AN434" s="95" t="n"/>
      <c r="AO434" s="96" t="n"/>
      <c r="AV434" s="90" t="n"/>
      <c r="AW434" s="100" t="n"/>
      <c r="AX434" s="170" t="n"/>
      <c r="AY434" s="170" t="n"/>
      <c r="AZ434" s="170" t="n"/>
      <c r="BA434" s="170" t="n"/>
      <c r="BB434" s="170" t="n"/>
      <c r="BC434" s="171" t="n"/>
    </row>
    <row r="435" ht="15" customHeight="1" s="144">
      <c r="AB435" s="89" t="n"/>
      <c r="AC435" s="104" t="n"/>
      <c r="AD435" s="91" t="n"/>
      <c r="AE435" s="90" t="n"/>
      <c r="AF435" s="90" t="n"/>
      <c r="AG435" s="92" t="n"/>
      <c r="AL435" s="93" t="n"/>
      <c r="AM435" s="94" t="n"/>
      <c r="AN435" s="95" t="n"/>
      <c r="AO435" s="96" t="n"/>
      <c r="AV435" s="90" t="n"/>
      <c r="AW435" s="100" t="n"/>
      <c r="AX435" s="170" t="n"/>
      <c r="AY435" s="170" t="n"/>
      <c r="AZ435" s="170" t="n"/>
      <c r="BA435" s="170" t="n"/>
      <c r="BB435" s="170" t="n"/>
      <c r="BC435" s="171" t="n"/>
    </row>
    <row r="436" ht="15" customHeight="1" s="144">
      <c r="AB436" s="89" t="n"/>
      <c r="AC436" s="104" t="n"/>
      <c r="AD436" s="91" t="n"/>
      <c r="AE436" s="90" t="n"/>
      <c r="AF436" s="90" t="n"/>
      <c r="AG436" s="92" t="n"/>
      <c r="AL436" s="93" t="n"/>
      <c r="AM436" s="94" t="n"/>
      <c r="AN436" s="95" t="n"/>
      <c r="AO436" s="96" t="n"/>
      <c r="AV436" s="90" t="n"/>
      <c r="AW436" s="100" t="n"/>
      <c r="AX436" s="170" t="n"/>
      <c r="AY436" s="170" t="n"/>
      <c r="AZ436" s="170" t="n"/>
      <c r="BA436" s="170" t="n"/>
      <c r="BB436" s="170" t="n"/>
      <c r="BC436" s="171" t="n"/>
    </row>
    <row r="437" ht="15" customHeight="1" s="144">
      <c r="AB437" s="89" t="n"/>
      <c r="AC437" s="104" t="n"/>
      <c r="AD437" s="91" t="n"/>
      <c r="AE437" s="90" t="n"/>
      <c r="AF437" s="90" t="n"/>
      <c r="AG437" s="92" t="n"/>
      <c r="AL437" s="93" t="n"/>
      <c r="AM437" s="94" t="n"/>
      <c r="AN437" s="95" t="n"/>
      <c r="AO437" s="96" t="n"/>
      <c r="AV437" s="90" t="n"/>
      <c r="AW437" s="100" t="n"/>
      <c r="AX437" s="170" t="n"/>
      <c r="AY437" s="170" t="n"/>
      <c r="AZ437" s="170" t="n"/>
      <c r="BA437" s="170" t="n"/>
      <c r="BB437" s="170" t="n"/>
      <c r="BC437" s="171" t="n"/>
    </row>
    <row r="438" ht="15" customHeight="1" s="144">
      <c r="AB438" s="89" t="n"/>
      <c r="AC438" s="104" t="n"/>
      <c r="AD438" s="91" t="n"/>
      <c r="AE438" s="90" t="n"/>
      <c r="AF438" s="90" t="n"/>
      <c r="AG438" s="92" t="n"/>
      <c r="AL438" s="93" t="n"/>
      <c r="AM438" s="94" t="n"/>
      <c r="AN438" s="95" t="n"/>
      <c r="AO438" s="96" t="n"/>
      <c r="AV438" s="90" t="n"/>
      <c r="AW438" s="100" t="n"/>
      <c r="AX438" s="170" t="n"/>
      <c r="AY438" s="170" t="n"/>
      <c r="AZ438" s="170" t="n"/>
      <c r="BA438" s="170" t="n"/>
      <c r="BB438" s="170" t="n"/>
      <c r="BC438" s="171" t="n"/>
    </row>
    <row r="439" ht="15" customHeight="1" s="144">
      <c r="AB439" s="89" t="n"/>
      <c r="AC439" s="104" t="n"/>
      <c r="AD439" s="91" t="n"/>
      <c r="AE439" s="90" t="n"/>
      <c r="AF439" s="90" t="n"/>
      <c r="AG439" s="92" t="n"/>
      <c r="AL439" s="93" t="n"/>
      <c r="AM439" s="94" t="n"/>
      <c r="AN439" s="95" t="n"/>
      <c r="AO439" s="96" t="n"/>
      <c r="AV439" s="90" t="n"/>
      <c r="AW439" s="100" t="n"/>
      <c r="AX439" s="170" t="n"/>
      <c r="AY439" s="170" t="n"/>
      <c r="AZ439" s="170" t="n"/>
      <c r="BA439" s="170" t="n"/>
      <c r="BB439" s="170" t="n"/>
      <c r="BC439" s="171" t="n"/>
    </row>
    <row r="440" ht="15" customHeight="1" s="144">
      <c r="AB440" s="89" t="n"/>
      <c r="AC440" s="104" t="n"/>
      <c r="AD440" s="91" t="n"/>
      <c r="AE440" s="90" t="n"/>
      <c r="AF440" s="90" t="n"/>
      <c r="AG440" s="92" t="n"/>
      <c r="AL440" s="93" t="n"/>
      <c r="AM440" s="94" t="n"/>
      <c r="AN440" s="95" t="n"/>
      <c r="AO440" s="96" t="n"/>
      <c r="AV440" s="90" t="n"/>
      <c r="AW440" s="100" t="n"/>
      <c r="AX440" s="170" t="n"/>
      <c r="AY440" s="170" t="n"/>
      <c r="AZ440" s="170" t="n"/>
      <c r="BA440" s="170" t="n"/>
      <c r="BB440" s="170" t="n"/>
      <c r="BC440" s="171" t="n"/>
    </row>
    <row r="441" ht="15" customHeight="1" s="144">
      <c r="AB441" s="89" t="n"/>
      <c r="AC441" s="104" t="n"/>
      <c r="AD441" s="91" t="n"/>
      <c r="AE441" s="90" t="n"/>
      <c r="AF441" s="90" t="n"/>
      <c r="AG441" s="92" t="n"/>
      <c r="AL441" s="93" t="n"/>
      <c r="AM441" s="94" t="n"/>
      <c r="AN441" s="95" t="n"/>
      <c r="AO441" s="96" t="n"/>
      <c r="AV441" s="90" t="n"/>
      <c r="AW441" s="100" t="n"/>
      <c r="AX441" s="170" t="n"/>
      <c r="AY441" s="170" t="n"/>
      <c r="AZ441" s="170" t="n"/>
      <c r="BA441" s="170" t="n"/>
      <c r="BB441" s="170" t="n"/>
      <c r="BC441" s="171" t="n"/>
    </row>
    <row r="442" ht="15" customHeight="1" s="144">
      <c r="AB442" s="89" t="n"/>
      <c r="AC442" s="104" t="n"/>
      <c r="AD442" s="91" t="n"/>
      <c r="AE442" s="90" t="n"/>
      <c r="AF442" s="90" t="n"/>
      <c r="AG442" s="92" t="n"/>
      <c r="AL442" s="93" t="n"/>
      <c r="AM442" s="94" t="n"/>
      <c r="AN442" s="95" t="n"/>
      <c r="AO442" s="96" t="n"/>
      <c r="AV442" s="90" t="n"/>
      <c r="AW442" s="100" t="n"/>
      <c r="AX442" s="170" t="n"/>
      <c r="AY442" s="170" t="n"/>
      <c r="AZ442" s="170" t="n"/>
      <c r="BA442" s="170" t="n"/>
      <c r="BB442" s="170" t="n"/>
      <c r="BC442" s="171" t="n"/>
    </row>
    <row r="443" ht="15" customHeight="1" s="144">
      <c r="AB443" s="89" t="n"/>
      <c r="AC443" s="104" t="n"/>
      <c r="AD443" s="91" t="n"/>
      <c r="AE443" s="90" t="n"/>
      <c r="AF443" s="90" t="n"/>
      <c r="AG443" s="92" t="n"/>
      <c r="AL443" s="93" t="n"/>
      <c r="AM443" s="94" t="n"/>
      <c r="AN443" s="95" t="n"/>
      <c r="AO443" s="96" t="n"/>
      <c r="AV443" s="90" t="n"/>
      <c r="AW443" s="100" t="n"/>
      <c r="AX443" s="170" t="n"/>
      <c r="AY443" s="170" t="n"/>
      <c r="AZ443" s="170" t="n"/>
      <c r="BA443" s="170" t="n"/>
      <c r="BB443" s="170" t="n"/>
      <c r="BC443" s="171" t="n"/>
    </row>
    <row r="444" ht="15" customHeight="1" s="144">
      <c r="AB444" s="89" t="n"/>
      <c r="AC444" s="104" t="n"/>
      <c r="AD444" s="91" t="n"/>
      <c r="AE444" s="90" t="n"/>
      <c r="AF444" s="90" t="n"/>
      <c r="AG444" s="92" t="n"/>
      <c r="AL444" s="93" t="n"/>
      <c r="AM444" s="94" t="n"/>
      <c r="AN444" s="95" t="n"/>
      <c r="AO444" s="96" t="n"/>
      <c r="AV444" s="90" t="n"/>
      <c r="AW444" s="100" t="n"/>
      <c r="AX444" s="170" t="n"/>
      <c r="AY444" s="170" t="n"/>
      <c r="AZ444" s="170" t="n"/>
      <c r="BA444" s="170" t="n"/>
      <c r="BB444" s="170" t="n"/>
      <c r="BC444" s="171" t="n"/>
    </row>
    <row r="445" ht="15" customHeight="1" s="144">
      <c r="AB445" s="89" t="n"/>
      <c r="AC445" s="104" t="n"/>
      <c r="AD445" s="91" t="n"/>
      <c r="AE445" s="90" t="n"/>
      <c r="AF445" s="90" t="n"/>
      <c r="AG445" s="92" t="n"/>
      <c r="AL445" s="93" t="n"/>
      <c r="AM445" s="94" t="n"/>
      <c r="AN445" s="95" t="n"/>
      <c r="AO445" s="96" t="n"/>
      <c r="AV445" s="90" t="n"/>
      <c r="AW445" s="100" t="n"/>
      <c r="AX445" s="170" t="n"/>
      <c r="AY445" s="170" t="n"/>
      <c r="AZ445" s="170" t="n"/>
      <c r="BA445" s="170" t="n"/>
      <c r="BB445" s="170" t="n"/>
      <c r="BC445" s="171" t="n"/>
    </row>
    <row r="446" ht="15" customHeight="1" s="144">
      <c r="AB446" s="89" t="n"/>
      <c r="AC446" s="104" t="n"/>
      <c r="AD446" s="91" t="n"/>
      <c r="AE446" s="90" t="n"/>
      <c r="AF446" s="90" t="n"/>
      <c r="AG446" s="92" t="n"/>
      <c r="AL446" s="93" t="n"/>
      <c r="AM446" s="94" t="n"/>
      <c r="AN446" s="95" t="n"/>
      <c r="AO446" s="96" t="n"/>
      <c r="AV446" s="90" t="n"/>
      <c r="AW446" s="100" t="n"/>
      <c r="AX446" s="170" t="n"/>
      <c r="AY446" s="170" t="n"/>
      <c r="AZ446" s="170" t="n"/>
      <c r="BA446" s="170" t="n"/>
      <c r="BB446" s="170" t="n"/>
      <c r="BC446" s="171" t="n"/>
    </row>
    <row r="447" ht="15" customHeight="1" s="144">
      <c r="AB447" s="89" t="n"/>
      <c r="AC447" s="104" t="n"/>
      <c r="AD447" s="91" t="n"/>
      <c r="AE447" s="90" t="n"/>
      <c r="AF447" s="90" t="n"/>
      <c r="AG447" s="92" t="n"/>
      <c r="AL447" s="93" t="n"/>
      <c r="AM447" s="94" t="n"/>
      <c r="AN447" s="95" t="n"/>
      <c r="AO447" s="96" t="n"/>
      <c r="AV447" s="90" t="n"/>
      <c r="AW447" s="100" t="n"/>
      <c r="AX447" s="170" t="n"/>
      <c r="AY447" s="170" t="n"/>
      <c r="AZ447" s="170" t="n"/>
      <c r="BA447" s="170" t="n"/>
      <c r="BB447" s="170" t="n"/>
      <c r="BC447" s="171" t="n"/>
    </row>
    <row r="448" ht="15" customHeight="1" s="144">
      <c r="AB448" s="89" t="n"/>
      <c r="AC448" s="104" t="n"/>
      <c r="AD448" s="91" t="n"/>
      <c r="AE448" s="90" t="n"/>
      <c r="AF448" s="90" t="n"/>
      <c r="AG448" s="92" t="n"/>
      <c r="AL448" s="93" t="n"/>
      <c r="AM448" s="94" t="n"/>
      <c r="AN448" s="95" t="n"/>
      <c r="AO448" s="96" t="n"/>
      <c r="AV448" s="90" t="n"/>
      <c r="AW448" s="100" t="n"/>
      <c r="AX448" s="170" t="n"/>
      <c r="AY448" s="170" t="n"/>
      <c r="AZ448" s="170" t="n"/>
      <c r="BA448" s="170" t="n"/>
      <c r="BB448" s="170" t="n"/>
      <c r="BC448" s="171" t="n"/>
    </row>
    <row r="449" ht="15" customHeight="1" s="144">
      <c r="AB449" s="89" t="n"/>
      <c r="AC449" s="104" t="n"/>
      <c r="AD449" s="91" t="n"/>
      <c r="AE449" s="90" t="n"/>
      <c r="AF449" s="90" t="n"/>
      <c r="AG449" s="92" t="n"/>
      <c r="AL449" s="93" t="n"/>
      <c r="AM449" s="94" t="n"/>
      <c r="AN449" s="95" t="n"/>
      <c r="AO449" s="96" t="n"/>
      <c r="AV449" s="90" t="n"/>
      <c r="AW449" s="100" t="n"/>
      <c r="AX449" s="170" t="n"/>
      <c r="AY449" s="170" t="n"/>
      <c r="AZ449" s="170" t="n"/>
      <c r="BA449" s="170" t="n"/>
      <c r="BB449" s="170" t="n"/>
      <c r="BC449" s="171" t="n"/>
    </row>
    <row r="450" ht="15" customHeight="1" s="144">
      <c r="AB450" s="89" t="n"/>
      <c r="AC450" s="104" t="n"/>
      <c r="AD450" s="91" t="n"/>
      <c r="AE450" s="90" t="n"/>
      <c r="AF450" s="90" t="n"/>
      <c r="AG450" s="92" t="n"/>
      <c r="AL450" s="93" t="n"/>
      <c r="AM450" s="94" t="n"/>
      <c r="AN450" s="95" t="n"/>
      <c r="AO450" s="96" t="n"/>
      <c r="AV450" s="90" t="n"/>
      <c r="AW450" s="100" t="n"/>
      <c r="AX450" s="170" t="n"/>
      <c r="AY450" s="170" t="n"/>
      <c r="AZ450" s="170" t="n"/>
      <c r="BA450" s="170" t="n"/>
      <c r="BB450" s="170" t="n"/>
      <c r="BC450" s="171" t="n"/>
    </row>
    <row r="451" ht="15" customHeight="1" s="144">
      <c r="AB451" s="89" t="n"/>
      <c r="AC451" s="104" t="n"/>
      <c r="AD451" s="91" t="n"/>
      <c r="AE451" s="90" t="n"/>
      <c r="AF451" s="90" t="n"/>
      <c r="AG451" s="92" t="n"/>
      <c r="AL451" s="93" t="n"/>
      <c r="AM451" s="94" t="n"/>
      <c r="AN451" s="95" t="n"/>
      <c r="AO451" s="96" t="n"/>
      <c r="AV451" s="90" t="n"/>
      <c r="AW451" s="100" t="n"/>
      <c r="AX451" s="170" t="n"/>
      <c r="AY451" s="170" t="n"/>
      <c r="AZ451" s="170" t="n"/>
      <c r="BA451" s="170" t="n"/>
      <c r="BB451" s="170" t="n"/>
      <c r="BC451" s="171" t="n"/>
    </row>
    <row r="452" ht="15" customHeight="1" s="144">
      <c r="AD452" s="91" t="n"/>
      <c r="AE452" s="90" t="n"/>
      <c r="AF452" s="90" t="n"/>
      <c r="AG452" s="92" t="n"/>
      <c r="AL452" s="93" t="n"/>
      <c r="AM452" s="94" t="n"/>
      <c r="AN452" s="95" t="n"/>
      <c r="AO452" s="96" t="n"/>
      <c r="AV452" s="107" t="n"/>
      <c r="AW452" s="100" t="n"/>
      <c r="AX452" s="170" t="n"/>
      <c r="AY452" s="170" t="n"/>
      <c r="AZ452" s="170" t="n"/>
      <c r="BA452" s="170" t="n"/>
      <c r="BB452" s="170" t="n"/>
      <c r="BC452" s="171" t="n"/>
    </row>
    <row r="453" ht="15" customHeight="1" s="144">
      <c r="AD453" s="91" t="n"/>
      <c r="AE453" s="90" t="n"/>
      <c r="AF453" s="90" t="n"/>
      <c r="AG453" s="92" t="n"/>
      <c r="AL453" s="93" t="n"/>
      <c r="AM453" s="94" t="n"/>
      <c r="AN453" s="95" t="n"/>
      <c r="AO453" s="96" t="n"/>
      <c r="AV453" s="107" t="n"/>
      <c r="AW453" s="100" t="n"/>
      <c r="AX453" s="170" t="n"/>
      <c r="AY453" s="170" t="n"/>
      <c r="AZ453" s="170" t="n"/>
      <c r="BA453" s="170" t="n"/>
      <c r="BB453" s="170" t="n"/>
      <c r="BC453" s="171" t="n"/>
    </row>
    <row r="454" ht="15" customHeight="1" s="144">
      <c r="AD454" s="91" t="n"/>
      <c r="AE454" s="90" t="n"/>
      <c r="AF454" s="90" t="n"/>
      <c r="AG454" s="92" t="n"/>
      <c r="AL454" s="93" t="n"/>
      <c r="AM454" s="94" t="n"/>
      <c r="AN454" s="95" t="n"/>
      <c r="AO454" s="96" t="n"/>
      <c r="AV454" s="107" t="n"/>
      <c r="AW454" s="100" t="n"/>
      <c r="AX454" s="170" t="n"/>
      <c r="AY454" s="170" t="n"/>
      <c r="AZ454" s="170" t="n"/>
      <c r="BA454" s="170" t="n"/>
      <c r="BB454" s="170" t="n"/>
      <c r="BC454" s="171" t="n"/>
    </row>
    <row r="455" ht="15" customHeight="1" s="144">
      <c r="AD455" s="91" t="n"/>
      <c r="AE455" s="90" t="n"/>
      <c r="AF455" s="90" t="n"/>
      <c r="AG455" s="92" t="n"/>
      <c r="AL455" s="93" t="n"/>
      <c r="AM455" s="94" t="n"/>
      <c r="AN455" s="95" t="n"/>
      <c r="AO455" s="96" t="n"/>
      <c r="AV455" s="107" t="n"/>
      <c r="AW455" s="100" t="n"/>
      <c r="AX455" s="170" t="n"/>
      <c r="AY455" s="170" t="n"/>
      <c r="AZ455" s="170" t="n"/>
      <c r="BA455" s="170" t="n"/>
      <c r="BB455" s="170" t="n"/>
      <c r="BC455" s="171" t="n"/>
    </row>
    <row r="456" ht="15" customHeight="1" s="144">
      <c r="AD456" s="91" t="n"/>
      <c r="AE456" s="90" t="n"/>
      <c r="AF456" s="90" t="n"/>
      <c r="AG456" s="92" t="n"/>
      <c r="AL456" s="93" t="n"/>
      <c r="AM456" s="94" t="n"/>
      <c r="AN456" s="95" t="n"/>
      <c r="AO456" s="96" t="n"/>
      <c r="AV456" s="107" t="n"/>
      <c r="AW456" s="100" t="n"/>
      <c r="AX456" s="170" t="n"/>
      <c r="AY456" s="170" t="n"/>
      <c r="AZ456" s="170" t="n"/>
      <c r="BA456" s="170" t="n"/>
      <c r="BB456" s="170" t="n"/>
      <c r="BC456" s="171" t="n"/>
    </row>
    <row r="457" ht="15" customHeight="1" s="144">
      <c r="AD457" s="91" t="n"/>
      <c r="AE457" s="90" t="n"/>
      <c r="AF457" s="90" t="n"/>
      <c r="AG457" s="92" t="n"/>
      <c r="AL457" s="93" t="n"/>
      <c r="AM457" s="94" t="n"/>
      <c r="AN457" s="95" t="n"/>
      <c r="AO457" s="96" t="n"/>
      <c r="AV457" s="107" t="n"/>
      <c r="AW457" s="100" t="n"/>
      <c r="AX457" s="170" t="n"/>
      <c r="AY457" s="170" t="n"/>
      <c r="AZ457" s="170" t="n"/>
      <c r="BA457" s="170" t="n"/>
      <c r="BB457" s="170" t="n"/>
      <c r="BC457" s="171" t="n"/>
    </row>
    <row r="458" ht="15" customHeight="1" s="144">
      <c r="AD458" s="91" t="n"/>
      <c r="AE458" s="90" t="n"/>
      <c r="AF458" s="90" t="n"/>
      <c r="AG458" s="92" t="n"/>
      <c r="AL458" s="93" t="n"/>
      <c r="AM458" s="94" t="n"/>
      <c r="AN458" s="95" t="n"/>
      <c r="AO458" s="96" t="n"/>
      <c r="AV458" s="107" t="n"/>
      <c r="AW458" s="100" t="n"/>
      <c r="AX458" s="170" t="n"/>
      <c r="AY458" s="170" t="n"/>
      <c r="AZ458" s="170" t="n"/>
      <c r="BA458" s="170" t="n"/>
      <c r="BB458" s="170" t="n"/>
      <c r="BC458" s="171" t="n"/>
    </row>
    <row r="459" ht="15" customHeight="1" s="144">
      <c r="AD459" s="91" t="n"/>
      <c r="AE459" s="90" t="n"/>
      <c r="AF459" s="90" t="n"/>
      <c r="AG459" s="92" t="n"/>
      <c r="AL459" s="93" t="n"/>
      <c r="AM459" s="94" t="n"/>
      <c r="AN459" s="95" t="n"/>
      <c r="AO459" s="96" t="n"/>
      <c r="AV459" s="107" t="n"/>
      <c r="AW459" s="100" t="n"/>
      <c r="AX459" s="170" t="n"/>
      <c r="AY459" s="170" t="n"/>
      <c r="AZ459" s="170" t="n"/>
      <c r="BA459" s="170" t="n"/>
      <c r="BB459" s="170" t="n"/>
      <c r="BC459" s="171" t="n"/>
    </row>
    <row r="460" ht="15" customHeight="1" s="144">
      <c r="AD460" s="91" t="n"/>
      <c r="AE460" s="90" t="n"/>
      <c r="AF460" s="90" t="n"/>
      <c r="AG460" s="92" t="n"/>
      <c r="AL460" s="93" t="n"/>
      <c r="AM460" s="94" t="n"/>
      <c r="AN460" s="95" t="n"/>
      <c r="AO460" s="96" t="n"/>
      <c r="AV460" s="107" t="n"/>
      <c r="AW460" s="100" t="n"/>
      <c r="AX460" s="170" t="n"/>
      <c r="AY460" s="170" t="n"/>
      <c r="AZ460" s="170" t="n"/>
      <c r="BA460" s="170" t="n"/>
      <c r="BB460" s="170" t="n"/>
      <c r="BC460" s="171" t="n"/>
    </row>
    <row r="461" ht="15" customHeight="1" s="144">
      <c r="AD461" s="91" t="n"/>
      <c r="AE461" s="90" t="n"/>
      <c r="AF461" s="90" t="n"/>
      <c r="AG461" s="92" t="n"/>
      <c r="AL461" s="93" t="n"/>
      <c r="AM461" s="94" t="n"/>
      <c r="AN461" s="95" t="n"/>
      <c r="AO461" s="96" t="n"/>
      <c r="AV461" s="107" t="n"/>
      <c r="AW461" s="100" t="n"/>
      <c r="AX461" s="170" t="n"/>
      <c r="AY461" s="170" t="n"/>
      <c r="AZ461" s="170" t="n"/>
      <c r="BA461" s="170" t="n"/>
      <c r="BB461" s="170" t="n"/>
      <c r="BC461" s="171" t="n"/>
    </row>
    <row r="462" ht="15" customHeight="1" s="144">
      <c r="AD462" s="91" t="n"/>
      <c r="AE462" s="90" t="n"/>
      <c r="AF462" s="90" t="n"/>
      <c r="AG462" s="92" t="n"/>
      <c r="AL462" s="93" t="n"/>
      <c r="AM462" s="94" t="n"/>
      <c r="AN462" s="95" t="n"/>
      <c r="AO462" s="96" t="n"/>
      <c r="AV462" s="107" t="n"/>
      <c r="AW462" s="100" t="n"/>
      <c r="AX462" s="170" t="n"/>
      <c r="AY462" s="170" t="n"/>
      <c r="AZ462" s="170" t="n"/>
      <c r="BA462" s="170" t="n"/>
      <c r="BB462" s="170" t="n"/>
      <c r="BC462" s="171" t="n"/>
    </row>
    <row r="463" ht="15" customHeight="1" s="144">
      <c r="AD463" s="91" t="n"/>
      <c r="AE463" s="90" t="n"/>
      <c r="AF463" s="90" t="n"/>
      <c r="AG463" s="92" t="n"/>
      <c r="AL463" s="93" t="n"/>
      <c r="AM463" s="94" t="n"/>
      <c r="AN463" s="95" t="n"/>
      <c r="AO463" s="96" t="n"/>
      <c r="AV463" s="107" t="n"/>
      <c r="AW463" s="100" t="n"/>
      <c r="AX463" s="170" t="n"/>
      <c r="AY463" s="170" t="n"/>
      <c r="AZ463" s="170" t="n"/>
      <c r="BA463" s="170" t="n"/>
      <c r="BB463" s="170" t="n"/>
      <c r="BC463" s="171" t="n"/>
    </row>
    <row r="464" ht="15" customHeight="1" s="144">
      <c r="AD464" s="91" t="n"/>
      <c r="AE464" s="90" t="n"/>
      <c r="AF464" s="90" t="n"/>
      <c r="AG464" s="92" t="n"/>
      <c r="AL464" s="93" t="n"/>
      <c r="AM464" s="94" t="n"/>
      <c r="AN464" s="95" t="n"/>
      <c r="AO464" s="96" t="n"/>
      <c r="AV464" s="107" t="n"/>
      <c r="AW464" s="100" t="n"/>
      <c r="AX464" s="170" t="n"/>
      <c r="AY464" s="170" t="n"/>
      <c r="AZ464" s="170" t="n"/>
      <c r="BA464" s="170" t="n"/>
      <c r="BB464" s="170" t="n"/>
      <c r="BC464" s="171" t="n"/>
    </row>
    <row r="465" ht="15" customHeight="1" s="144">
      <c r="AD465" s="91" t="n"/>
      <c r="AE465" s="90" t="n"/>
      <c r="AF465" s="90" t="n"/>
      <c r="AG465" s="92" t="n"/>
      <c r="AL465" s="93" t="n"/>
      <c r="AM465" s="94" t="n"/>
      <c r="AN465" s="95" t="n"/>
      <c r="AO465" s="96" t="n"/>
      <c r="AV465" s="107" t="n"/>
      <c r="AW465" s="100" t="n"/>
      <c r="AX465" s="170" t="n"/>
      <c r="AY465" s="170" t="n"/>
      <c r="AZ465" s="170" t="n"/>
      <c r="BA465" s="170" t="n"/>
      <c r="BB465" s="170" t="n"/>
      <c r="BC465" s="171" t="n"/>
    </row>
    <row r="466" ht="15" customHeight="1" s="144">
      <c r="AD466" s="91" t="n"/>
      <c r="AE466" s="90" t="n"/>
      <c r="AF466" s="90" t="n"/>
      <c r="AG466" s="92" t="n"/>
      <c r="AL466" s="93" t="n"/>
      <c r="AM466" s="94" t="n"/>
      <c r="AN466" s="95" t="n"/>
      <c r="AO466" s="96" t="n"/>
      <c r="AV466" s="107" t="n"/>
      <c r="AW466" s="100" t="n"/>
      <c r="AX466" s="170" t="n"/>
      <c r="AY466" s="170" t="n"/>
      <c r="AZ466" s="170" t="n"/>
      <c r="BA466" s="170" t="n"/>
      <c r="BB466" s="170" t="n"/>
      <c r="BC466" s="171" t="n"/>
    </row>
    <row r="467" ht="15" customHeight="1" s="144">
      <c r="AD467" s="91" t="n"/>
      <c r="AE467" s="90" t="n"/>
      <c r="AF467" s="90" t="n"/>
      <c r="AG467" s="92" t="n"/>
      <c r="AL467" s="93" t="n"/>
      <c r="AM467" s="94" t="n"/>
      <c r="AN467" s="95" t="n"/>
      <c r="AO467" s="96" t="n"/>
      <c r="AV467" s="107" t="n"/>
      <c r="AW467" s="100" t="n"/>
      <c r="AX467" s="170" t="n"/>
      <c r="AY467" s="170" t="n"/>
      <c r="AZ467" s="170" t="n"/>
      <c r="BA467" s="170" t="n"/>
      <c r="BB467" s="170" t="n"/>
      <c r="BC467" s="171" t="n"/>
    </row>
    <row r="468" ht="15" customHeight="1" s="144">
      <c r="AD468" s="91" t="n"/>
      <c r="AE468" s="90" t="n"/>
      <c r="AF468" s="90" t="n"/>
      <c r="AG468" s="92" t="n"/>
      <c r="AL468" s="93" t="n"/>
      <c r="AM468" s="94" t="n"/>
      <c r="AN468" s="95" t="n"/>
      <c r="AO468" s="96" t="n"/>
      <c r="AV468" s="107" t="n"/>
      <c r="AW468" s="100" t="n"/>
      <c r="AX468" s="170" t="n"/>
      <c r="AY468" s="170" t="n"/>
      <c r="AZ468" s="170" t="n"/>
      <c r="BA468" s="170" t="n"/>
      <c r="BB468" s="170" t="n"/>
      <c r="BC468" s="171" t="n"/>
    </row>
    <row r="469" ht="15" customHeight="1" s="144">
      <c r="AD469" s="91" t="n"/>
      <c r="AE469" s="90" t="n"/>
      <c r="AF469" s="90" t="n"/>
      <c r="AG469" s="92" t="n"/>
      <c r="AL469" s="93" t="n"/>
      <c r="AM469" s="94" t="n"/>
      <c r="AN469" s="95" t="n"/>
      <c r="AO469" s="96" t="n"/>
      <c r="AV469" s="107" t="n"/>
      <c r="AW469" s="100" t="n"/>
      <c r="AX469" s="170" t="n"/>
      <c r="AY469" s="170" t="n"/>
      <c r="AZ469" s="170" t="n"/>
      <c r="BA469" s="170" t="n"/>
      <c r="BB469" s="170" t="n"/>
      <c r="BC469" s="171" t="n"/>
    </row>
    <row r="470" ht="15" customHeight="1" s="144">
      <c r="AD470" s="91" t="n"/>
      <c r="AE470" s="90" t="n"/>
      <c r="AF470" s="90" t="n"/>
      <c r="AG470" s="92" t="n"/>
      <c r="AL470" s="93" t="n"/>
      <c r="AM470" s="94" t="n"/>
      <c r="AN470" s="95" t="n"/>
      <c r="AO470" s="96" t="n"/>
      <c r="AV470" s="107" t="n"/>
      <c r="AW470" s="100" t="n"/>
      <c r="AX470" s="170" t="n"/>
      <c r="AY470" s="170" t="n"/>
      <c r="AZ470" s="170" t="n"/>
      <c r="BA470" s="170" t="n"/>
      <c r="BB470" s="170" t="n"/>
      <c r="BC470" s="171" t="n"/>
    </row>
    <row r="471" ht="15" customHeight="1" s="144">
      <c r="AD471" s="91" t="n"/>
      <c r="AE471" s="90" t="n"/>
      <c r="AF471" s="90" t="n"/>
      <c r="AG471" s="92" t="n"/>
      <c r="AL471" s="93" t="n"/>
      <c r="AM471" s="94" t="n"/>
      <c r="AN471" s="95" t="n"/>
      <c r="AO471" s="96" t="n"/>
      <c r="AV471" s="107" t="n"/>
      <c r="AW471" s="100" t="n"/>
      <c r="AX471" s="170" t="n"/>
      <c r="AY471" s="170" t="n"/>
      <c r="AZ471" s="170" t="n"/>
      <c r="BA471" s="170" t="n"/>
      <c r="BB471" s="170" t="n"/>
      <c r="BC471" s="171" t="n"/>
    </row>
    <row r="472" ht="15" customHeight="1" s="144">
      <c r="AD472" s="91" t="n"/>
      <c r="AE472" s="90" t="n"/>
      <c r="AF472" s="90" t="n"/>
      <c r="AG472" s="92" t="n"/>
      <c r="AL472" s="93" t="n"/>
      <c r="AM472" s="94" t="n"/>
      <c r="AN472" s="95" t="n"/>
      <c r="AO472" s="96" t="n"/>
      <c r="AV472" s="107" t="n"/>
      <c r="AW472" s="100" t="n"/>
      <c r="AX472" s="170" t="n"/>
      <c r="AY472" s="170" t="n"/>
      <c r="AZ472" s="170" t="n"/>
      <c r="BA472" s="170" t="n"/>
      <c r="BB472" s="170" t="n"/>
      <c r="BC472" s="171" t="n"/>
    </row>
    <row r="473" ht="15" customHeight="1" s="144">
      <c r="AD473" s="91" t="n"/>
      <c r="AE473" s="90" t="n"/>
      <c r="AF473" s="90" t="n"/>
      <c r="AG473" s="92" t="n"/>
      <c r="AL473" s="93" t="n"/>
      <c r="AM473" s="94" t="n"/>
      <c r="AN473" s="95" t="n"/>
      <c r="AO473" s="96" t="n"/>
      <c r="AV473" s="107" t="n"/>
      <c r="AW473" s="100" t="n"/>
      <c r="AX473" s="170" t="n"/>
      <c r="AY473" s="170" t="n"/>
      <c r="AZ473" s="170" t="n"/>
      <c r="BA473" s="170" t="n"/>
      <c r="BB473" s="170" t="n"/>
      <c r="BC473" s="171" t="n"/>
    </row>
    <row r="474" ht="15" customHeight="1" s="144">
      <c r="AD474" s="91" t="n"/>
      <c r="AE474" s="90" t="n"/>
      <c r="AF474" s="90" t="n"/>
      <c r="AG474" s="92" t="n"/>
      <c r="AL474" s="93" t="n"/>
      <c r="AM474" s="94" t="n"/>
      <c r="AN474" s="95" t="n"/>
      <c r="AO474" s="96" t="n"/>
      <c r="AV474" s="107" t="n"/>
      <c r="AW474" s="100" t="n"/>
      <c r="AX474" s="170" t="n"/>
      <c r="AY474" s="170" t="n"/>
      <c r="AZ474" s="170" t="n"/>
      <c r="BA474" s="170" t="n"/>
      <c r="BB474" s="170" t="n"/>
      <c r="BC474" s="171" t="n"/>
    </row>
    <row r="475" ht="15" customHeight="1" s="144">
      <c r="AD475" s="91" t="n"/>
      <c r="AE475" s="90" t="n"/>
      <c r="AF475" s="90" t="n"/>
      <c r="AG475" s="92" t="n"/>
      <c r="AL475" s="93" t="n"/>
      <c r="AM475" s="94" t="n"/>
      <c r="AN475" s="95" t="n"/>
      <c r="AO475" s="96" t="n"/>
      <c r="AV475" s="107" t="n"/>
      <c r="AW475" s="100" t="n"/>
      <c r="AX475" s="170" t="n"/>
      <c r="AY475" s="170" t="n"/>
      <c r="AZ475" s="170" t="n"/>
      <c r="BA475" s="170" t="n"/>
      <c r="BB475" s="170" t="n"/>
      <c r="BC475" s="171" t="n"/>
    </row>
    <row r="476" ht="15" customHeight="1" s="144">
      <c r="AD476" s="91" t="n"/>
      <c r="AE476" s="90" t="n"/>
      <c r="AF476" s="90" t="n"/>
      <c r="AG476" s="92" t="n"/>
      <c r="AL476" s="93" t="n"/>
      <c r="AM476" s="94" t="n"/>
      <c r="AN476" s="95" t="n"/>
      <c r="AO476" s="96" t="n"/>
      <c r="AV476" s="107" t="n"/>
      <c r="AW476" s="100" t="n"/>
      <c r="AX476" s="170" t="n"/>
      <c r="AY476" s="170" t="n"/>
      <c r="AZ476" s="170" t="n"/>
      <c r="BA476" s="170" t="n"/>
      <c r="BB476" s="170" t="n"/>
      <c r="BC476" s="171" t="n"/>
    </row>
    <row r="477" ht="15" customHeight="1" s="144">
      <c r="AC477" s="91" t="n"/>
      <c r="AD477" s="91" t="n"/>
      <c r="AE477" s="90" t="n"/>
      <c r="AF477" s="90" t="n"/>
      <c r="AG477" s="92" t="n"/>
      <c r="AL477" s="93" t="n"/>
      <c r="AM477" s="94" t="n"/>
      <c r="AN477" s="95" t="n"/>
      <c r="AO477" s="96" t="n"/>
      <c r="AV477" s="107" t="n"/>
      <c r="AW477" s="100" t="n"/>
      <c r="AX477" s="170" t="n"/>
      <c r="AY477" s="170" t="n"/>
      <c r="AZ477" s="170" t="n"/>
      <c r="BA477" s="170" t="n"/>
      <c r="BB477" s="170" t="n"/>
      <c r="BC477" s="171" t="n"/>
    </row>
    <row r="478" ht="15" customHeight="1" s="144">
      <c r="AC478" s="91" t="n"/>
      <c r="AD478" s="91" t="n"/>
      <c r="AE478" s="90" t="n"/>
      <c r="AF478" s="90" t="n"/>
      <c r="AG478" s="92" t="n"/>
      <c r="AL478" s="93" t="n"/>
      <c r="AM478" s="94" t="n"/>
      <c r="AN478" s="95" t="n"/>
      <c r="AO478" s="96" t="n"/>
      <c r="AV478" s="107" t="n"/>
      <c r="AW478" s="100" t="n"/>
      <c r="AX478" s="170" t="n"/>
      <c r="AY478" s="170" t="n"/>
      <c r="AZ478" s="170" t="n"/>
      <c r="BA478" s="170" t="n"/>
      <c r="BB478" s="170" t="n"/>
      <c r="BC478" s="171" t="n"/>
    </row>
    <row r="479" ht="15" customHeight="1" s="144">
      <c r="AC479" s="91" t="n"/>
      <c r="AD479" s="91" t="n"/>
      <c r="AE479" s="90" t="n"/>
      <c r="AF479" s="90" t="n"/>
      <c r="AG479" s="92" t="n"/>
      <c r="AL479" s="93" t="n"/>
      <c r="AM479" s="94" t="n"/>
      <c r="AN479" s="95" t="n"/>
      <c r="AO479" s="96" t="n"/>
      <c r="AV479" s="107" t="n"/>
      <c r="AW479" s="100" t="n"/>
      <c r="AX479" s="170" t="n"/>
      <c r="AY479" s="170" t="n"/>
      <c r="AZ479" s="170" t="n"/>
      <c r="BA479" s="170" t="n"/>
      <c r="BB479" s="170" t="n"/>
      <c r="BC479" s="171" t="n"/>
    </row>
    <row r="480" ht="15" customHeight="1" s="144">
      <c r="AD480" s="91" t="n"/>
      <c r="AE480" s="90" t="n"/>
      <c r="AF480" s="90" t="n"/>
      <c r="AG480" s="92" t="n"/>
      <c r="AL480" s="93" t="n"/>
      <c r="AM480" s="94" t="n"/>
      <c r="AN480" s="95" t="n"/>
      <c r="AO480" s="96" t="n"/>
      <c r="AV480" s="107" t="n"/>
      <c r="AW480" s="100" t="n"/>
      <c r="AX480" s="170" t="n"/>
      <c r="AY480" s="170" t="n"/>
      <c r="AZ480" s="170" t="n"/>
      <c r="BA480" s="170" t="n"/>
      <c r="BB480" s="170" t="n"/>
      <c r="BC480" s="171" t="n"/>
    </row>
    <row r="481" ht="15" customHeight="1" s="144">
      <c r="AD481" s="91" t="n"/>
      <c r="AE481" s="90" t="n"/>
      <c r="AF481" s="90" t="n"/>
      <c r="AG481" s="92" t="n"/>
      <c r="AL481" s="93" t="n"/>
      <c r="AM481" s="94" t="n"/>
      <c r="AN481" s="95" t="n"/>
      <c r="AO481" s="96" t="n"/>
      <c r="AV481" s="107" t="n"/>
      <c r="AW481" s="100" t="n"/>
      <c r="AX481" s="170" t="n"/>
      <c r="AY481" s="170" t="n"/>
      <c r="AZ481" s="170" t="n"/>
      <c r="BA481" s="170" t="n"/>
      <c r="BB481" s="170" t="n"/>
      <c r="BC481" s="171" t="n"/>
    </row>
    <row r="482" ht="15" customHeight="1" s="144">
      <c r="AD482" s="91" t="n"/>
      <c r="AE482" s="90" t="n"/>
      <c r="AF482" s="90" t="n"/>
      <c r="AG482" s="92" t="n"/>
      <c r="AL482" s="93" t="n"/>
      <c r="AM482" s="94" t="n"/>
      <c r="AN482" s="95" t="n"/>
      <c r="AO482" s="96" t="n"/>
      <c r="AV482" s="107" t="n"/>
      <c r="AW482" s="100" t="n"/>
      <c r="AX482" s="170" t="n"/>
      <c r="AY482" s="170" t="n"/>
      <c r="AZ482" s="170" t="n"/>
      <c r="BA482" s="170" t="n"/>
      <c r="BB482" s="170" t="n"/>
      <c r="BC482" s="171" t="n"/>
    </row>
    <row r="483" ht="15" customHeight="1" s="144">
      <c r="AD483" s="91" t="n"/>
      <c r="AE483" s="90" t="n"/>
      <c r="AF483" s="90" t="n"/>
      <c r="AG483" s="92" t="n"/>
      <c r="AL483" s="93" t="n"/>
      <c r="AM483" s="94" t="n"/>
      <c r="AN483" s="95" t="n"/>
      <c r="AO483" s="96" t="n"/>
      <c r="AV483" s="107" t="n"/>
      <c r="AW483" s="100" t="n"/>
      <c r="AX483" s="170" t="n"/>
      <c r="AY483" s="170" t="n"/>
      <c r="AZ483" s="170" t="n"/>
      <c r="BA483" s="170" t="n"/>
      <c r="BB483" s="170" t="n"/>
      <c r="BC483" s="171" t="n"/>
    </row>
    <row r="484" ht="15" customHeight="1" s="144">
      <c r="AD484" s="91" t="n"/>
      <c r="AE484" s="90" t="n"/>
      <c r="AF484" s="90" t="n"/>
      <c r="AG484" s="92" t="n"/>
      <c r="AL484" s="93" t="n"/>
      <c r="AM484" s="94" t="n"/>
      <c r="AN484" s="95" t="n"/>
      <c r="AO484" s="96" t="n"/>
      <c r="AV484" s="107" t="n"/>
      <c r="AW484" s="100" t="n"/>
      <c r="AX484" s="170" t="n"/>
      <c r="AY484" s="170" t="n"/>
      <c r="AZ484" s="170" t="n"/>
      <c r="BA484" s="170" t="n"/>
      <c r="BB484" s="170" t="n"/>
      <c r="BC484" s="171" t="n"/>
    </row>
    <row r="485" ht="15" customHeight="1" s="144">
      <c r="AD485" s="91" t="n"/>
      <c r="AE485" s="90" t="n"/>
      <c r="AF485" s="90" t="n"/>
      <c r="AG485" s="92" t="n"/>
      <c r="AL485" s="93" t="n"/>
      <c r="AM485" s="94" t="n"/>
      <c r="AN485" s="95" t="n"/>
      <c r="AO485" s="96" t="n"/>
      <c r="AV485" s="107" t="n"/>
      <c r="AW485" s="100" t="n"/>
      <c r="AX485" s="170" t="n"/>
      <c r="AY485" s="170" t="n"/>
      <c r="AZ485" s="170" t="n"/>
      <c r="BA485" s="170" t="n"/>
      <c r="BB485" s="170" t="n"/>
      <c r="BC485" s="171" t="n"/>
    </row>
    <row r="486" ht="15" customHeight="1" s="144">
      <c r="AD486" s="91" t="n"/>
      <c r="AE486" s="90" t="n"/>
      <c r="AF486" s="90" t="n"/>
      <c r="AG486" s="92" t="n"/>
      <c r="AL486" s="93" t="n"/>
      <c r="AM486" s="94" t="n"/>
      <c r="AN486" s="95" t="n"/>
      <c r="AO486" s="96" t="n"/>
      <c r="AV486" s="107" t="n"/>
      <c r="AW486" s="100" t="n"/>
      <c r="AX486" s="170" t="n"/>
      <c r="AY486" s="170" t="n"/>
      <c r="AZ486" s="170" t="n"/>
      <c r="BA486" s="170" t="n"/>
      <c r="BB486" s="170" t="n"/>
      <c r="BC486" s="171" t="n"/>
    </row>
    <row r="487" ht="15" customHeight="1" s="144">
      <c r="AD487" s="91" t="n"/>
      <c r="AE487" s="90" t="n"/>
      <c r="AF487" s="90" t="n"/>
      <c r="AG487" s="92" t="n"/>
      <c r="AL487" s="93" t="n"/>
      <c r="AM487" s="94" t="n"/>
      <c r="AN487" s="95" t="n"/>
      <c r="AO487" s="96" t="n"/>
      <c r="AV487" s="107" t="n"/>
      <c r="AW487" s="100" t="n"/>
      <c r="AX487" s="170" t="n"/>
      <c r="AY487" s="170" t="n"/>
      <c r="AZ487" s="170" t="n"/>
      <c r="BA487" s="170" t="n"/>
      <c r="BB487" s="170" t="n"/>
      <c r="BC487" s="171" t="n"/>
    </row>
    <row r="488" ht="15" customHeight="1" s="144">
      <c r="AD488" s="91" t="n"/>
      <c r="AE488" s="90" t="n"/>
      <c r="AF488" s="90" t="n"/>
      <c r="AG488" s="92" t="n"/>
      <c r="AL488" s="93" t="n"/>
      <c r="AM488" s="94" t="n"/>
      <c r="AN488" s="95" t="n"/>
      <c r="AO488" s="96" t="n"/>
      <c r="AV488" s="107" t="n"/>
      <c r="AW488" s="100" t="n"/>
      <c r="AX488" s="170" t="n"/>
      <c r="AY488" s="170" t="n"/>
      <c r="AZ488" s="170" t="n"/>
      <c r="BA488" s="170" t="n"/>
      <c r="BB488" s="170" t="n"/>
      <c r="BC488" s="171" t="n"/>
    </row>
    <row r="489" ht="15" customHeight="1" s="144">
      <c r="AD489" s="91" t="n"/>
      <c r="AE489" s="90" t="n"/>
      <c r="AF489" s="90" t="n"/>
      <c r="AG489" s="92" t="n"/>
      <c r="AL489" s="93" t="n"/>
      <c r="AM489" s="94" t="n"/>
      <c r="AN489" s="95" t="n"/>
      <c r="AO489" s="96" t="n"/>
      <c r="AV489" s="107" t="n"/>
      <c r="AW489" s="100" t="n"/>
      <c r="AX489" s="170" t="n"/>
      <c r="AY489" s="170" t="n"/>
      <c r="AZ489" s="170" t="n"/>
      <c r="BA489" s="170" t="n"/>
      <c r="BB489" s="170" t="n"/>
      <c r="BC489" s="171" t="n"/>
    </row>
    <row r="490" ht="15" customHeight="1" s="144">
      <c r="AD490" s="91" t="n"/>
      <c r="AE490" s="90" t="n"/>
      <c r="AF490" s="90" t="n"/>
      <c r="AG490" s="92" t="n"/>
      <c r="AL490" s="93" t="n"/>
      <c r="AM490" s="94" t="n"/>
      <c r="AN490" s="95" t="n"/>
      <c r="AO490" s="96" t="n"/>
      <c r="AV490" s="107" t="n"/>
      <c r="AW490" s="100" t="n"/>
      <c r="AX490" s="170" t="n"/>
      <c r="AY490" s="170" t="n"/>
      <c r="AZ490" s="170" t="n"/>
      <c r="BA490" s="170" t="n"/>
      <c r="BB490" s="170" t="n"/>
      <c r="BC490" s="171" t="n"/>
    </row>
    <row r="491" ht="15" customHeight="1" s="144">
      <c r="AD491" s="91" t="n"/>
      <c r="AE491" s="90" t="n"/>
      <c r="AF491" s="90" t="n"/>
      <c r="AG491" s="92" t="n"/>
      <c r="AL491" s="93" t="n"/>
      <c r="AM491" s="94" t="n"/>
      <c r="AN491" s="95" t="n"/>
      <c r="AO491" s="96" t="n"/>
      <c r="AV491" s="107" t="n"/>
      <c r="AW491" s="100" t="n"/>
      <c r="AX491" s="170" t="n"/>
      <c r="AY491" s="170" t="n"/>
      <c r="AZ491" s="170" t="n"/>
      <c r="BA491" s="170" t="n"/>
      <c r="BB491" s="170" t="n"/>
      <c r="BC491" s="171" t="n"/>
    </row>
    <row r="492" ht="15" customHeight="1" s="144">
      <c r="AD492" s="91" t="n"/>
      <c r="AE492" s="90" t="n"/>
      <c r="AF492" s="90" t="n"/>
      <c r="AG492" s="92" t="n"/>
      <c r="AL492" s="93" t="n"/>
      <c r="AM492" s="94" t="n"/>
      <c r="AN492" s="95" t="n"/>
      <c r="AO492" s="96" t="n"/>
      <c r="AV492" s="107" t="n"/>
      <c r="AW492" s="100" t="n"/>
      <c r="AX492" s="170" t="n"/>
      <c r="AY492" s="170" t="n"/>
      <c r="AZ492" s="170" t="n"/>
      <c r="BA492" s="170" t="n"/>
      <c r="BB492" s="170" t="n"/>
      <c r="BC492" s="171" t="n"/>
    </row>
    <row r="493" ht="15" customHeight="1" s="144">
      <c r="AD493" s="91" t="n"/>
      <c r="AE493" s="90" t="n"/>
      <c r="AF493" s="90" t="n"/>
      <c r="AG493" s="92" t="n"/>
      <c r="AL493" s="93" t="n"/>
      <c r="AM493" s="94" t="n"/>
      <c r="AN493" s="95" t="n"/>
      <c r="AO493" s="96" t="n"/>
      <c r="AV493" s="107" t="n"/>
      <c r="AW493" s="100" t="n"/>
      <c r="AX493" s="170" t="n"/>
      <c r="AY493" s="170" t="n"/>
      <c r="AZ493" s="170" t="n"/>
      <c r="BA493" s="170" t="n"/>
      <c r="BB493" s="170" t="n"/>
      <c r="BC493" s="171" t="n"/>
    </row>
    <row r="494" ht="15" customHeight="1" s="144">
      <c r="AD494" s="91" t="n"/>
      <c r="AE494" s="90" t="n"/>
      <c r="AF494" s="90" t="n"/>
      <c r="AG494" s="92" t="n"/>
      <c r="AL494" s="93" t="n"/>
      <c r="AM494" s="94" t="n"/>
      <c r="AN494" s="95" t="n"/>
      <c r="AO494" s="96" t="n"/>
      <c r="AV494" s="107" t="n"/>
      <c r="AW494" s="100" t="n"/>
      <c r="AX494" s="170" t="n"/>
      <c r="AY494" s="170" t="n"/>
      <c r="AZ494" s="170" t="n"/>
      <c r="BA494" s="170" t="n"/>
      <c r="BB494" s="170" t="n"/>
      <c r="BC494" s="171" t="n"/>
    </row>
    <row r="495" ht="15" customHeight="1" s="144">
      <c r="AD495" s="91" t="n"/>
      <c r="AE495" s="90" t="n"/>
      <c r="AF495" s="90" t="n"/>
      <c r="AG495" s="92" t="n"/>
      <c r="AL495" s="93" t="n"/>
      <c r="AM495" s="94" t="n"/>
      <c r="AN495" s="95" t="n"/>
      <c r="AO495" s="96" t="n"/>
      <c r="AV495" s="107" t="n"/>
      <c r="AW495" s="100" t="n"/>
      <c r="AX495" s="170" t="n"/>
      <c r="AY495" s="170" t="n"/>
      <c r="AZ495" s="170" t="n"/>
      <c r="BA495" s="170" t="n"/>
      <c r="BB495" s="170" t="n"/>
      <c r="BC495" s="171" t="n"/>
    </row>
    <row r="496" ht="15" customHeight="1" s="144">
      <c r="AD496" s="91" t="n"/>
      <c r="AE496" s="90" t="n"/>
      <c r="AF496" s="90" t="n"/>
      <c r="AG496" s="92" t="n"/>
      <c r="AL496" s="93" t="n"/>
      <c r="AM496" s="94" t="n"/>
      <c r="AN496" s="95" t="n"/>
      <c r="AO496" s="96" t="n"/>
      <c r="AV496" s="107" t="n"/>
      <c r="AW496" s="100" t="n"/>
      <c r="AX496" s="170" t="n"/>
      <c r="AY496" s="170" t="n"/>
      <c r="AZ496" s="170" t="n"/>
      <c r="BA496" s="170" t="n"/>
      <c r="BB496" s="170" t="n"/>
      <c r="BC496" s="171" t="n"/>
    </row>
    <row r="497" ht="15" customHeight="1" s="144">
      <c r="AD497" s="91" t="n"/>
      <c r="AE497" s="90" t="n"/>
      <c r="AF497" s="90" t="n"/>
      <c r="AG497" s="92" t="n"/>
      <c r="AL497" s="93" t="n"/>
      <c r="AM497" s="94" t="n"/>
      <c r="AN497" s="95" t="n"/>
      <c r="AO497" s="96" t="n"/>
      <c r="AV497" s="107" t="n"/>
      <c r="AW497" s="100" t="n"/>
      <c r="AX497" s="170" t="n"/>
      <c r="AY497" s="170" t="n"/>
      <c r="AZ497" s="170" t="n"/>
      <c r="BA497" s="170" t="n"/>
      <c r="BB497" s="170" t="n"/>
      <c r="BC497" s="171" t="n"/>
    </row>
    <row r="498" ht="15" customHeight="1" s="144">
      <c r="AD498" s="91" t="n"/>
      <c r="AE498" s="90" t="n"/>
      <c r="AF498" s="90" t="n"/>
      <c r="AG498" s="92" t="n"/>
      <c r="AL498" s="93" t="n"/>
      <c r="AM498" s="94" t="n"/>
      <c r="AN498" s="95" t="n"/>
      <c r="AO498" s="96" t="n"/>
      <c r="AV498" s="107" t="n"/>
      <c r="AW498" s="100" t="n"/>
      <c r="AX498" s="170" t="n"/>
      <c r="AY498" s="170" t="n"/>
      <c r="AZ498" s="170" t="n"/>
      <c r="BA498" s="170" t="n"/>
      <c r="BB498" s="170" t="n"/>
      <c r="BC498" s="171" t="n"/>
    </row>
    <row r="499" ht="15" customHeight="1" s="144">
      <c r="AD499" s="91" t="n"/>
      <c r="AE499" s="90" t="n"/>
      <c r="AF499" s="90" t="n"/>
      <c r="AG499" s="92" t="n"/>
      <c r="AL499" s="93" t="n"/>
      <c r="AM499" s="94" t="n"/>
      <c r="AN499" s="95" t="n"/>
      <c r="AO499" s="96" t="n"/>
      <c r="AV499" s="107" t="n"/>
      <c r="AW499" s="100" t="n"/>
      <c r="AX499" s="170" t="n"/>
      <c r="AY499" s="170" t="n"/>
      <c r="AZ499" s="170" t="n"/>
      <c r="BA499" s="170" t="n"/>
      <c r="BB499" s="170" t="n"/>
      <c r="BC499" s="171" t="n"/>
    </row>
    <row r="500" ht="15" customHeight="1" s="144">
      <c r="AD500" s="91" t="n"/>
      <c r="AE500" s="90" t="n"/>
      <c r="AF500" s="90" t="n"/>
      <c r="AG500" s="92" t="n"/>
      <c r="AL500" s="93" t="n"/>
      <c r="AM500" s="94" t="n"/>
      <c r="AN500" s="95" t="n"/>
      <c r="AO500" s="96" t="n"/>
      <c r="AV500" s="107" t="n"/>
      <c r="AW500" s="100" t="n"/>
      <c r="AX500" s="170" t="n"/>
      <c r="AY500" s="170" t="n"/>
      <c r="AZ500" s="170" t="n"/>
      <c r="BA500" s="170" t="n"/>
      <c r="BB500" s="170" t="n"/>
      <c r="BC500" s="171" t="n"/>
    </row>
    <row r="501" ht="15" customHeight="1" s="144">
      <c r="AD501" s="91" t="n"/>
      <c r="AE501" s="90" t="n"/>
      <c r="AF501" s="90" t="n"/>
      <c r="AG501" s="92" t="n"/>
      <c r="AL501" s="93" t="n"/>
      <c r="AM501" s="94" t="n"/>
      <c r="AN501" s="95" t="n"/>
      <c r="AO501" s="96" t="n"/>
      <c r="AV501" s="107" t="n"/>
      <c r="AW501" s="100" t="n"/>
      <c r="AX501" s="170" t="n"/>
      <c r="AY501" s="170" t="n"/>
      <c r="AZ501" s="170" t="n"/>
      <c r="BA501" s="170" t="n"/>
      <c r="BB501" s="170" t="n"/>
      <c r="BC501" s="171" t="n"/>
    </row>
    <row r="502" ht="15" customHeight="1" s="144">
      <c r="AD502" s="91" t="n"/>
      <c r="AE502" s="90" t="n"/>
      <c r="AF502" s="90" t="n"/>
      <c r="AG502" s="92" t="n"/>
      <c r="AL502" s="93" t="n"/>
      <c r="AM502" s="94" t="n"/>
      <c r="AN502" s="95" t="n"/>
      <c r="AO502" s="96" t="n"/>
      <c r="AV502" s="107" t="n"/>
      <c r="AW502" s="100" t="n"/>
      <c r="AX502" s="170" t="n"/>
      <c r="AY502" s="170" t="n"/>
      <c r="AZ502" s="170" t="n"/>
      <c r="BA502" s="170" t="n"/>
      <c r="BB502" s="170" t="n"/>
      <c r="BC502" s="171" t="n"/>
    </row>
    <row r="503" ht="15" customHeight="1" s="144">
      <c r="AD503" s="91" t="n"/>
      <c r="AE503" s="90" t="n"/>
      <c r="AF503" s="90" t="n"/>
      <c r="AG503" s="92" t="n"/>
      <c r="AL503" s="93" t="n"/>
      <c r="AM503" s="94" t="n"/>
      <c r="AN503" s="95" t="n"/>
      <c r="AO503" s="96" t="n"/>
      <c r="AV503" s="107" t="n"/>
      <c r="AW503" s="100" t="n"/>
      <c r="AX503" s="170" t="n"/>
      <c r="AY503" s="170" t="n"/>
      <c r="AZ503" s="170" t="n"/>
      <c r="BA503" s="170" t="n"/>
      <c r="BB503" s="170" t="n"/>
      <c r="BC503" s="171" t="n"/>
    </row>
    <row r="504" ht="15" customHeight="1" s="144">
      <c r="AD504" s="91" t="n"/>
      <c r="AE504" s="90" t="n"/>
      <c r="AF504" s="90" t="n"/>
      <c r="AG504" s="92" t="n"/>
      <c r="AL504" s="93" t="n"/>
      <c r="AM504" s="94" t="n"/>
      <c r="AN504" s="95" t="n"/>
      <c r="AO504" s="96" t="n"/>
      <c r="AV504" s="107" t="n"/>
      <c r="AW504" s="100" t="n"/>
      <c r="AX504" s="170" t="n"/>
      <c r="AY504" s="170" t="n"/>
      <c r="AZ504" s="170" t="n"/>
      <c r="BA504" s="170" t="n"/>
      <c r="BB504" s="170" t="n"/>
      <c r="BC504" s="171" t="n"/>
    </row>
    <row r="505" ht="15" customHeight="1" s="144">
      <c r="AD505" s="91" t="n"/>
      <c r="AE505" s="90" t="n"/>
      <c r="AF505" s="90" t="n"/>
      <c r="AG505" s="92" t="n"/>
      <c r="AL505" s="93" t="n"/>
      <c r="AM505" s="94" t="n"/>
      <c r="AN505" s="95" t="n"/>
      <c r="AO505" s="96" t="n"/>
      <c r="AV505" s="107" t="n"/>
      <c r="AW505" s="100" t="n"/>
      <c r="AX505" s="170" t="n"/>
      <c r="AY505" s="170" t="n"/>
      <c r="AZ505" s="170" t="n"/>
      <c r="BA505" s="170" t="n"/>
      <c r="BB505" s="170" t="n"/>
      <c r="BC505" s="171" t="n"/>
    </row>
    <row r="506" ht="15" customHeight="1" s="144">
      <c r="AD506" s="91" t="n"/>
      <c r="AE506" s="90" t="n"/>
      <c r="AF506" s="90" t="n"/>
      <c r="AG506" s="92" t="n"/>
      <c r="AL506" s="93" t="n"/>
      <c r="AM506" s="94" t="n"/>
      <c r="AN506" s="95" t="n"/>
      <c r="AO506" s="96" t="n"/>
      <c r="AV506" s="107" t="n"/>
      <c r="AW506" s="100" t="n"/>
      <c r="AX506" s="170" t="n"/>
      <c r="AY506" s="170" t="n"/>
      <c r="AZ506" s="170" t="n"/>
      <c r="BA506" s="170" t="n"/>
      <c r="BB506" s="170" t="n"/>
      <c r="BC506" s="171" t="n"/>
    </row>
    <row r="507" ht="15" customHeight="1" s="144">
      <c r="AD507" s="91" t="n"/>
      <c r="AE507" s="90" t="n"/>
      <c r="AF507" s="90" t="n"/>
      <c r="AG507" s="92" t="n"/>
      <c r="AL507" s="93" t="n"/>
      <c r="AM507" s="94" t="n"/>
      <c r="AN507" s="95" t="n"/>
      <c r="AO507" s="96" t="n"/>
      <c r="AV507" s="107" t="n"/>
      <c r="AW507" s="100" t="n"/>
      <c r="AX507" s="170" t="n"/>
      <c r="AY507" s="170" t="n"/>
      <c r="AZ507" s="170" t="n"/>
      <c r="BA507" s="170" t="n"/>
      <c r="BB507" s="170" t="n"/>
      <c r="BC507" s="171" t="n"/>
    </row>
    <row r="508" ht="15" customHeight="1" s="144">
      <c r="AD508" s="91" t="n"/>
      <c r="AE508" s="90" t="n"/>
      <c r="AF508" s="90" t="n"/>
      <c r="AG508" s="92" t="n"/>
      <c r="AL508" s="93" t="n"/>
      <c r="AM508" s="94" t="n"/>
      <c r="AN508" s="95" t="n"/>
      <c r="AO508" s="96" t="n"/>
      <c r="AV508" s="107" t="n"/>
      <c r="AW508" s="100" t="n"/>
      <c r="AX508" s="170" t="n"/>
      <c r="AY508" s="170" t="n"/>
      <c r="AZ508" s="170" t="n"/>
      <c r="BA508" s="170" t="n"/>
      <c r="BB508" s="170" t="n"/>
      <c r="BC508" s="171" t="n"/>
    </row>
    <row r="509" ht="15" customHeight="1" s="144">
      <c r="AC509" s="108" t="n"/>
      <c r="AD509" s="91" t="n"/>
      <c r="AE509" s="90" t="n"/>
      <c r="AF509" s="90" t="n"/>
      <c r="AG509" s="92" t="n"/>
      <c r="AL509" s="93" t="n"/>
      <c r="AM509" s="94" t="n"/>
      <c r="AN509" s="95" t="n"/>
      <c r="AO509" s="96" t="n"/>
      <c r="AV509" s="107" t="n"/>
      <c r="AW509" s="100" t="n"/>
      <c r="AX509" s="170" t="n"/>
      <c r="AY509" s="170" t="n"/>
      <c r="AZ509" s="170" t="n"/>
      <c r="BA509" s="170" t="n"/>
      <c r="BB509" s="170" t="n"/>
      <c r="BC509" s="171" t="n"/>
    </row>
    <row r="510" ht="15" customHeight="1" s="144">
      <c r="AD510" s="91" t="n"/>
      <c r="AE510" s="90" t="n"/>
      <c r="AF510" s="90" t="n"/>
      <c r="AG510" s="92" t="n"/>
      <c r="AL510" s="93" t="n"/>
      <c r="AM510" s="94" t="n"/>
      <c r="AN510" s="95" t="n"/>
      <c r="AO510" s="96" t="n"/>
      <c r="AV510" s="107" t="n"/>
      <c r="AW510" s="100" t="n"/>
      <c r="AX510" s="170" t="n"/>
      <c r="AY510" s="170" t="n"/>
      <c r="AZ510" s="170" t="n"/>
      <c r="BA510" s="170" t="n"/>
      <c r="BB510" s="170" t="n"/>
      <c r="BC510" s="171" t="n"/>
    </row>
    <row r="511" ht="15" customHeight="1" s="144">
      <c r="AD511" s="91" t="n"/>
      <c r="AE511" s="90" t="n"/>
      <c r="AF511" s="90" t="n"/>
      <c r="AG511" s="92" t="n"/>
      <c r="AL511" s="93" t="n"/>
      <c r="AM511" s="94" t="n"/>
      <c r="AN511" s="95" t="n"/>
      <c r="AO511" s="96" t="n"/>
      <c r="AV511" s="107" t="n"/>
      <c r="AW511" s="100" t="n"/>
      <c r="AX511" s="170" t="n"/>
      <c r="AY511" s="170" t="n"/>
      <c r="AZ511" s="170" t="n"/>
      <c r="BA511" s="170" t="n"/>
      <c r="BB511" s="170" t="n"/>
      <c r="BC511" s="171" t="n"/>
    </row>
    <row r="512" ht="15" customHeight="1" s="144">
      <c r="AD512" s="91" t="n"/>
      <c r="AE512" s="90" t="n"/>
      <c r="AF512" s="90" t="n"/>
      <c r="AG512" s="92" t="n"/>
      <c r="AL512" s="93" t="n"/>
      <c r="AM512" s="94" t="n"/>
      <c r="AN512" s="95" t="n"/>
      <c r="AO512" s="96" t="n"/>
      <c r="AV512" s="107" t="n"/>
      <c r="AW512" s="100" t="n"/>
      <c r="AX512" s="170" t="n"/>
      <c r="AY512" s="170" t="n"/>
      <c r="AZ512" s="170" t="n"/>
      <c r="BA512" s="170" t="n"/>
      <c r="BB512" s="170" t="n"/>
      <c r="BC512" s="171" t="n"/>
    </row>
    <row r="513" ht="15" customHeight="1" s="144">
      <c r="AD513" s="91" t="n"/>
      <c r="AE513" s="90" t="n"/>
      <c r="AF513" s="90" t="n"/>
      <c r="AG513" s="92" t="n"/>
      <c r="AL513" s="93" t="n"/>
      <c r="AM513" s="94" t="n"/>
      <c r="AN513" s="95" t="n"/>
      <c r="AO513" s="96" t="n"/>
      <c r="AV513" s="107" t="n"/>
      <c r="AW513" s="100" t="n"/>
      <c r="AX513" s="170" t="n"/>
      <c r="AY513" s="170" t="n"/>
      <c r="AZ513" s="170" t="n"/>
      <c r="BA513" s="170" t="n"/>
      <c r="BB513" s="170" t="n"/>
      <c r="BC513" s="171" t="n"/>
    </row>
    <row r="514" ht="15" customHeight="1" s="144">
      <c r="AD514" s="91" t="n"/>
      <c r="AE514" s="90" t="n"/>
      <c r="AF514" s="90" t="n"/>
      <c r="AG514" s="92" t="n"/>
      <c r="AL514" s="93" t="n"/>
      <c r="AM514" s="94" t="n"/>
      <c r="AN514" s="95" t="n"/>
      <c r="AO514" s="96" t="n"/>
      <c r="AV514" s="107" t="n"/>
      <c r="AW514" s="100" t="n"/>
      <c r="AX514" s="170" t="n"/>
      <c r="AY514" s="170" t="n"/>
      <c r="AZ514" s="170" t="n"/>
      <c r="BA514" s="170" t="n"/>
      <c r="BB514" s="170" t="n"/>
      <c r="BC514" s="171" t="n"/>
    </row>
    <row r="515" ht="15" customHeight="1" s="144">
      <c r="AD515" s="91" t="n"/>
      <c r="AE515" s="90" t="n"/>
      <c r="AF515" s="90" t="n"/>
      <c r="AG515" s="92" t="n"/>
      <c r="AL515" s="93" t="n"/>
      <c r="AM515" s="94" t="n"/>
      <c r="AN515" s="95" t="n"/>
      <c r="AO515" s="96" t="n"/>
      <c r="AV515" s="107" t="n"/>
      <c r="AW515" s="100" t="n"/>
      <c r="AX515" s="170" t="n"/>
      <c r="AY515" s="170" t="n"/>
      <c r="AZ515" s="170" t="n"/>
      <c r="BA515" s="170" t="n"/>
      <c r="BB515" s="170" t="n"/>
      <c r="BC515" s="171" t="n"/>
    </row>
    <row r="516" ht="15" customHeight="1" s="144">
      <c r="AD516" s="91" t="n"/>
      <c r="AE516" s="90" t="n"/>
      <c r="AF516" s="90" t="n"/>
      <c r="AG516" s="92" t="n"/>
      <c r="AL516" s="93" t="n"/>
      <c r="AM516" s="94" t="n"/>
      <c r="AN516" s="95" t="n"/>
      <c r="AO516" s="96" t="n"/>
      <c r="AV516" s="107" t="n"/>
      <c r="AW516" s="100" t="n"/>
      <c r="AX516" s="170" t="n"/>
      <c r="AY516" s="170" t="n"/>
      <c r="AZ516" s="170" t="n"/>
      <c r="BA516" s="170" t="n"/>
      <c r="BB516" s="170" t="n"/>
      <c r="BC516" s="171" t="n"/>
    </row>
    <row r="517" ht="15" customHeight="1" s="144">
      <c r="AD517" s="91" t="n"/>
      <c r="AE517" s="90" t="n"/>
      <c r="AF517" s="90" t="n"/>
      <c r="AG517" s="92" t="n"/>
      <c r="AL517" s="93" t="n"/>
      <c r="AM517" s="94" t="n"/>
      <c r="AN517" s="95" t="n"/>
      <c r="AO517" s="96" t="n"/>
      <c r="AV517" s="107" t="n"/>
      <c r="AW517" s="100" t="n"/>
      <c r="AX517" s="170" t="n"/>
      <c r="AY517" s="170" t="n"/>
      <c r="AZ517" s="170" t="n"/>
      <c r="BA517" s="170" t="n"/>
      <c r="BB517" s="170" t="n"/>
      <c r="BC517" s="171" t="n"/>
    </row>
    <row r="518" ht="15" customHeight="1" s="144">
      <c r="AD518" s="91" t="n"/>
      <c r="AE518" s="90" t="n"/>
      <c r="AF518" s="90" t="n"/>
      <c r="AG518" s="92" t="n"/>
      <c r="AL518" s="93" t="n"/>
      <c r="AM518" s="94" t="n"/>
      <c r="AN518" s="95" t="n"/>
      <c r="AO518" s="96" t="n"/>
      <c r="AV518" s="107" t="n"/>
      <c r="AW518" s="100" t="n"/>
      <c r="AX518" s="170" t="n"/>
      <c r="AY518" s="170" t="n"/>
      <c r="AZ518" s="170" t="n"/>
      <c r="BA518" s="170" t="n"/>
      <c r="BB518" s="170" t="n"/>
      <c r="BC518" s="171" t="n"/>
    </row>
    <row r="519" ht="15" customHeight="1" s="144">
      <c r="AD519" s="91" t="n"/>
      <c r="AE519" s="90" t="n"/>
      <c r="AF519" s="90" t="n"/>
      <c r="AG519" s="92" t="n"/>
      <c r="AL519" s="93" t="n"/>
      <c r="AM519" s="94" t="n"/>
      <c r="AN519" s="95" t="n"/>
      <c r="AO519" s="96" t="n"/>
      <c r="AV519" s="107" t="n"/>
      <c r="AW519" s="100" t="n"/>
      <c r="AX519" s="170" t="n"/>
      <c r="AY519" s="170" t="n"/>
      <c r="AZ519" s="170" t="n"/>
      <c r="BA519" s="170" t="n"/>
      <c r="BB519" s="170" t="n"/>
      <c r="BC519" s="171" t="n"/>
    </row>
    <row r="520" ht="15" customHeight="1" s="144">
      <c r="AD520" s="91" t="n"/>
      <c r="AE520" s="90" t="n"/>
      <c r="AF520" s="90" t="n"/>
      <c r="AG520" s="92" t="n"/>
      <c r="AL520" s="93" t="n"/>
      <c r="AM520" s="94" t="n"/>
      <c r="AN520" s="95" t="n"/>
      <c r="AO520" s="96" t="n"/>
      <c r="AV520" s="107" t="n"/>
      <c r="AW520" s="100" t="n"/>
      <c r="AX520" s="170" t="n"/>
      <c r="AY520" s="170" t="n"/>
      <c r="AZ520" s="170" t="n"/>
      <c r="BA520" s="170" t="n"/>
      <c r="BB520" s="170" t="n"/>
      <c r="BC520" s="171" t="n"/>
    </row>
    <row r="521" ht="15" customHeight="1" s="144">
      <c r="AD521" s="91" t="n"/>
      <c r="AE521" s="90" t="n"/>
      <c r="AF521" s="90" t="n"/>
      <c r="AG521" s="92" t="n"/>
      <c r="AL521" s="93" t="n"/>
      <c r="AM521" s="94" t="n"/>
      <c r="AN521" s="95" t="n"/>
      <c r="AO521" s="96" t="n"/>
      <c r="AV521" s="107" t="n"/>
      <c r="AW521" s="100" t="n"/>
      <c r="AX521" s="170" t="n"/>
      <c r="AY521" s="170" t="n"/>
      <c r="AZ521" s="170" t="n"/>
      <c r="BA521" s="170" t="n"/>
      <c r="BB521" s="170" t="n"/>
      <c r="BC521" s="171" t="n"/>
    </row>
    <row r="522" ht="15" customHeight="1" s="144">
      <c r="AD522" s="91" t="n"/>
      <c r="AE522" s="90" t="n"/>
      <c r="AF522" s="90" t="n"/>
      <c r="AG522" s="92" t="n"/>
      <c r="AL522" s="93" t="n"/>
      <c r="AM522" s="94" t="n"/>
      <c r="AN522" s="95" t="n"/>
      <c r="AO522" s="96" t="n"/>
      <c r="AV522" s="107" t="n"/>
      <c r="AW522" s="100" t="n"/>
      <c r="AX522" s="170" t="n"/>
      <c r="AY522" s="170" t="n"/>
      <c r="AZ522" s="170" t="n"/>
      <c r="BA522" s="170" t="n"/>
      <c r="BB522" s="170" t="n"/>
      <c r="BC522" s="171" t="n"/>
    </row>
    <row r="523" ht="15" customHeight="1" s="144">
      <c r="AD523" s="91" t="n"/>
      <c r="AE523" s="90" t="n"/>
      <c r="AF523" s="90" t="n"/>
      <c r="AG523" s="92" t="n"/>
      <c r="AL523" s="93" t="n"/>
      <c r="AM523" s="94" t="n"/>
      <c r="AN523" s="95" t="n"/>
      <c r="AO523" s="96" t="n"/>
      <c r="AV523" s="107" t="n"/>
      <c r="AW523" s="100" t="n"/>
      <c r="AX523" s="170" t="n"/>
      <c r="AY523" s="170" t="n"/>
      <c r="AZ523" s="170" t="n"/>
      <c r="BA523" s="170" t="n"/>
      <c r="BB523" s="170" t="n"/>
      <c r="BC523" s="171" t="n"/>
    </row>
    <row r="524" ht="15" customHeight="1" s="144">
      <c r="AD524" s="91" t="n"/>
      <c r="AE524" s="90" t="n"/>
      <c r="AF524" s="90" t="n"/>
      <c r="AG524" s="92" t="n"/>
      <c r="AL524" s="93" t="n"/>
      <c r="AM524" s="94" t="n"/>
      <c r="AN524" s="95" t="n"/>
      <c r="AO524" s="96" t="n"/>
      <c r="AV524" s="107" t="n"/>
      <c r="AW524" s="100" t="n"/>
      <c r="AX524" s="170" t="n"/>
      <c r="AY524" s="170" t="n"/>
      <c r="AZ524" s="170" t="n"/>
      <c r="BA524" s="170" t="n"/>
      <c r="BB524" s="170" t="n"/>
      <c r="BC524" s="171" t="n"/>
    </row>
    <row r="525" ht="15" customHeight="1" s="144">
      <c r="AD525" s="91" t="n"/>
      <c r="AE525" s="90" t="n"/>
      <c r="AF525" s="90" t="n"/>
      <c r="AG525" s="92" t="n"/>
      <c r="AL525" s="93" t="n"/>
      <c r="AM525" s="94" t="n"/>
      <c r="AN525" s="95" t="n"/>
      <c r="AO525" s="96" t="n"/>
      <c r="AV525" s="107" t="n"/>
      <c r="AW525" s="100" t="n"/>
      <c r="AX525" s="170" t="n"/>
      <c r="AY525" s="170" t="n"/>
      <c r="AZ525" s="170" t="n"/>
      <c r="BA525" s="170" t="n"/>
      <c r="BB525" s="170" t="n"/>
      <c r="BC525" s="171" t="n"/>
    </row>
    <row r="526" ht="15" customHeight="1" s="144">
      <c r="AD526" s="91" t="n"/>
      <c r="AE526" s="90" t="n"/>
      <c r="AF526" s="90" t="n"/>
      <c r="AG526" s="92" t="n"/>
      <c r="AL526" s="93" t="n"/>
      <c r="AM526" s="94" t="n"/>
      <c r="AN526" s="95" t="n"/>
      <c r="AO526" s="96" t="n"/>
      <c r="AV526" s="107" t="n"/>
      <c r="AW526" s="100" t="n"/>
      <c r="AX526" s="170" t="n"/>
      <c r="AY526" s="170" t="n"/>
      <c r="AZ526" s="170" t="n"/>
      <c r="BA526" s="170" t="n"/>
      <c r="BB526" s="170" t="n"/>
      <c r="BC526" s="171" t="n"/>
    </row>
    <row r="527" ht="15" customHeight="1" s="144">
      <c r="AD527" s="91" t="n"/>
      <c r="AE527" s="90" t="n"/>
      <c r="AF527" s="90" t="n"/>
      <c r="AG527" s="92" t="n"/>
      <c r="AL527" s="93" t="n"/>
      <c r="AM527" s="94" t="n"/>
      <c r="AN527" s="95" t="n"/>
      <c r="AO527" s="96" t="n"/>
      <c r="AV527" s="107" t="n"/>
      <c r="AW527" s="100" t="n"/>
      <c r="AX527" s="170" t="n"/>
      <c r="AY527" s="170" t="n"/>
      <c r="AZ527" s="170" t="n"/>
      <c r="BA527" s="170" t="n"/>
      <c r="BB527" s="170" t="n"/>
      <c r="BC527" s="171" t="n"/>
    </row>
    <row r="528" ht="15" customHeight="1" s="144">
      <c r="AD528" s="91" t="n"/>
      <c r="AE528" s="90" t="n"/>
      <c r="AF528" s="90" t="n"/>
      <c r="AG528" s="92" t="n"/>
      <c r="AL528" s="93" t="n"/>
      <c r="AM528" s="94" t="n"/>
      <c r="AN528" s="95" t="n"/>
      <c r="AO528" s="96" t="n"/>
      <c r="AV528" s="107" t="n"/>
      <c r="AW528" s="100" t="n"/>
      <c r="AX528" s="170" t="n"/>
      <c r="AY528" s="170" t="n"/>
      <c r="AZ528" s="170" t="n"/>
      <c r="BA528" s="170" t="n"/>
      <c r="BB528" s="170" t="n"/>
      <c r="BC528" s="171" t="n"/>
    </row>
    <row r="529" ht="15" customHeight="1" s="144">
      <c r="AD529" s="91" t="n"/>
      <c r="AE529" s="90" t="n"/>
      <c r="AF529" s="90" t="n"/>
      <c r="AG529" s="92" t="n"/>
      <c r="AL529" s="93" t="n"/>
      <c r="AM529" s="94" t="n"/>
      <c r="AN529" s="95" t="n"/>
      <c r="AO529" s="96" t="n"/>
      <c r="AV529" s="107" t="n"/>
      <c r="AW529" s="100" t="n"/>
      <c r="AX529" s="170" t="n"/>
      <c r="AY529" s="170" t="n"/>
      <c r="AZ529" s="170" t="n"/>
      <c r="BA529" s="170" t="n"/>
      <c r="BB529" s="170" t="n"/>
      <c r="BC529" s="171" t="n"/>
    </row>
    <row r="530" ht="15" customHeight="1" s="144">
      <c r="AD530" s="91" t="n"/>
      <c r="AE530" s="90" t="n"/>
      <c r="AF530" s="90" t="n"/>
      <c r="AG530" s="92" t="n"/>
      <c r="AL530" s="93" t="n"/>
      <c r="AM530" s="94" t="n"/>
      <c r="AN530" s="95" t="n"/>
      <c r="AO530" s="96" t="n"/>
      <c r="AV530" s="107" t="n"/>
      <c r="AW530" s="100" t="n"/>
      <c r="AX530" s="170" t="n"/>
      <c r="AY530" s="170" t="n"/>
      <c r="AZ530" s="170" t="n"/>
      <c r="BA530" s="170" t="n"/>
      <c r="BB530" s="170" t="n"/>
      <c r="BC530" s="171" t="n"/>
    </row>
    <row r="531" ht="15" customHeight="1" s="144">
      <c r="AD531" s="91" t="n"/>
      <c r="AE531" s="90" t="n"/>
      <c r="AF531" s="90" t="n"/>
      <c r="AG531" s="92" t="n"/>
      <c r="AL531" s="93" t="n"/>
      <c r="AM531" s="94" t="n"/>
      <c r="AN531" s="95" t="n"/>
      <c r="AO531" s="96" t="n"/>
      <c r="AV531" s="107" t="n"/>
      <c r="AW531" s="100" t="n"/>
      <c r="AX531" s="170" t="n"/>
      <c r="AY531" s="170" t="n"/>
      <c r="AZ531" s="170" t="n"/>
      <c r="BA531" s="170" t="n"/>
      <c r="BB531" s="170" t="n"/>
      <c r="BC531" s="171" t="n"/>
    </row>
    <row r="532" ht="15" customHeight="1" s="144">
      <c r="AD532" s="91" t="n"/>
      <c r="AE532" s="90" t="n"/>
      <c r="AF532" s="90" t="n"/>
      <c r="AG532" s="92" t="n"/>
      <c r="AL532" s="93" t="n"/>
      <c r="AM532" s="94" t="n"/>
      <c r="AN532" s="95" t="n"/>
      <c r="AO532" s="96" t="n"/>
      <c r="AV532" s="107" t="n"/>
      <c r="AW532" s="100" t="n"/>
      <c r="AX532" s="170" t="n"/>
      <c r="AY532" s="170" t="n"/>
      <c r="AZ532" s="170" t="n"/>
      <c r="BA532" s="170" t="n"/>
      <c r="BB532" s="170" t="n"/>
      <c r="BC532" s="171" t="n"/>
    </row>
    <row r="533" ht="15" customHeight="1" s="144">
      <c r="AD533" s="91" t="n"/>
      <c r="AE533" s="90" t="n"/>
      <c r="AF533" s="90" t="n"/>
      <c r="AG533" s="92" t="n"/>
      <c r="AL533" s="93" t="n"/>
      <c r="AM533" s="94" t="n"/>
      <c r="AN533" s="95" t="n"/>
      <c r="AO533" s="96" t="n"/>
      <c r="AV533" s="107" t="n"/>
      <c r="AW533" s="100" t="n"/>
      <c r="AX533" s="170" t="n"/>
      <c r="AY533" s="170" t="n"/>
      <c r="AZ533" s="170" t="n"/>
      <c r="BA533" s="170" t="n"/>
      <c r="BB533" s="170" t="n"/>
      <c r="BC533" s="171" t="n"/>
    </row>
    <row r="534" ht="15" customHeight="1" s="144">
      <c r="AD534" s="91" t="n"/>
      <c r="AE534" s="90" t="n"/>
      <c r="AF534" s="90" t="n"/>
      <c r="AG534" s="92" t="n"/>
      <c r="AL534" s="93" t="n"/>
      <c r="AM534" s="94" t="n"/>
      <c r="AN534" s="95" t="n"/>
      <c r="AO534" s="96" t="n"/>
      <c r="AV534" s="107" t="n"/>
      <c r="AW534" s="100" t="n"/>
      <c r="AX534" s="170" t="n"/>
      <c r="AY534" s="170" t="n"/>
      <c r="AZ534" s="170" t="n"/>
      <c r="BA534" s="170" t="n"/>
      <c r="BB534" s="170" t="n"/>
      <c r="BC534" s="171" t="n"/>
    </row>
    <row r="535" ht="15" customHeight="1" s="144">
      <c r="AD535" s="91" t="n"/>
      <c r="AE535" s="90" t="n"/>
      <c r="AF535" s="90" t="n"/>
      <c r="AG535" s="92" t="n"/>
      <c r="AL535" s="93" t="n"/>
      <c r="AM535" s="94" t="n"/>
      <c r="AN535" s="95" t="n"/>
      <c r="AO535" s="96" t="n"/>
      <c r="AV535" s="107" t="n"/>
      <c r="AW535" s="100" t="n"/>
      <c r="AX535" s="170" t="n"/>
      <c r="AY535" s="170" t="n"/>
      <c r="AZ535" s="170" t="n"/>
      <c r="BA535" s="170" t="n"/>
      <c r="BB535" s="170" t="n"/>
      <c r="BC535" s="171" t="n"/>
    </row>
    <row r="536" ht="15" customHeight="1" s="144">
      <c r="AD536" s="91" t="n"/>
      <c r="AE536" s="90" t="n"/>
      <c r="AF536" s="90" t="n"/>
      <c r="AG536" s="92" t="n"/>
      <c r="AL536" s="93" t="n"/>
      <c r="AM536" s="94" t="n"/>
      <c r="AN536" s="95" t="n"/>
      <c r="AO536" s="96" t="n"/>
      <c r="AV536" s="107" t="n"/>
      <c r="AW536" s="100" t="n"/>
      <c r="AX536" s="170" t="n"/>
      <c r="AY536" s="170" t="n"/>
      <c r="AZ536" s="170" t="n"/>
      <c r="BA536" s="170" t="n"/>
      <c r="BB536" s="170" t="n"/>
      <c r="BC536" s="171" t="n"/>
    </row>
    <row r="537" ht="15" customHeight="1" s="144">
      <c r="AD537" s="91" t="n"/>
      <c r="AE537" s="90" t="n"/>
      <c r="AF537" s="90" t="n"/>
      <c r="AG537" s="92" t="n"/>
      <c r="AL537" s="93" t="n"/>
      <c r="AM537" s="94" t="n"/>
      <c r="AN537" s="95" t="n"/>
      <c r="AO537" s="96" t="n"/>
      <c r="AV537" s="107" t="n"/>
      <c r="AW537" s="100" t="n"/>
      <c r="AX537" s="170" t="n"/>
      <c r="AY537" s="170" t="n"/>
      <c r="AZ537" s="170" t="n"/>
      <c r="BA537" s="170" t="n"/>
      <c r="BB537" s="170" t="n"/>
      <c r="BC537" s="171" t="n"/>
    </row>
    <row r="538" ht="15" customHeight="1" s="144">
      <c r="AD538" s="91" t="n"/>
      <c r="AE538" s="90" t="n"/>
      <c r="AF538" s="90" t="n"/>
      <c r="AG538" s="92" t="n"/>
      <c r="AL538" s="93" t="n"/>
      <c r="AM538" s="94" t="n"/>
      <c r="AN538" s="95" t="n"/>
      <c r="AO538" s="96" t="n"/>
      <c r="AV538" s="107" t="n"/>
      <c r="AW538" s="100" t="n"/>
      <c r="AX538" s="170" t="n"/>
      <c r="AY538" s="170" t="n"/>
      <c r="AZ538" s="170" t="n"/>
      <c r="BA538" s="170" t="n"/>
      <c r="BB538" s="170" t="n"/>
      <c r="BC538" s="171" t="n"/>
    </row>
    <row r="539" ht="15" customHeight="1" s="144">
      <c r="AD539" s="91" t="n"/>
      <c r="AE539" s="90" t="n"/>
      <c r="AF539" s="90" t="n"/>
      <c r="AG539" s="92" t="n"/>
      <c r="AL539" s="93" t="n"/>
      <c r="AM539" s="94" t="n"/>
      <c r="AN539" s="95" t="n"/>
      <c r="AO539" s="96" t="n"/>
      <c r="AV539" s="107" t="n"/>
      <c r="AW539" s="100" t="n"/>
      <c r="AX539" s="170" t="n"/>
      <c r="AY539" s="170" t="n"/>
      <c r="AZ539" s="170" t="n"/>
      <c r="BA539" s="170" t="n"/>
      <c r="BB539" s="170" t="n"/>
      <c r="BC539" s="171" t="n"/>
    </row>
    <row r="540" ht="15" customHeight="1" s="144">
      <c r="AD540" s="91" t="n"/>
      <c r="AE540" s="90" t="n"/>
      <c r="AF540" s="90" t="n"/>
      <c r="AG540" s="92" t="n"/>
      <c r="AL540" s="93" t="n"/>
      <c r="AM540" s="94" t="n"/>
      <c r="AN540" s="95" t="n"/>
      <c r="AO540" s="96" t="n"/>
      <c r="AV540" s="107" t="n"/>
      <c r="AW540" s="100" t="n"/>
      <c r="AX540" s="170" t="n"/>
      <c r="AY540" s="170" t="n"/>
      <c r="AZ540" s="170" t="n"/>
      <c r="BA540" s="170" t="n"/>
      <c r="BB540" s="170" t="n"/>
      <c r="BC540" s="171" t="n"/>
    </row>
    <row r="541" ht="15" customHeight="1" s="144">
      <c r="AD541" s="91" t="n"/>
      <c r="AE541" s="90" t="n"/>
      <c r="AF541" s="90" t="n"/>
      <c r="AG541" s="92" t="n"/>
      <c r="AL541" s="93" t="n"/>
      <c r="AM541" s="94" t="n"/>
      <c r="AN541" s="95" t="n"/>
      <c r="AO541" s="96" t="n"/>
      <c r="AV541" s="107" t="n"/>
      <c r="AW541" s="100" t="n"/>
      <c r="AX541" s="170" t="n"/>
      <c r="AY541" s="170" t="n"/>
      <c r="AZ541" s="170" t="n"/>
      <c r="BA541" s="170" t="n"/>
      <c r="BB541" s="170" t="n"/>
      <c r="BC541" s="171" t="n"/>
    </row>
    <row r="542" ht="15" customHeight="1" s="144">
      <c r="AD542" s="91" t="n"/>
      <c r="AE542" s="90" t="n"/>
      <c r="AF542" s="90" t="n"/>
      <c r="AG542" s="92" t="n"/>
      <c r="AL542" s="93" t="n"/>
      <c r="AM542" s="94" t="n"/>
      <c r="AN542" s="95" t="n"/>
      <c r="AO542" s="96" t="n"/>
      <c r="AV542" s="107" t="n"/>
      <c r="AW542" s="100" t="n"/>
      <c r="AX542" s="170" t="n"/>
      <c r="AY542" s="170" t="n"/>
      <c r="AZ542" s="170" t="n"/>
      <c r="BA542" s="170" t="n"/>
      <c r="BB542" s="170" t="n"/>
      <c r="BC542" s="171" t="n"/>
    </row>
    <row r="543" ht="15" customHeight="1" s="144">
      <c r="AD543" s="91" t="n"/>
      <c r="AE543" s="90" t="n"/>
      <c r="AF543" s="90" t="n"/>
      <c r="AG543" s="92" t="n"/>
      <c r="AL543" s="93" t="n"/>
      <c r="AM543" s="94" t="n"/>
      <c r="AN543" s="95" t="n"/>
      <c r="AO543" s="96" t="n"/>
      <c r="AV543" s="107" t="n"/>
      <c r="AW543" s="100" t="n"/>
      <c r="AX543" s="170" t="n"/>
      <c r="AY543" s="170" t="n"/>
      <c r="AZ543" s="170" t="n"/>
      <c r="BA543" s="170" t="n"/>
      <c r="BB543" s="170" t="n"/>
      <c r="BC543" s="171" t="n"/>
    </row>
    <row r="544" ht="15" customHeight="1" s="144">
      <c r="AD544" s="91" t="n"/>
      <c r="AE544" s="90" t="n"/>
      <c r="AF544" s="90" t="n"/>
      <c r="AG544" s="92" t="n"/>
      <c r="AL544" s="93" t="n"/>
      <c r="AM544" s="94" t="n"/>
      <c r="AN544" s="95" t="n"/>
      <c r="AO544" s="96" t="n"/>
      <c r="AV544" s="107" t="n"/>
      <c r="AW544" s="100" t="n"/>
      <c r="AX544" s="170" t="n"/>
      <c r="AY544" s="170" t="n"/>
      <c r="AZ544" s="170" t="n"/>
      <c r="BA544" s="170" t="n"/>
      <c r="BB544" s="170" t="n"/>
      <c r="BC544" s="171" t="n"/>
    </row>
    <row r="545" ht="15" customHeight="1" s="144">
      <c r="AD545" s="91" t="n"/>
      <c r="AE545" s="90" t="n"/>
      <c r="AF545" s="90" t="n"/>
      <c r="AG545" s="92" t="n"/>
      <c r="AL545" s="93" t="n"/>
      <c r="AM545" s="94" t="n"/>
      <c r="AN545" s="95" t="n"/>
      <c r="AO545" s="96" t="n"/>
      <c r="AV545" s="107" t="n"/>
      <c r="AW545" s="100" t="n"/>
      <c r="AX545" s="170" t="n"/>
      <c r="AY545" s="170" t="n"/>
      <c r="AZ545" s="170" t="n"/>
      <c r="BA545" s="170" t="n"/>
      <c r="BB545" s="170" t="n"/>
      <c r="BC545" s="171" t="n"/>
    </row>
    <row r="546" ht="15" customHeight="1" s="144">
      <c r="AD546" s="91" t="n"/>
      <c r="AE546" s="90" t="n"/>
      <c r="AF546" s="90" t="n"/>
      <c r="AG546" s="92" t="n"/>
      <c r="AL546" s="93" t="n"/>
      <c r="AM546" s="94" t="n"/>
      <c r="AN546" s="95" t="n"/>
      <c r="AO546" s="96" t="n"/>
      <c r="AV546" s="107" t="n"/>
      <c r="AW546" s="100" t="n"/>
      <c r="AX546" s="170" t="n"/>
      <c r="AY546" s="170" t="n"/>
      <c r="AZ546" s="170" t="n"/>
      <c r="BA546" s="170" t="n"/>
      <c r="BB546" s="170" t="n"/>
      <c r="BC546" s="171" t="n"/>
    </row>
    <row r="547" ht="15" customHeight="1" s="144">
      <c r="AD547" s="91" t="n"/>
      <c r="AE547" s="90" t="n"/>
      <c r="AF547" s="90" t="n"/>
      <c r="AG547" s="92" t="n"/>
      <c r="AL547" s="93" t="n"/>
      <c r="AM547" s="94" t="n"/>
      <c r="AN547" s="95" t="n"/>
      <c r="AO547" s="96" t="n"/>
      <c r="AV547" s="107" t="n"/>
      <c r="AW547" s="100" t="n"/>
      <c r="AX547" s="170" t="n"/>
      <c r="AY547" s="170" t="n"/>
      <c r="AZ547" s="170" t="n"/>
      <c r="BA547" s="170" t="n"/>
      <c r="BB547" s="170" t="n"/>
      <c r="BC547" s="171" t="n"/>
    </row>
    <row r="548" ht="15" customHeight="1" s="144">
      <c r="AD548" s="91" t="n"/>
      <c r="AE548" s="90" t="n"/>
      <c r="AF548" s="90" t="n"/>
      <c r="AG548" s="92" t="n"/>
      <c r="AL548" s="93" t="n"/>
      <c r="AM548" s="94" t="n"/>
      <c r="AN548" s="95" t="n"/>
      <c r="AO548" s="96" t="n"/>
      <c r="AV548" s="107" t="n"/>
      <c r="AW548" s="100" t="n"/>
      <c r="AX548" s="170" t="n"/>
      <c r="AY548" s="170" t="n"/>
      <c r="AZ548" s="170" t="n"/>
      <c r="BA548" s="170" t="n"/>
      <c r="BB548" s="170" t="n"/>
      <c r="BC548" s="171" t="n"/>
    </row>
    <row r="549" ht="15" customHeight="1" s="144">
      <c r="AD549" s="91" t="n"/>
      <c r="AE549" s="90" t="n"/>
      <c r="AF549" s="90" t="n"/>
      <c r="AG549" s="92" t="n"/>
      <c r="AL549" s="93" t="n"/>
      <c r="AM549" s="94" t="n"/>
      <c r="AN549" s="95" t="n"/>
      <c r="AO549" s="96" t="n"/>
      <c r="AV549" s="107" t="n"/>
      <c r="AW549" s="100" t="n"/>
      <c r="AX549" s="170" t="n"/>
      <c r="AY549" s="170" t="n"/>
      <c r="AZ549" s="170" t="n"/>
      <c r="BA549" s="170" t="n"/>
      <c r="BB549" s="170" t="n"/>
      <c r="BC549" s="171" t="n"/>
    </row>
    <row r="550" ht="15" customHeight="1" s="144">
      <c r="AD550" s="91" t="n"/>
      <c r="AE550" s="90" t="n"/>
      <c r="AF550" s="90" t="n"/>
      <c r="AG550" s="92" t="n"/>
      <c r="AL550" s="93" t="n"/>
      <c r="AM550" s="94" t="n"/>
      <c r="AN550" s="95" t="n"/>
      <c r="AO550" s="96" t="n"/>
      <c r="AV550" s="107" t="n"/>
      <c r="AW550" s="100" t="n"/>
      <c r="AX550" s="170" t="n"/>
      <c r="AY550" s="170" t="n"/>
      <c r="AZ550" s="170" t="n"/>
      <c r="BA550" s="170" t="n"/>
      <c r="BB550" s="170" t="n"/>
      <c r="BC550" s="171" t="n"/>
    </row>
    <row r="551" ht="15" customHeight="1" s="144">
      <c r="AD551" s="91" t="n"/>
      <c r="AE551" s="90" t="n"/>
      <c r="AF551" s="90" t="n"/>
      <c r="AG551" s="92" t="n"/>
      <c r="AL551" s="93" t="n"/>
      <c r="AM551" s="94" t="n"/>
      <c r="AN551" s="95" t="n"/>
      <c r="AO551" s="96" t="n"/>
      <c r="AV551" s="107" t="n"/>
      <c r="AW551" s="100" t="n"/>
      <c r="AX551" s="170" t="n"/>
      <c r="AY551" s="170" t="n"/>
      <c r="AZ551" s="170" t="n"/>
      <c r="BA551" s="170" t="n"/>
      <c r="BB551" s="170" t="n"/>
      <c r="BC551" s="171" t="n"/>
    </row>
    <row r="552" ht="15" customHeight="1" s="144">
      <c r="AD552" s="91" t="n"/>
      <c r="AE552" s="90" t="n"/>
      <c r="AF552" s="90" t="n"/>
      <c r="AG552" s="92" t="n"/>
      <c r="AL552" s="93" t="n"/>
      <c r="AM552" s="94" t="n"/>
      <c r="AN552" s="95" t="n"/>
      <c r="AO552" s="96" t="n"/>
      <c r="AV552" s="107" t="n"/>
      <c r="AW552" s="100" t="n"/>
      <c r="AX552" s="170" t="n"/>
      <c r="AY552" s="170" t="n"/>
      <c r="AZ552" s="170" t="n"/>
      <c r="BA552" s="170" t="n"/>
      <c r="BB552" s="170" t="n"/>
      <c r="BC552" s="171" t="n"/>
    </row>
    <row r="553" ht="15" customHeight="1" s="144">
      <c r="AD553" s="91" t="n"/>
      <c r="AE553" s="90" t="n"/>
      <c r="AF553" s="90" t="n"/>
      <c r="AG553" s="92" t="n"/>
      <c r="AL553" s="93" t="n"/>
      <c r="AM553" s="94" t="n"/>
      <c r="AN553" s="95" t="n"/>
      <c r="AO553" s="96" t="n"/>
      <c r="AV553" s="107" t="n"/>
      <c r="AW553" s="100" t="n"/>
      <c r="AX553" s="170" t="n"/>
      <c r="AY553" s="170" t="n"/>
      <c r="AZ553" s="170" t="n"/>
      <c r="BA553" s="170" t="n"/>
      <c r="BB553" s="170" t="n"/>
      <c r="BC553" s="171" t="n"/>
    </row>
    <row r="554" ht="15" customHeight="1" s="144">
      <c r="AD554" s="91" t="n"/>
      <c r="AE554" s="90" t="n"/>
      <c r="AF554" s="90" t="n"/>
      <c r="AG554" s="92" t="n"/>
      <c r="AL554" s="93" t="n"/>
      <c r="AM554" s="94" t="n"/>
      <c r="AN554" s="95" t="n"/>
      <c r="AO554" s="96" t="n"/>
      <c r="AV554" s="107" t="n"/>
      <c r="AW554" s="100" t="n"/>
      <c r="AX554" s="170" t="n"/>
      <c r="AY554" s="170" t="n"/>
      <c r="AZ554" s="170" t="n"/>
      <c r="BA554" s="170" t="n"/>
      <c r="BB554" s="170" t="n"/>
      <c r="BC554" s="171" t="n"/>
    </row>
    <row r="555" ht="15" customHeight="1" s="144">
      <c r="AD555" s="91" t="n"/>
      <c r="AE555" s="90" t="n"/>
      <c r="AF555" s="90" t="n"/>
      <c r="AG555" s="92" t="n"/>
      <c r="AL555" s="93" t="n"/>
      <c r="AM555" s="94" t="n"/>
      <c r="AN555" s="95" t="n"/>
      <c r="AO555" s="96" t="n"/>
      <c r="AV555" s="107" t="n"/>
      <c r="AW555" s="100" t="n"/>
      <c r="AX555" s="170" t="n"/>
      <c r="AY555" s="170" t="n"/>
      <c r="AZ555" s="170" t="n"/>
      <c r="BA555" s="170" t="n"/>
      <c r="BB555" s="170" t="n"/>
      <c r="BC555" s="171" t="n"/>
    </row>
    <row r="556" ht="15" customHeight="1" s="144">
      <c r="AD556" s="91" t="n"/>
      <c r="AE556" s="90" t="n"/>
      <c r="AF556" s="90" t="n"/>
      <c r="AG556" s="92" t="n"/>
      <c r="AL556" s="93" t="n"/>
      <c r="AM556" s="94" t="n"/>
      <c r="AN556" s="95" t="n"/>
      <c r="AO556" s="96" t="n"/>
      <c r="AV556" s="107" t="n"/>
      <c r="AW556" s="100" t="n"/>
      <c r="AX556" s="170" t="n"/>
      <c r="AY556" s="170" t="n"/>
      <c r="AZ556" s="170" t="n"/>
      <c r="BA556" s="170" t="n"/>
      <c r="BB556" s="170" t="n"/>
      <c r="BC556" s="171" t="n"/>
    </row>
    <row r="557" ht="15" customHeight="1" s="144">
      <c r="AD557" s="91" t="n"/>
      <c r="AE557" s="90" t="n"/>
      <c r="AF557" s="90" t="n"/>
      <c r="AG557" s="92" t="n"/>
      <c r="AL557" s="93" t="n"/>
      <c r="AM557" s="94" t="n"/>
      <c r="AN557" s="95" t="n"/>
      <c r="AO557" s="96" t="n"/>
      <c r="AV557" s="107" t="n"/>
      <c r="AW557" s="100" t="n"/>
      <c r="AX557" s="170" t="n"/>
      <c r="AY557" s="170" t="n"/>
      <c r="AZ557" s="170" t="n"/>
      <c r="BA557" s="170" t="n"/>
      <c r="BB557" s="170" t="n"/>
      <c r="BC557" s="171" t="n"/>
    </row>
    <row r="558" ht="15" customHeight="1" s="144">
      <c r="AD558" s="91" t="n"/>
      <c r="AE558" s="90" t="n"/>
      <c r="AF558" s="90" t="n"/>
      <c r="AG558" s="92" t="n"/>
      <c r="AL558" s="93" t="n"/>
      <c r="AM558" s="94" t="n"/>
      <c r="AN558" s="95" t="n"/>
      <c r="AO558" s="96" t="n"/>
      <c r="AV558" s="107" t="n"/>
      <c r="AW558" s="100" t="n"/>
      <c r="AX558" s="170" t="n"/>
      <c r="AY558" s="170" t="n"/>
      <c r="AZ558" s="170" t="n"/>
      <c r="BA558" s="170" t="n"/>
      <c r="BB558" s="170" t="n"/>
      <c r="BC558" s="171" t="n"/>
    </row>
    <row r="559" ht="15" customHeight="1" s="144">
      <c r="AD559" s="91" t="n"/>
      <c r="AE559" s="90" t="n"/>
      <c r="AF559" s="90" t="n"/>
      <c r="AG559" s="92" t="n"/>
      <c r="AL559" s="93" t="n"/>
      <c r="AM559" s="94" t="n"/>
      <c r="AN559" s="95" t="n"/>
      <c r="AO559" s="96" t="n"/>
      <c r="AV559" s="107" t="n"/>
      <c r="AW559" s="100" t="n"/>
      <c r="AX559" s="170" t="n"/>
      <c r="AY559" s="170" t="n"/>
      <c r="AZ559" s="170" t="n"/>
      <c r="BA559" s="170" t="n"/>
      <c r="BB559" s="170" t="n"/>
      <c r="BC559" s="171" t="n"/>
    </row>
    <row r="560" ht="15" customHeight="1" s="144">
      <c r="AD560" s="91" t="n"/>
      <c r="AE560" s="90" t="n"/>
      <c r="AF560" s="90" t="n"/>
      <c r="AG560" s="92" t="n"/>
      <c r="AL560" s="93" t="n"/>
      <c r="AM560" s="94" t="n"/>
      <c r="AN560" s="95" t="n"/>
      <c r="AO560" s="96" t="n"/>
      <c r="AV560" s="107" t="n"/>
      <c r="AW560" s="100" t="n"/>
      <c r="AX560" s="170" t="n"/>
      <c r="AY560" s="170" t="n"/>
      <c r="AZ560" s="170" t="n"/>
      <c r="BA560" s="170" t="n"/>
      <c r="BB560" s="170" t="n"/>
      <c r="BC560" s="171" t="n"/>
    </row>
    <row r="561" ht="15" customHeight="1" s="144">
      <c r="AD561" s="91" t="n"/>
      <c r="AE561" s="90" t="n"/>
      <c r="AF561" s="90" t="n"/>
      <c r="AG561" s="92" t="n"/>
      <c r="AL561" s="93" t="n"/>
      <c r="AM561" s="94" t="n"/>
      <c r="AN561" s="95" t="n"/>
      <c r="AO561" s="96" t="n"/>
      <c r="AV561" s="107" t="n"/>
      <c r="AW561" s="100" t="n"/>
      <c r="AX561" s="170" t="n"/>
      <c r="AY561" s="170" t="n"/>
      <c r="AZ561" s="170" t="n"/>
      <c r="BA561" s="170" t="n"/>
      <c r="BB561" s="170" t="n"/>
      <c r="BC561" s="171" t="n"/>
    </row>
    <row r="562" ht="15" customHeight="1" s="144">
      <c r="AD562" s="91" t="n"/>
      <c r="AE562" s="90" t="n"/>
      <c r="AF562" s="90" t="n"/>
      <c r="AG562" s="92" t="n"/>
      <c r="AL562" s="93" t="n"/>
      <c r="AM562" s="94" t="n"/>
      <c r="AN562" s="95" t="n"/>
      <c r="AO562" s="96" t="n"/>
      <c r="AV562" s="107" t="n"/>
      <c r="AW562" s="100" t="n"/>
      <c r="AX562" s="170" t="n"/>
      <c r="AY562" s="170" t="n"/>
      <c r="AZ562" s="170" t="n"/>
      <c r="BA562" s="170" t="n"/>
      <c r="BB562" s="170" t="n"/>
      <c r="BC562" s="171" t="n"/>
    </row>
    <row r="563" ht="15" customHeight="1" s="144">
      <c r="AD563" s="91" t="n"/>
      <c r="AE563" s="90" t="n"/>
      <c r="AF563" s="90" t="n"/>
      <c r="AG563" s="92" t="n"/>
      <c r="AL563" s="93" t="n"/>
      <c r="AM563" s="94" t="n"/>
      <c r="AN563" s="95" t="n"/>
      <c r="AO563" s="96" t="n"/>
      <c r="AV563" s="107" t="n"/>
      <c r="AW563" s="100" t="n"/>
      <c r="AX563" s="170" t="n"/>
      <c r="AY563" s="170" t="n"/>
      <c r="AZ563" s="170" t="n"/>
      <c r="BA563" s="170" t="n"/>
      <c r="BB563" s="170" t="n"/>
      <c r="BC563" s="171" t="n"/>
    </row>
    <row r="564" ht="15" customHeight="1" s="144">
      <c r="AD564" s="91" t="n"/>
      <c r="AE564" s="90" t="n"/>
      <c r="AF564" s="90" t="n"/>
      <c r="AG564" s="92" t="n"/>
      <c r="AL564" s="93" t="n"/>
      <c r="AM564" s="94" t="n"/>
      <c r="AN564" s="95" t="n"/>
      <c r="AO564" s="96" t="n"/>
      <c r="AV564" s="107" t="n"/>
      <c r="AW564" s="100" t="n"/>
      <c r="AX564" s="170" t="n"/>
      <c r="AY564" s="170" t="n"/>
      <c r="AZ564" s="170" t="n"/>
      <c r="BA564" s="170" t="n"/>
      <c r="BB564" s="170" t="n"/>
      <c r="BC564" s="171" t="n"/>
    </row>
    <row r="565" ht="15" customHeight="1" s="144">
      <c r="AD565" s="91" t="n"/>
      <c r="AE565" s="90" t="n"/>
      <c r="AF565" s="90" t="n"/>
      <c r="AG565" s="92" t="n"/>
      <c r="AL565" s="93" t="n"/>
      <c r="AM565" s="94" t="n"/>
      <c r="AN565" s="95" t="n"/>
      <c r="AO565" s="96" t="n"/>
      <c r="AV565" s="107" t="n"/>
      <c r="AW565" s="100" t="n"/>
      <c r="AX565" s="170" t="n"/>
      <c r="AY565" s="170" t="n"/>
      <c r="AZ565" s="170" t="n"/>
      <c r="BA565" s="170" t="n"/>
      <c r="BB565" s="170" t="n"/>
      <c r="BC565" s="171" t="n"/>
    </row>
    <row r="566" ht="15" customHeight="1" s="144">
      <c r="AD566" s="91" t="n"/>
      <c r="AE566" s="90" t="n"/>
      <c r="AF566" s="90" t="n"/>
      <c r="AG566" s="92" t="n"/>
      <c r="AL566" s="93" t="n"/>
      <c r="AM566" s="94" t="n"/>
      <c r="AN566" s="95" t="n"/>
      <c r="AO566" s="96" t="n"/>
      <c r="AV566" s="107" t="n"/>
      <c r="AW566" s="100" t="n"/>
      <c r="AX566" s="170" t="n"/>
      <c r="AY566" s="170" t="n"/>
      <c r="AZ566" s="170" t="n"/>
      <c r="BA566" s="170" t="n"/>
      <c r="BB566" s="170" t="n"/>
      <c r="BC566" s="171" t="n"/>
    </row>
    <row r="567" ht="15" customHeight="1" s="144">
      <c r="AD567" s="91" t="n"/>
      <c r="AE567" s="90" t="n"/>
      <c r="AF567" s="90" t="n"/>
      <c r="AG567" s="92" t="n"/>
      <c r="AL567" s="93" t="n"/>
      <c r="AM567" s="94" t="n"/>
      <c r="AN567" s="95" t="n"/>
      <c r="AO567" s="96" t="n"/>
      <c r="AV567" s="107" t="n"/>
      <c r="AW567" s="100" t="n"/>
      <c r="AX567" s="170" t="n"/>
      <c r="AY567" s="170" t="n"/>
      <c r="AZ567" s="170" t="n"/>
      <c r="BA567" s="170" t="n"/>
      <c r="BB567" s="170" t="n"/>
      <c r="BC567" s="171" t="n"/>
    </row>
    <row r="568" ht="15" customHeight="1" s="144">
      <c r="AD568" s="91" t="n"/>
      <c r="AE568" s="90" t="n"/>
      <c r="AF568" s="90" t="n"/>
      <c r="AG568" s="92" t="n"/>
      <c r="AL568" s="93" t="n"/>
      <c r="AM568" s="94" t="n"/>
      <c r="AN568" s="95" t="n"/>
      <c r="AO568" s="96" t="n"/>
      <c r="AV568" s="107" t="n"/>
      <c r="AW568" s="100" t="n"/>
      <c r="AX568" s="170" t="n"/>
      <c r="AY568" s="170" t="n"/>
      <c r="AZ568" s="170" t="n"/>
      <c r="BA568" s="170" t="n"/>
      <c r="BB568" s="170" t="n"/>
      <c r="BC568" s="171" t="n"/>
    </row>
    <row r="569" ht="15" customHeight="1" s="144">
      <c r="AD569" s="91" t="n"/>
      <c r="AE569" s="90" t="n"/>
      <c r="AF569" s="90" t="n"/>
      <c r="AG569" s="92" t="n"/>
      <c r="AL569" s="93" t="n"/>
      <c r="AM569" s="94" t="n"/>
      <c r="AN569" s="95" t="n"/>
      <c r="AO569" s="96" t="n"/>
      <c r="AV569" s="107" t="n"/>
      <c r="AW569" s="100" t="n"/>
      <c r="AX569" s="170" t="n"/>
      <c r="AY569" s="170" t="n"/>
      <c r="AZ569" s="170" t="n"/>
      <c r="BA569" s="170" t="n"/>
      <c r="BB569" s="170" t="n"/>
      <c r="BC569" s="171" t="n"/>
    </row>
    <row r="570" ht="15" customHeight="1" s="144">
      <c r="AD570" s="91" t="n"/>
      <c r="AE570" s="90" t="n"/>
      <c r="AF570" s="90" t="n"/>
      <c r="AG570" s="92" t="n"/>
      <c r="AL570" s="93" t="n"/>
      <c r="AM570" s="94" t="n"/>
      <c r="AN570" s="95" t="n"/>
      <c r="AO570" s="96" t="n"/>
      <c r="AV570" s="107" t="n"/>
      <c r="AW570" s="100" t="n"/>
      <c r="AX570" s="170" t="n"/>
      <c r="AY570" s="170" t="n"/>
      <c r="AZ570" s="170" t="n"/>
      <c r="BA570" s="170" t="n"/>
      <c r="BB570" s="170" t="n"/>
      <c r="BC570" s="171" t="n"/>
    </row>
    <row r="571" ht="15" customHeight="1" s="144">
      <c r="AD571" s="91" t="n"/>
      <c r="AE571" s="90" t="n"/>
      <c r="AF571" s="90" t="n"/>
      <c r="AG571" s="92" t="n"/>
      <c r="AL571" s="93" t="n"/>
      <c r="AM571" s="94" t="n"/>
      <c r="AN571" s="95" t="n"/>
      <c r="AO571" s="96" t="n"/>
      <c r="AV571" s="107" t="n"/>
      <c r="AW571" s="100" t="n"/>
      <c r="AX571" s="170" t="n"/>
      <c r="AY571" s="170" t="n"/>
      <c r="AZ571" s="170" t="n"/>
      <c r="BA571" s="170" t="n"/>
      <c r="BB571" s="170" t="n"/>
      <c r="BC571" s="171" t="n"/>
    </row>
    <row r="572" ht="15" customHeight="1" s="144">
      <c r="AD572" s="91" t="n"/>
      <c r="AE572" s="90" t="n"/>
      <c r="AF572" s="90" t="n"/>
      <c r="AG572" s="92" t="n"/>
      <c r="AL572" s="93" t="n"/>
      <c r="AM572" s="94" t="n"/>
      <c r="AN572" s="95" t="n"/>
      <c r="AO572" s="96" t="n"/>
      <c r="AV572" s="107" t="n"/>
      <c r="AW572" s="100" t="n"/>
      <c r="AX572" s="170" t="n"/>
      <c r="AY572" s="170" t="n"/>
      <c r="AZ572" s="170" t="n"/>
      <c r="BA572" s="170" t="n"/>
      <c r="BB572" s="170" t="n"/>
      <c r="BC572" s="171" t="n"/>
    </row>
    <row r="573" ht="15" customHeight="1" s="144">
      <c r="AD573" s="91" t="n"/>
      <c r="AE573" s="90" t="n"/>
      <c r="AF573" s="90" t="n"/>
      <c r="AG573" s="92" t="n"/>
      <c r="AL573" s="93" t="n"/>
      <c r="AM573" s="94" t="n"/>
      <c r="AN573" s="95" t="n"/>
      <c r="AO573" s="96" t="n"/>
      <c r="AV573" s="107" t="n"/>
      <c r="AW573" s="100" t="n"/>
      <c r="AX573" s="170" t="n"/>
      <c r="AY573" s="170" t="n"/>
      <c r="AZ573" s="170" t="n"/>
      <c r="BA573" s="170" t="n"/>
      <c r="BB573" s="170" t="n"/>
      <c r="BC573" s="171" t="n"/>
    </row>
    <row r="574" ht="15" customHeight="1" s="144">
      <c r="AD574" s="91" t="n"/>
      <c r="AE574" s="90" t="n"/>
      <c r="AF574" s="90" t="n"/>
      <c r="AG574" s="92" t="n"/>
      <c r="AL574" s="93" t="n"/>
      <c r="AM574" s="94" t="n"/>
      <c r="AN574" s="95" t="n"/>
      <c r="AO574" s="96" t="n"/>
      <c r="AV574" s="107" t="n"/>
      <c r="AW574" s="100" t="n"/>
      <c r="AX574" s="170" t="n"/>
      <c r="AY574" s="170" t="n"/>
      <c r="AZ574" s="170" t="n"/>
      <c r="BA574" s="170" t="n"/>
      <c r="BB574" s="170" t="n"/>
      <c r="BC574" s="171" t="n"/>
    </row>
    <row r="575" ht="15" customHeight="1" s="144">
      <c r="AD575" s="91" t="n"/>
      <c r="AE575" s="90" t="n"/>
      <c r="AF575" s="90" t="n"/>
      <c r="AG575" s="92" t="n"/>
      <c r="AL575" s="93" t="n"/>
      <c r="AM575" s="94" t="n"/>
      <c r="AN575" s="95" t="n"/>
      <c r="AO575" s="96" t="n"/>
      <c r="AV575" s="107" t="n"/>
      <c r="AW575" s="100" t="n"/>
      <c r="AX575" s="170" t="n"/>
      <c r="AY575" s="170" t="n"/>
      <c r="AZ575" s="170" t="n"/>
      <c r="BA575" s="170" t="n"/>
      <c r="BB575" s="170" t="n"/>
      <c r="BC575" s="171" t="n"/>
    </row>
    <row r="576" ht="15" customHeight="1" s="144">
      <c r="AD576" s="91" t="n"/>
      <c r="AE576" s="90" t="n"/>
      <c r="AF576" s="90" t="n"/>
      <c r="AG576" s="92" t="n"/>
      <c r="AL576" s="93" t="n"/>
      <c r="AM576" s="94" t="n"/>
      <c r="AN576" s="95" t="n"/>
      <c r="AO576" s="96" t="n"/>
      <c r="AV576" s="107" t="n"/>
      <c r="AW576" s="100" t="n"/>
      <c r="AX576" s="170" t="n"/>
      <c r="AY576" s="170" t="n"/>
      <c r="AZ576" s="170" t="n"/>
      <c r="BA576" s="170" t="n"/>
      <c r="BB576" s="170" t="n"/>
      <c r="BC576" s="171" t="n"/>
    </row>
    <row r="577" ht="15" customHeight="1" s="144">
      <c r="AD577" s="91" t="n"/>
      <c r="AE577" s="90" t="n"/>
      <c r="AF577" s="90" t="n"/>
      <c r="AG577" s="92" t="n"/>
      <c r="AL577" s="93" t="n"/>
      <c r="AM577" s="94" t="n"/>
      <c r="AN577" s="95" t="n"/>
      <c r="AO577" s="96" t="n"/>
      <c r="AV577" s="107" t="n"/>
      <c r="AW577" s="100" t="n"/>
      <c r="AX577" s="170" t="n"/>
      <c r="AY577" s="170" t="n"/>
      <c r="AZ577" s="170" t="n"/>
      <c r="BA577" s="170" t="n"/>
      <c r="BB577" s="170" t="n"/>
      <c r="BC577" s="171" t="n"/>
    </row>
    <row r="578" ht="15" customHeight="1" s="144">
      <c r="AD578" s="91" t="n"/>
      <c r="AE578" s="90" t="n"/>
      <c r="AF578" s="90" t="n"/>
      <c r="AG578" s="92" t="n"/>
      <c r="AL578" s="93" t="n"/>
      <c r="AM578" s="94" t="n"/>
      <c r="AN578" s="95" t="n"/>
      <c r="AO578" s="96" t="n"/>
      <c r="AV578" s="107" t="n"/>
      <c r="AW578" s="100" t="n"/>
      <c r="AX578" s="170" t="n"/>
      <c r="AY578" s="170" t="n"/>
      <c r="AZ578" s="170" t="n"/>
      <c r="BA578" s="170" t="n"/>
      <c r="BB578" s="170" t="n"/>
      <c r="BC578" s="171" t="n"/>
    </row>
    <row r="579" ht="15" customHeight="1" s="144">
      <c r="AD579" s="91" t="n"/>
      <c r="AE579" s="90" t="n"/>
      <c r="AF579" s="90" t="n"/>
      <c r="AG579" s="92" t="n"/>
      <c r="AL579" s="93" t="n"/>
      <c r="AM579" s="94" t="n"/>
      <c r="AN579" s="95" t="n"/>
      <c r="AO579" s="96" t="n"/>
      <c r="AV579" s="107" t="n"/>
      <c r="AW579" s="100" t="n"/>
      <c r="AX579" s="170" t="n"/>
      <c r="AY579" s="170" t="n"/>
      <c r="AZ579" s="170" t="n"/>
      <c r="BA579" s="170" t="n"/>
      <c r="BB579" s="170" t="n"/>
      <c r="BC579" s="171" t="n"/>
    </row>
    <row r="580" ht="15" customHeight="1" s="144">
      <c r="AD580" s="91" t="n"/>
      <c r="AE580" s="90" t="n"/>
      <c r="AF580" s="90" t="n"/>
      <c r="AG580" s="92" t="n"/>
      <c r="AL580" s="93" t="n"/>
      <c r="AM580" s="94" t="n"/>
      <c r="AN580" s="95" t="n"/>
      <c r="AO580" s="96" t="n"/>
      <c r="AV580" s="107" t="n"/>
      <c r="AW580" s="100" t="n"/>
      <c r="AX580" s="170" t="n"/>
      <c r="AY580" s="170" t="n"/>
      <c r="AZ580" s="170" t="n"/>
      <c r="BA580" s="170" t="n"/>
      <c r="BB580" s="170" t="n"/>
      <c r="BC580" s="171" t="n"/>
    </row>
    <row r="581" ht="15" customHeight="1" s="144">
      <c r="AD581" s="91" t="n"/>
      <c r="AE581" s="90" t="n"/>
      <c r="AF581" s="90" t="n"/>
      <c r="AG581" s="92" t="n"/>
      <c r="AL581" s="93" t="n"/>
      <c r="AM581" s="94" t="n"/>
      <c r="AN581" s="95" t="n"/>
      <c r="AO581" s="96" t="n"/>
      <c r="AV581" s="107" t="n"/>
      <c r="AW581" s="100" t="n"/>
      <c r="AX581" s="170" t="n"/>
      <c r="AY581" s="170" t="n"/>
      <c r="AZ581" s="170" t="n"/>
      <c r="BA581" s="170" t="n"/>
      <c r="BB581" s="170" t="n"/>
      <c r="BC581" s="171" t="n"/>
    </row>
    <row r="582" ht="15" customHeight="1" s="144">
      <c r="AD582" s="91" t="n"/>
      <c r="AE582" s="90" t="n"/>
      <c r="AF582" s="90" t="n"/>
      <c r="AG582" s="92" t="n"/>
      <c r="AL582" s="93" t="n"/>
      <c r="AM582" s="94" t="n"/>
      <c r="AN582" s="95" t="n"/>
      <c r="AO582" s="96" t="n"/>
      <c r="AV582" s="107" t="n"/>
      <c r="AW582" s="100" t="n"/>
      <c r="AX582" s="170" t="n"/>
      <c r="AY582" s="170" t="n"/>
      <c r="AZ582" s="170" t="n"/>
      <c r="BA582" s="170" t="n"/>
      <c r="BB582" s="170" t="n"/>
      <c r="BC582" s="171" t="n"/>
    </row>
    <row r="583" ht="15" customHeight="1" s="144">
      <c r="AD583" s="91" t="n"/>
      <c r="AE583" s="90" t="n"/>
      <c r="AF583" s="90" t="n"/>
      <c r="AG583" s="92" t="n"/>
      <c r="AL583" s="93" t="n"/>
      <c r="AM583" s="94" t="n"/>
      <c r="AN583" s="95" t="n"/>
      <c r="AO583" s="96" t="n"/>
      <c r="AV583" s="107" t="n"/>
      <c r="AW583" s="100" t="n"/>
      <c r="AX583" s="170" t="n"/>
      <c r="AY583" s="170" t="n"/>
      <c r="AZ583" s="170" t="n"/>
      <c r="BA583" s="170" t="n"/>
      <c r="BB583" s="170" t="n"/>
      <c r="BC583" s="171" t="n"/>
    </row>
    <row r="584" ht="15" customHeight="1" s="144">
      <c r="AD584" s="91" t="n"/>
      <c r="AE584" s="90" t="n"/>
      <c r="AF584" s="90" t="n"/>
      <c r="AG584" s="92" t="n"/>
      <c r="AL584" s="93" t="n"/>
      <c r="AM584" s="94" t="n"/>
      <c r="AN584" s="95" t="n"/>
      <c r="AO584" s="96" t="n"/>
      <c r="AV584" s="107" t="n"/>
      <c r="AW584" s="100" t="n"/>
      <c r="AX584" s="170" t="n"/>
      <c r="AY584" s="170" t="n"/>
      <c r="AZ584" s="170" t="n"/>
      <c r="BA584" s="170" t="n"/>
      <c r="BB584" s="170" t="n"/>
      <c r="BC584" s="171" t="n"/>
    </row>
    <row r="585" ht="15" customHeight="1" s="144">
      <c r="AD585" s="91" t="n"/>
      <c r="AE585" s="90" t="n"/>
      <c r="AF585" s="90" t="n"/>
      <c r="AG585" s="92" t="n"/>
      <c r="AL585" s="93" t="n"/>
      <c r="AM585" s="94" t="n"/>
      <c r="AN585" s="95" t="n"/>
      <c r="AO585" s="96" t="n"/>
      <c r="AV585" s="107" t="n"/>
      <c r="AW585" s="100" t="n"/>
      <c r="AX585" s="170" t="n"/>
      <c r="AY585" s="170" t="n"/>
      <c r="AZ585" s="170" t="n"/>
      <c r="BA585" s="170" t="n"/>
      <c r="BB585" s="170" t="n"/>
      <c r="BC585" s="171" t="n"/>
    </row>
    <row r="586" ht="15" customHeight="1" s="144">
      <c r="AC586" s="90" t="n"/>
      <c r="AD586" s="91" t="n"/>
      <c r="AE586" s="90" t="n"/>
      <c r="AF586" s="90" t="n"/>
      <c r="AG586" s="92" t="n"/>
      <c r="AL586" s="93" t="n"/>
      <c r="AM586" s="94" t="n"/>
      <c r="AN586" s="95" t="n"/>
      <c r="AO586" s="96" t="n"/>
      <c r="AV586" s="107" t="n"/>
      <c r="AW586" s="100" t="n"/>
      <c r="AX586" s="170" t="n"/>
      <c r="AY586" s="170" t="n"/>
      <c r="AZ586" s="170" t="n"/>
      <c r="BA586" s="170" t="n"/>
      <c r="BB586" s="170" t="n"/>
      <c r="BC586" s="171" t="n"/>
    </row>
    <row r="587" ht="15" customHeight="1" s="144">
      <c r="AC587" s="90" t="n"/>
      <c r="AD587" s="91" t="n"/>
      <c r="AE587" s="90" t="n"/>
      <c r="AF587" s="90" t="n"/>
      <c r="AG587" s="92" t="n"/>
      <c r="AL587" s="93" t="n"/>
      <c r="AM587" s="94" t="n"/>
      <c r="AN587" s="95" t="n"/>
      <c r="AO587" s="96" t="n"/>
      <c r="AV587" s="107" t="n"/>
      <c r="AW587" s="100" t="n"/>
      <c r="AX587" s="170" t="n"/>
      <c r="AY587" s="170" t="n"/>
      <c r="AZ587" s="170" t="n"/>
      <c r="BA587" s="170" t="n"/>
      <c r="BB587" s="170" t="n"/>
      <c r="BC587" s="171" t="n"/>
    </row>
    <row r="588" ht="15" customHeight="1" s="144">
      <c r="AC588" s="90" t="n"/>
      <c r="AD588" s="91" t="n"/>
      <c r="AE588" s="90" t="n"/>
      <c r="AF588" s="90" t="n"/>
      <c r="AG588" s="92" t="n"/>
      <c r="AL588" s="93" t="n"/>
      <c r="AM588" s="94" t="n"/>
      <c r="AN588" s="95" t="n"/>
      <c r="AO588" s="96" t="n"/>
      <c r="AV588" s="107" t="n"/>
      <c r="AW588" s="100" t="n"/>
      <c r="AX588" s="170" t="n"/>
      <c r="AY588" s="170" t="n"/>
      <c r="AZ588" s="170" t="n"/>
      <c r="BA588" s="170" t="n"/>
      <c r="BB588" s="170" t="n"/>
      <c r="BC588" s="171" t="n"/>
    </row>
    <row r="589" ht="15" customHeight="1" s="144">
      <c r="AC589" s="90" t="n"/>
      <c r="AD589" s="91" t="n"/>
      <c r="AE589" s="90" t="n"/>
      <c r="AF589" s="90" t="n"/>
      <c r="AG589" s="92" t="n"/>
      <c r="AL589" s="93" t="n"/>
      <c r="AM589" s="94" t="n"/>
      <c r="AN589" s="95" t="n"/>
      <c r="AO589" s="96" t="n"/>
      <c r="AV589" s="107" t="n"/>
      <c r="AW589" s="100" t="n"/>
      <c r="AX589" s="170" t="n"/>
      <c r="AY589" s="170" t="n"/>
      <c r="AZ589" s="170" t="n"/>
      <c r="BA589" s="170" t="n"/>
      <c r="BB589" s="170" t="n"/>
      <c r="BC589" s="171" t="n"/>
    </row>
    <row r="590" ht="15" customHeight="1" s="144">
      <c r="AD590" s="91" t="n"/>
      <c r="AE590" s="90" t="n"/>
      <c r="AF590" s="90" t="n"/>
      <c r="AG590" s="92" t="n"/>
      <c r="AL590" s="93" t="n"/>
      <c r="AM590" s="94" t="n"/>
      <c r="AN590" s="95" t="n"/>
      <c r="AO590" s="96" t="n"/>
      <c r="AV590" s="107" t="n"/>
      <c r="AW590" s="100" t="n"/>
      <c r="AX590" s="170" t="n"/>
      <c r="AY590" s="170" t="n"/>
      <c r="AZ590" s="170" t="n"/>
      <c r="BA590" s="170" t="n"/>
      <c r="BB590" s="170" t="n"/>
      <c r="BC590" s="171" t="n"/>
    </row>
    <row r="591" ht="15" customHeight="1" s="144">
      <c r="AD591" s="91" t="n"/>
      <c r="AE591" s="90" t="n"/>
      <c r="AF591" s="90" t="n"/>
      <c r="AG591" s="92" t="n"/>
      <c r="AL591" s="93" t="n"/>
      <c r="AM591" s="94" t="n"/>
      <c r="AN591" s="95" t="n"/>
      <c r="AO591" s="96" t="n"/>
      <c r="AV591" s="107" t="n"/>
      <c r="AW591" s="100" t="n"/>
      <c r="AX591" s="170" t="n"/>
      <c r="AY591" s="170" t="n"/>
      <c r="AZ591" s="170" t="n"/>
      <c r="BA591" s="170" t="n"/>
      <c r="BB591" s="170" t="n"/>
      <c r="BC591" s="171" t="n"/>
    </row>
    <row r="592" ht="15" customHeight="1" s="144">
      <c r="AL592" s="93" t="n"/>
      <c r="AM592" s="94" t="n"/>
      <c r="AN592" s="95" t="n"/>
      <c r="AO592" s="96" t="n"/>
      <c r="AV592" s="107" t="n"/>
      <c r="AW592" s="100" t="n"/>
      <c r="AX592" s="170" t="n"/>
      <c r="AY592" s="170" t="n"/>
      <c r="AZ592" s="170" t="n"/>
      <c r="BA592" s="170" t="n"/>
      <c r="BB592" s="170" t="n"/>
      <c r="BC592" s="171" t="n"/>
    </row>
    <row r="593" ht="15" customHeight="1" s="144">
      <c r="AL593" s="93" t="n"/>
      <c r="AM593" s="94" t="n"/>
      <c r="AN593" s="95" t="n"/>
      <c r="AO593" s="96" t="n"/>
      <c r="AV593" s="107" t="n"/>
      <c r="AW593" s="100" t="n"/>
      <c r="AX593" s="170" t="n"/>
      <c r="AY593" s="170" t="n"/>
      <c r="AZ593" s="170" t="n"/>
      <c r="BA593" s="170" t="n"/>
      <c r="BB593" s="170" t="n"/>
      <c r="BC593" s="171" t="n"/>
    </row>
    <row r="594" ht="15" customHeight="1" s="144">
      <c r="AL594" s="93" t="n"/>
      <c r="AM594" s="94" t="n"/>
      <c r="AN594" s="95" t="n"/>
      <c r="AO594" s="96" t="n"/>
      <c r="AV594" s="107" t="n"/>
      <c r="AW594" s="100" t="n"/>
      <c r="AX594" s="170" t="n"/>
      <c r="AY594" s="170" t="n"/>
      <c r="AZ594" s="170" t="n"/>
      <c r="BA594" s="170" t="n"/>
      <c r="BB594" s="170" t="n"/>
      <c r="BC594" s="171" t="n"/>
    </row>
    <row r="595" ht="15" customHeight="1" s="144">
      <c r="AL595" s="93" t="n"/>
      <c r="AM595" s="94" t="n"/>
      <c r="AN595" s="95" t="n"/>
      <c r="AO595" s="96" t="n"/>
      <c r="AV595" s="107" t="n"/>
      <c r="AW595" s="100" t="n"/>
      <c r="AX595" s="170" t="n"/>
      <c r="AY595" s="170" t="n"/>
      <c r="AZ595" s="170" t="n"/>
      <c r="BA595" s="170" t="n"/>
      <c r="BB595" s="170" t="n"/>
      <c r="BC595" s="171" t="n"/>
    </row>
    <row r="596" ht="15" customHeight="1" s="144">
      <c r="AL596" s="93" t="n"/>
      <c r="AM596" s="94" t="n"/>
      <c r="AN596" s="95" t="n"/>
      <c r="AO596" s="96" t="n"/>
      <c r="AV596" s="107" t="n"/>
      <c r="AW596" s="100" t="n"/>
      <c r="AX596" s="170" t="n"/>
      <c r="AY596" s="170" t="n"/>
      <c r="AZ596" s="170" t="n"/>
      <c r="BA596" s="170" t="n"/>
      <c r="BB596" s="170" t="n"/>
      <c r="BC596" s="171" t="n"/>
    </row>
    <row r="597" ht="15" customHeight="1" s="144">
      <c r="AL597" s="93" t="n"/>
      <c r="AM597" s="94" t="n"/>
      <c r="AN597" s="95" t="n"/>
      <c r="AO597" s="96" t="n"/>
      <c r="AV597" s="107" t="n"/>
      <c r="AW597" s="100" t="n"/>
      <c r="AX597" s="170" t="n"/>
      <c r="AY597" s="170" t="n"/>
      <c r="AZ597" s="170" t="n"/>
      <c r="BA597" s="170" t="n"/>
      <c r="BB597" s="170" t="n"/>
      <c r="BC597" s="171" t="n"/>
    </row>
    <row r="598" ht="15" customHeight="1" s="144">
      <c r="AL598" s="93" t="n"/>
      <c r="AM598" s="94" t="n"/>
      <c r="AN598" s="95" t="n"/>
      <c r="AO598" s="96" t="n"/>
      <c r="AV598" s="107" t="n"/>
      <c r="AW598" s="100" t="n"/>
      <c r="AX598" s="170" t="n"/>
      <c r="AY598" s="170" t="n"/>
      <c r="AZ598" s="170" t="n"/>
      <c r="BA598" s="170" t="n"/>
      <c r="BB598" s="170" t="n"/>
      <c r="BC598" s="171" t="n"/>
    </row>
    <row r="599" ht="15" customHeight="1" s="144">
      <c r="AL599" s="93" t="n"/>
      <c r="AM599" s="94" t="n"/>
      <c r="AN599" s="95" t="n"/>
      <c r="AO599" s="96" t="n"/>
      <c r="AV599" s="107" t="n"/>
      <c r="AW599" s="100" t="n"/>
      <c r="AX599" s="170" t="n"/>
      <c r="AY599" s="170" t="n"/>
      <c r="AZ599" s="170" t="n"/>
      <c r="BA599" s="170" t="n"/>
      <c r="BB599" s="170" t="n"/>
      <c r="BC599" s="171" t="n"/>
    </row>
    <row r="600" ht="15" customHeight="1" s="144">
      <c r="AL600" s="93" t="n"/>
      <c r="AM600" s="94" t="n"/>
      <c r="AN600" s="95" t="n"/>
      <c r="AO600" s="96" t="n"/>
      <c r="AV600" s="107" t="n"/>
      <c r="AW600" s="100" t="n"/>
      <c r="AX600" s="170" t="n"/>
      <c r="AY600" s="170" t="n"/>
      <c r="AZ600" s="170" t="n"/>
      <c r="BA600" s="170" t="n"/>
      <c r="BB600" s="170" t="n"/>
      <c r="BC600" s="171" t="n"/>
    </row>
    <row r="601" ht="15" customHeight="1" s="144">
      <c r="AL601" s="93" t="n"/>
      <c r="AM601" s="94" t="n"/>
      <c r="AN601" s="95" t="n"/>
      <c r="AO601" s="96" t="n"/>
      <c r="AV601" s="107" t="n"/>
      <c r="AW601" s="100" t="n"/>
      <c r="AX601" s="170" t="n"/>
      <c r="AY601" s="170" t="n"/>
      <c r="AZ601" s="170" t="n"/>
      <c r="BA601" s="170" t="n"/>
      <c r="BB601" s="170" t="n"/>
      <c r="BC601" s="171" t="n"/>
    </row>
    <row r="602" ht="15" customHeight="1" s="144">
      <c r="AL602" s="93" t="n"/>
      <c r="AM602" s="94" t="n"/>
      <c r="AN602" s="95" t="n"/>
      <c r="AO602" s="96" t="n"/>
      <c r="AV602" s="107" t="n"/>
      <c r="AW602" s="100" t="n"/>
      <c r="AX602" s="170" t="n"/>
      <c r="AY602" s="170" t="n"/>
      <c r="AZ602" s="170" t="n"/>
      <c r="BA602" s="170" t="n"/>
      <c r="BB602" s="170" t="n"/>
      <c r="BC602" s="171" t="n"/>
    </row>
    <row r="603" ht="15" customHeight="1" s="144">
      <c r="AL603" s="93" t="n"/>
      <c r="AM603" s="94" t="n"/>
      <c r="AN603" s="95" t="n"/>
      <c r="AO603" s="96" t="n"/>
      <c r="AV603" s="107" t="n"/>
      <c r="AW603" s="100" t="n"/>
      <c r="AX603" s="170" t="n"/>
      <c r="AY603" s="170" t="n"/>
      <c r="AZ603" s="170" t="n"/>
      <c r="BA603" s="170" t="n"/>
      <c r="BB603" s="170" t="n"/>
      <c r="BC603" s="171" t="n"/>
    </row>
    <row r="604" ht="15" customHeight="1" s="144">
      <c r="AL604" s="93" t="n"/>
      <c r="AM604" s="94" t="n"/>
      <c r="AN604" s="95" t="n"/>
      <c r="AO604" s="96" t="n"/>
      <c r="AV604" s="107" t="n"/>
      <c r="AW604" s="100" t="n"/>
      <c r="AX604" s="170" t="n"/>
      <c r="AY604" s="170" t="n"/>
      <c r="AZ604" s="170" t="n"/>
      <c r="BA604" s="170" t="n"/>
      <c r="BB604" s="170" t="n"/>
      <c r="BC604" s="171" t="n"/>
    </row>
    <row r="605" ht="15" customHeight="1" s="144">
      <c r="AL605" s="93" t="n"/>
      <c r="AM605" s="94" t="n"/>
      <c r="AN605" s="95" t="n"/>
      <c r="AO605" s="96" t="n"/>
      <c r="AV605" s="107" t="n"/>
      <c r="AW605" s="100" t="n"/>
      <c r="AX605" s="170" t="n"/>
      <c r="AY605" s="170" t="n"/>
      <c r="AZ605" s="170" t="n"/>
      <c r="BA605" s="170" t="n"/>
      <c r="BB605" s="170" t="n"/>
      <c r="BC605" s="171" t="n"/>
    </row>
    <row r="606" ht="15" customHeight="1" s="144">
      <c r="AL606" s="93" t="n"/>
      <c r="AM606" s="94" t="n"/>
      <c r="AN606" s="95" t="n"/>
      <c r="AO606" s="96" t="n"/>
      <c r="AV606" s="107" t="n"/>
      <c r="AW606" s="100" t="n"/>
      <c r="AX606" s="170" t="n"/>
      <c r="AY606" s="170" t="n"/>
      <c r="AZ606" s="170" t="n"/>
      <c r="BA606" s="170" t="n"/>
      <c r="BB606" s="170" t="n"/>
      <c r="BC606" s="171" t="n"/>
    </row>
    <row r="607" ht="15" customHeight="1" s="144">
      <c r="AL607" s="93" t="n"/>
      <c r="AM607" s="94" t="n"/>
      <c r="AN607" s="95" t="n"/>
      <c r="AO607" s="96" t="n"/>
      <c r="AV607" s="107" t="n"/>
      <c r="AW607" s="100" t="n"/>
      <c r="AX607" s="170" t="n"/>
      <c r="AY607" s="170" t="n"/>
      <c r="AZ607" s="170" t="n"/>
      <c r="BA607" s="170" t="n"/>
      <c r="BB607" s="170" t="n"/>
      <c r="BC607" s="171" t="n"/>
    </row>
    <row r="608" ht="15" customHeight="1" s="144">
      <c r="AL608" s="93" t="n"/>
      <c r="AM608" s="94" t="n"/>
      <c r="AN608" s="95" t="n"/>
      <c r="AO608" s="96" t="n"/>
      <c r="AV608" s="107" t="n"/>
      <c r="AW608" s="100" t="n"/>
      <c r="AX608" s="170" t="n"/>
      <c r="AY608" s="170" t="n"/>
      <c r="AZ608" s="170" t="n"/>
      <c r="BA608" s="170" t="n"/>
      <c r="BB608" s="170" t="n"/>
      <c r="BC608" s="171" t="n"/>
    </row>
    <row r="609" ht="15" customHeight="1" s="144">
      <c r="AL609" s="93" t="n"/>
      <c r="AM609" s="94" t="n"/>
      <c r="AN609" s="95" t="n"/>
      <c r="AO609" s="96" t="n"/>
      <c r="AV609" s="107" t="n"/>
      <c r="AW609" s="100" t="n"/>
      <c r="AX609" s="170" t="n"/>
      <c r="AY609" s="170" t="n"/>
      <c r="AZ609" s="170" t="n"/>
      <c r="BA609" s="170" t="n"/>
      <c r="BB609" s="170" t="n"/>
      <c r="BC609" s="171" t="n"/>
    </row>
    <row r="610" ht="15" customHeight="1" s="144">
      <c r="AL610" s="93" t="n"/>
      <c r="AM610" s="94" t="n"/>
      <c r="AN610" s="95" t="n"/>
      <c r="AO610" s="96" t="n"/>
      <c r="AV610" s="107" t="n"/>
      <c r="AW610" s="100" t="n"/>
      <c r="AX610" s="170" t="n"/>
      <c r="AY610" s="170" t="n"/>
      <c r="AZ610" s="170" t="n"/>
      <c r="BA610" s="170" t="n"/>
      <c r="BB610" s="170" t="n"/>
      <c r="BC610" s="171" t="n"/>
    </row>
    <row r="611" ht="15" customHeight="1" s="144">
      <c r="AL611" s="93" t="n"/>
      <c r="AM611" s="94" t="n"/>
      <c r="AN611" s="95" t="n"/>
      <c r="AO611" s="96" t="n"/>
      <c r="AV611" s="107" t="n"/>
      <c r="AW611" s="100" t="n"/>
      <c r="AX611" s="170" t="n"/>
      <c r="AY611" s="170" t="n"/>
      <c r="AZ611" s="170" t="n"/>
      <c r="BA611" s="170" t="n"/>
      <c r="BB611" s="170" t="n"/>
      <c r="BC611" s="171" t="n"/>
    </row>
    <row r="612" ht="15" customHeight="1" s="144">
      <c r="AL612" s="93" t="n"/>
      <c r="AM612" s="94" t="n"/>
      <c r="AN612" s="95" t="n"/>
      <c r="AO612" s="96" t="n"/>
      <c r="AV612" s="107" t="n"/>
      <c r="AW612" s="100" t="n"/>
      <c r="AX612" s="170" t="n"/>
      <c r="AY612" s="170" t="n"/>
      <c r="AZ612" s="170" t="n"/>
      <c r="BA612" s="170" t="n"/>
      <c r="BB612" s="170" t="n"/>
      <c r="BC612" s="171" t="n"/>
    </row>
    <row r="613" ht="15" customHeight="1" s="144">
      <c r="AL613" s="93" t="n"/>
      <c r="AM613" s="94" t="n"/>
      <c r="AN613" s="95" t="n"/>
      <c r="AO613" s="96" t="n"/>
      <c r="AV613" s="107" t="n"/>
      <c r="AW613" s="100" t="n"/>
      <c r="AX613" s="170" t="n"/>
      <c r="AY613" s="170" t="n"/>
      <c r="AZ613" s="170" t="n"/>
      <c r="BA613" s="170" t="n"/>
      <c r="BB613" s="170" t="n"/>
      <c r="BC613" s="171" t="n"/>
    </row>
    <row r="614" ht="15" customHeight="1" s="144">
      <c r="AL614" s="93" t="n"/>
      <c r="AM614" s="94" t="n"/>
      <c r="AN614" s="95" t="n"/>
      <c r="AO614" s="96" t="n"/>
      <c r="AV614" s="107" t="n"/>
      <c r="AW614" s="100" t="n"/>
      <c r="AX614" s="170" t="n"/>
      <c r="AY614" s="170" t="n"/>
      <c r="AZ614" s="170" t="n"/>
      <c r="BA614" s="170" t="n"/>
      <c r="BB614" s="170" t="n"/>
      <c r="BC614" s="171" t="n"/>
    </row>
    <row r="615" ht="15" customHeight="1" s="144">
      <c r="AL615" s="93" t="n"/>
      <c r="AM615" s="94" t="n"/>
      <c r="AN615" s="95" t="n"/>
      <c r="AO615" s="96" t="n"/>
      <c r="AV615" s="107" t="n"/>
      <c r="AW615" s="100" t="n"/>
      <c r="AX615" s="170" t="n"/>
      <c r="AY615" s="170" t="n"/>
      <c r="AZ615" s="170" t="n"/>
      <c r="BA615" s="170" t="n"/>
      <c r="BB615" s="170" t="n"/>
      <c r="BC615" s="171" t="n"/>
    </row>
    <row r="616" ht="15" customHeight="1" s="144">
      <c r="AL616" s="93" t="n"/>
      <c r="AM616" s="94" t="n"/>
      <c r="AN616" s="95" t="n"/>
      <c r="AO616" s="96" t="n"/>
      <c r="AV616" s="107" t="n"/>
      <c r="AW616" s="100" t="n"/>
      <c r="AX616" s="170" t="n"/>
      <c r="AY616" s="170" t="n"/>
      <c r="AZ616" s="170" t="n"/>
      <c r="BA616" s="170" t="n"/>
      <c r="BB616" s="170" t="n"/>
      <c r="BC616" s="171" t="n"/>
    </row>
    <row r="617" ht="15" customHeight="1" s="144">
      <c r="AL617" s="93" t="n"/>
      <c r="AM617" s="94" t="n"/>
      <c r="AN617" s="95" t="n"/>
      <c r="AO617" s="96" t="n"/>
      <c r="AV617" s="107" t="n"/>
      <c r="AW617" s="100" t="n"/>
      <c r="AX617" s="170" t="n"/>
      <c r="AY617" s="170" t="n"/>
      <c r="AZ617" s="170" t="n"/>
      <c r="BA617" s="170" t="n"/>
      <c r="BB617" s="170" t="n"/>
      <c r="BC617" s="171" t="n"/>
    </row>
    <row r="618" ht="15" customHeight="1" s="144">
      <c r="AL618" s="93" t="n"/>
      <c r="AM618" s="94" t="n"/>
      <c r="AN618" s="95" t="n"/>
      <c r="AO618" s="96" t="n"/>
      <c r="AV618" s="107" t="n"/>
      <c r="AW618" s="100" t="n"/>
      <c r="AX618" s="170" t="n"/>
      <c r="AY618" s="170" t="n"/>
      <c r="AZ618" s="170" t="n"/>
      <c r="BA618" s="170" t="n"/>
      <c r="BB618" s="170" t="n"/>
      <c r="BC618" s="171" t="n"/>
    </row>
    <row r="619" ht="15" customHeight="1" s="144">
      <c r="AL619" s="93" t="n"/>
      <c r="AM619" s="94" t="n"/>
      <c r="AN619" s="95" t="n"/>
      <c r="AO619" s="96" t="n"/>
      <c r="AV619" s="107" t="n"/>
      <c r="AW619" s="100" t="n"/>
      <c r="AX619" s="170" t="n"/>
      <c r="AY619" s="170" t="n"/>
      <c r="AZ619" s="170" t="n"/>
      <c r="BA619" s="170" t="n"/>
      <c r="BB619" s="170" t="n"/>
      <c r="BC619" s="171" t="n"/>
    </row>
    <row r="620" ht="15" customHeight="1" s="144">
      <c r="AL620" s="93" t="n"/>
      <c r="AM620" s="94" t="n"/>
      <c r="AN620" s="95" t="n"/>
      <c r="AO620" s="96" t="n"/>
      <c r="AV620" s="107" t="n"/>
      <c r="AW620" s="100" t="n"/>
      <c r="AX620" s="170" t="n"/>
      <c r="AY620" s="170" t="n"/>
      <c r="AZ620" s="170" t="n"/>
      <c r="BA620" s="170" t="n"/>
      <c r="BB620" s="170" t="n"/>
      <c r="BC620" s="171" t="n"/>
    </row>
    <row r="621" ht="15" customHeight="1" s="144">
      <c r="AL621" s="93" t="n"/>
      <c r="AM621" s="94" t="n"/>
      <c r="AN621" s="95" t="n"/>
      <c r="AO621" s="96" t="n"/>
      <c r="AV621" s="107" t="n"/>
      <c r="AW621" s="100" t="n"/>
      <c r="AX621" s="170" t="n"/>
      <c r="AY621" s="170" t="n"/>
      <c r="AZ621" s="170" t="n"/>
      <c r="BA621" s="170" t="n"/>
      <c r="BB621" s="170" t="n"/>
      <c r="BC621" s="171" t="n"/>
    </row>
    <row r="622" ht="15" customHeight="1" s="144">
      <c r="AL622" s="93" t="n"/>
      <c r="AM622" s="94" t="n"/>
      <c r="AN622" s="95" t="n"/>
      <c r="AO622" s="96" t="n"/>
      <c r="AV622" s="107" t="n"/>
      <c r="AW622" s="100" t="n"/>
      <c r="AX622" s="170" t="n"/>
      <c r="AY622" s="170" t="n"/>
      <c r="AZ622" s="170" t="n"/>
      <c r="BA622" s="170" t="n"/>
      <c r="BB622" s="170" t="n"/>
      <c r="BC622" s="171" t="n"/>
    </row>
    <row r="623" ht="15" customHeight="1" s="144">
      <c r="AL623" s="93" t="n"/>
      <c r="AM623" s="94" t="n"/>
      <c r="AN623" s="95" t="n"/>
      <c r="AO623" s="96" t="n"/>
      <c r="AV623" s="107" t="n"/>
      <c r="AW623" s="100" t="n"/>
      <c r="AX623" s="170" t="n"/>
      <c r="AY623" s="170" t="n"/>
      <c r="AZ623" s="170" t="n"/>
      <c r="BA623" s="170" t="n"/>
      <c r="BB623" s="170" t="n"/>
      <c r="BC623" s="171" t="n"/>
    </row>
    <row r="624" ht="15" customHeight="1" s="144">
      <c r="AL624" s="93" t="n"/>
      <c r="AM624" s="94" t="n"/>
      <c r="AN624" s="95" t="n"/>
      <c r="AO624" s="96" t="n"/>
      <c r="AV624" s="107" t="n"/>
      <c r="AW624" s="100" t="n"/>
      <c r="AX624" s="170" t="n"/>
      <c r="AY624" s="170" t="n"/>
      <c r="AZ624" s="170" t="n"/>
      <c r="BA624" s="170" t="n"/>
      <c r="BB624" s="170" t="n"/>
      <c r="BC624" s="171" t="n"/>
    </row>
    <row r="625" ht="15" customHeight="1" s="144">
      <c r="AL625" s="93" t="n"/>
      <c r="AM625" s="94" t="n"/>
      <c r="AN625" s="95" t="n"/>
      <c r="AO625" s="96" t="n"/>
      <c r="AV625" s="107" t="n"/>
      <c r="AW625" s="100" t="n"/>
      <c r="AX625" s="170" t="n"/>
      <c r="AY625" s="170" t="n"/>
      <c r="AZ625" s="170" t="n"/>
      <c r="BA625" s="170" t="n"/>
      <c r="BB625" s="170" t="n"/>
      <c r="BC625" s="171" t="n"/>
    </row>
    <row r="626" ht="15" customHeight="1" s="144">
      <c r="AL626" s="93" t="n"/>
      <c r="AM626" s="94" t="n"/>
      <c r="AN626" s="95" t="n"/>
      <c r="AO626" s="96" t="n"/>
      <c r="AV626" s="107" t="n"/>
      <c r="AW626" s="100" t="n"/>
      <c r="AX626" s="170" t="n"/>
      <c r="AY626" s="170" t="n"/>
      <c r="AZ626" s="170" t="n"/>
      <c r="BA626" s="170" t="n"/>
      <c r="BB626" s="170" t="n"/>
      <c r="BC626" s="171" t="n"/>
    </row>
    <row r="627" ht="15" customHeight="1" s="144">
      <c r="AL627" s="93" t="n"/>
      <c r="AM627" s="94" t="n"/>
      <c r="AN627" s="95" t="n"/>
      <c r="AO627" s="96" t="n"/>
      <c r="AV627" s="107" t="n"/>
      <c r="AW627" s="100" t="n"/>
      <c r="AX627" s="170" t="n"/>
      <c r="AY627" s="170" t="n"/>
      <c r="AZ627" s="170" t="n"/>
      <c r="BA627" s="170" t="n"/>
      <c r="BB627" s="170" t="n"/>
      <c r="BC627" s="171" t="n"/>
    </row>
    <row r="628" ht="15" customHeight="1" s="144">
      <c r="AL628" s="93" t="n"/>
      <c r="AM628" s="94" t="n"/>
      <c r="AN628" s="95" t="n"/>
      <c r="AO628" s="96" t="n"/>
      <c r="AV628" s="107" t="n"/>
      <c r="AW628" s="100" t="n"/>
      <c r="AX628" s="170" t="n"/>
      <c r="AY628" s="170" t="n"/>
      <c r="AZ628" s="170" t="n"/>
      <c r="BA628" s="170" t="n"/>
      <c r="BB628" s="170" t="n"/>
      <c r="BC628" s="171" t="n"/>
    </row>
    <row r="629" ht="15" customHeight="1" s="144">
      <c r="AL629" s="93" t="n"/>
      <c r="AM629" s="94" t="n"/>
      <c r="AN629" s="95" t="n"/>
      <c r="AO629" s="96" t="n"/>
      <c r="AV629" s="107" t="n"/>
      <c r="AW629" s="100" t="n"/>
      <c r="AX629" s="170" t="n"/>
      <c r="AY629" s="170" t="n"/>
      <c r="AZ629" s="170" t="n"/>
      <c r="BA629" s="170" t="n"/>
      <c r="BB629" s="170" t="n"/>
      <c r="BC629" s="171" t="n"/>
    </row>
    <row r="630" ht="15" customHeight="1" s="144">
      <c r="AL630" s="93" t="n"/>
      <c r="AM630" s="94" t="n"/>
      <c r="AN630" s="95" t="n"/>
      <c r="AO630" s="96" t="n"/>
      <c r="AV630" s="107" t="n"/>
      <c r="AW630" s="100" t="n"/>
      <c r="AX630" s="170" t="n"/>
      <c r="AY630" s="170" t="n"/>
      <c r="AZ630" s="170" t="n"/>
      <c r="BA630" s="170" t="n"/>
      <c r="BB630" s="170" t="n"/>
      <c r="BC630" s="171" t="n"/>
    </row>
    <row r="631" ht="15" customHeight="1" s="144">
      <c r="AL631" s="93" t="n"/>
      <c r="AM631" s="94" t="n"/>
      <c r="AN631" s="95" t="n"/>
      <c r="AO631" s="96" t="n"/>
      <c r="AV631" s="107" t="n"/>
      <c r="AW631" s="100" t="n"/>
      <c r="AX631" s="170" t="n"/>
      <c r="AY631" s="170" t="n"/>
      <c r="AZ631" s="170" t="n"/>
      <c r="BA631" s="170" t="n"/>
      <c r="BB631" s="170" t="n"/>
      <c r="BC631" s="171" t="n"/>
    </row>
    <row r="632" ht="15" customHeight="1" s="144">
      <c r="AL632" s="93" t="n"/>
      <c r="AM632" s="94" t="n"/>
      <c r="AN632" s="95" t="n"/>
      <c r="AO632" s="96" t="n"/>
      <c r="AV632" s="107" t="n"/>
      <c r="AW632" s="100" t="n"/>
      <c r="AX632" s="170" t="n"/>
      <c r="AY632" s="170" t="n"/>
      <c r="AZ632" s="170" t="n"/>
      <c r="BA632" s="170" t="n"/>
      <c r="BB632" s="170" t="n"/>
      <c r="BC632" s="171" t="n"/>
    </row>
    <row r="633" ht="15" customHeight="1" s="144">
      <c r="AL633" s="93" t="n"/>
      <c r="AM633" s="94" t="n"/>
      <c r="AN633" s="95" t="n"/>
      <c r="AO633" s="96" t="n"/>
      <c r="AV633" s="107" t="n"/>
      <c r="AW633" s="100" t="n"/>
      <c r="AX633" s="170" t="n"/>
      <c r="AY633" s="170" t="n"/>
      <c r="AZ633" s="170" t="n"/>
      <c r="BA633" s="170" t="n"/>
      <c r="BB633" s="170" t="n"/>
      <c r="BC633" s="171" t="n"/>
    </row>
    <row r="634" ht="15" customHeight="1" s="144">
      <c r="AL634" s="93" t="n"/>
      <c r="AM634" s="94" t="n"/>
      <c r="AN634" s="95" t="n"/>
      <c r="AO634" s="96" t="n"/>
      <c r="AV634" s="107" t="n"/>
      <c r="AW634" s="100" t="n"/>
      <c r="AX634" s="170" t="n"/>
      <c r="AY634" s="170" t="n"/>
      <c r="AZ634" s="170" t="n"/>
      <c r="BA634" s="170" t="n"/>
      <c r="BB634" s="170" t="n"/>
      <c r="BC634" s="171" t="n"/>
    </row>
    <row r="635" ht="15" customHeight="1" s="144">
      <c r="AL635" s="93" t="n"/>
      <c r="AM635" s="94" t="n"/>
      <c r="AN635" s="95" t="n"/>
      <c r="AO635" s="96" t="n"/>
      <c r="AV635" s="107" t="n"/>
      <c r="AW635" s="100" t="n"/>
      <c r="AX635" s="170" t="n"/>
      <c r="AY635" s="170" t="n"/>
      <c r="AZ635" s="170" t="n"/>
      <c r="BA635" s="170" t="n"/>
      <c r="BB635" s="170" t="n"/>
      <c r="BC635" s="171" t="n"/>
    </row>
    <row r="636" ht="15" customHeight="1" s="144">
      <c r="AD636" s="91" t="n"/>
      <c r="AE636" s="170" t="n"/>
      <c r="AF636" s="170" t="n"/>
      <c r="AG636" s="171" t="n"/>
      <c r="AL636" s="93" t="n"/>
      <c r="AM636" s="94" t="n"/>
      <c r="AN636" s="95" t="n"/>
      <c r="AO636" s="96" t="n"/>
      <c r="AV636" s="107" t="n"/>
      <c r="AW636" s="100" t="n"/>
      <c r="AX636" s="170" t="n"/>
      <c r="AY636" s="170" t="n"/>
      <c r="AZ636" s="170" t="n"/>
      <c r="BA636" s="170" t="n"/>
      <c r="BB636" s="170" t="n"/>
      <c r="BC636" s="171" t="n"/>
    </row>
    <row r="637" ht="15" customHeight="1" s="144">
      <c r="AD637" s="91" t="n"/>
      <c r="AE637" s="170" t="n"/>
      <c r="AF637" s="170" t="n"/>
      <c r="AG637" s="171" t="n"/>
      <c r="AL637" s="93" t="n"/>
      <c r="AM637" s="94" t="n"/>
      <c r="AN637" s="95" t="n"/>
      <c r="AO637" s="96" t="n"/>
      <c r="AV637" s="107" t="n"/>
      <c r="AW637" s="100" t="n"/>
      <c r="AX637" s="170" t="n"/>
      <c r="AY637" s="170" t="n"/>
      <c r="AZ637" s="170" t="n"/>
      <c r="BA637" s="170" t="n"/>
      <c r="BB637" s="170" t="n"/>
      <c r="BC637" s="171" t="n"/>
    </row>
    <row r="638" ht="15" customHeight="1" s="144">
      <c r="AD638" s="91" t="n"/>
      <c r="AE638" s="170" t="n"/>
      <c r="AF638" s="170" t="n"/>
      <c r="AG638" s="171" t="n"/>
      <c r="AL638" s="93" t="n"/>
      <c r="AM638" s="94" t="n"/>
      <c r="AN638" s="95" t="n"/>
      <c r="AO638" s="96" t="n"/>
      <c r="AV638" s="107" t="n"/>
      <c r="AW638" s="100" t="n"/>
      <c r="AX638" s="170" t="n"/>
      <c r="AY638" s="170" t="n"/>
      <c r="AZ638" s="170" t="n"/>
      <c r="BA638" s="170" t="n"/>
      <c r="BB638" s="170" t="n"/>
      <c r="BC638" s="171" t="n"/>
    </row>
    <row r="639" ht="15" customHeight="1" s="144">
      <c r="AC639" s="90" t="n"/>
      <c r="AD639" s="91" t="n"/>
      <c r="AE639" s="170" t="n"/>
      <c r="AF639" s="170" t="n"/>
      <c r="AG639" s="171" t="n"/>
      <c r="AL639" s="93" t="n"/>
      <c r="AM639" s="94" t="n"/>
      <c r="AN639" s="95" t="n"/>
      <c r="AO639" s="96" t="n"/>
      <c r="AV639" s="107" t="n"/>
      <c r="AW639" s="100" t="n"/>
      <c r="AX639" s="170" t="n"/>
      <c r="AY639" s="170" t="n"/>
      <c r="AZ639" s="170" t="n"/>
      <c r="BA639" s="170" t="n"/>
      <c r="BB639" s="170" t="n"/>
      <c r="BC639" s="171" t="n"/>
    </row>
    <row r="640" ht="15" customHeight="1" s="144">
      <c r="AL640" s="93" t="n"/>
      <c r="AM640" s="94" t="n"/>
      <c r="AN640" s="95" t="n"/>
      <c r="AO640" s="96" t="n"/>
      <c r="AV640" s="107" t="n"/>
      <c r="AW640" s="100" t="n"/>
      <c r="AX640" s="170" t="n"/>
      <c r="AY640" s="170" t="n"/>
      <c r="AZ640" s="170" t="n"/>
      <c r="BA640" s="170" t="n"/>
      <c r="BB640" s="170" t="n"/>
      <c r="BC640" s="171" t="n"/>
    </row>
    <row r="641" ht="15" customHeight="1" s="144">
      <c r="AL641" s="93" t="n"/>
      <c r="AM641" s="94" t="n"/>
      <c r="AN641" s="95" t="n"/>
      <c r="AO641" s="96" t="n"/>
      <c r="AV641" s="107" t="n"/>
      <c r="AW641" s="100" t="n"/>
      <c r="AX641" s="170" t="n"/>
      <c r="AY641" s="170" t="n"/>
      <c r="AZ641" s="170" t="n"/>
      <c r="BA641" s="170" t="n"/>
      <c r="BB641" s="170" t="n"/>
      <c r="BC641" s="171" t="n"/>
    </row>
    <row r="642" ht="15" customHeight="1" s="144">
      <c r="AL642" s="93" t="n"/>
      <c r="AM642" s="94" t="n"/>
      <c r="AN642" s="95" t="n"/>
      <c r="AO642" s="96" t="n"/>
      <c r="AV642" s="107" t="n"/>
      <c r="AW642" s="100" t="n"/>
      <c r="AX642" s="170" t="n"/>
      <c r="AY642" s="170" t="n"/>
      <c r="AZ642" s="170" t="n"/>
      <c r="BA642" s="170" t="n"/>
      <c r="BB642" s="170" t="n"/>
      <c r="BC642" s="171" t="n"/>
    </row>
    <row r="643" ht="15" customHeight="1" s="144">
      <c r="AL643" s="93" t="n"/>
      <c r="AM643" s="94" t="n"/>
      <c r="AN643" s="95" t="n"/>
      <c r="AO643" s="96" t="n"/>
      <c r="AV643" s="107" t="n"/>
      <c r="AW643" s="100" t="n"/>
      <c r="AX643" s="170" t="n"/>
      <c r="AY643" s="170" t="n"/>
      <c r="AZ643" s="170" t="n"/>
      <c r="BA643" s="170" t="n"/>
      <c r="BB643" s="170" t="n"/>
      <c r="BC643" s="171" t="n"/>
    </row>
    <row r="644" ht="15" customHeight="1" s="144">
      <c r="AL644" s="93" t="n"/>
      <c r="AM644" s="94" t="n"/>
      <c r="AN644" s="95" t="n"/>
      <c r="AO644" s="96" t="n"/>
      <c r="AV644" s="107" t="n"/>
      <c r="AW644" s="100" t="n"/>
      <c r="AX644" s="170" t="n"/>
      <c r="AY644" s="170" t="n"/>
      <c r="AZ644" s="170" t="n"/>
      <c r="BA644" s="170" t="n"/>
      <c r="BB644" s="170" t="n"/>
      <c r="BC644" s="171" t="n"/>
    </row>
    <row r="645" ht="15" customHeight="1" s="144">
      <c r="AL645" s="93" t="n"/>
      <c r="AM645" s="94" t="n"/>
      <c r="AN645" s="95" t="n"/>
      <c r="AO645" s="96" t="n"/>
      <c r="AV645" s="107" t="n"/>
      <c r="AW645" s="100" t="n"/>
      <c r="AX645" s="170" t="n"/>
      <c r="AY645" s="170" t="n"/>
      <c r="AZ645" s="170" t="n"/>
      <c r="BA645" s="170" t="n"/>
      <c r="BB645" s="170" t="n"/>
      <c r="BC645" s="171" t="n"/>
    </row>
    <row r="646" ht="15" customHeight="1" s="144">
      <c r="AC646" s="90" t="n"/>
      <c r="AL646" s="93" t="n"/>
      <c r="AM646" s="94" t="n"/>
      <c r="AN646" s="95" t="n"/>
      <c r="AO646" s="96" t="n"/>
      <c r="AV646" s="107" t="n"/>
      <c r="AW646" s="100" t="n"/>
      <c r="AX646" s="170" t="n"/>
      <c r="AY646" s="170" t="n"/>
      <c r="AZ646" s="170" t="n"/>
      <c r="BA646" s="170" t="n"/>
      <c r="BB646" s="170" t="n"/>
      <c r="BC646" s="171" t="n"/>
    </row>
    <row r="647" ht="15" customHeight="1" s="144">
      <c r="AL647" s="93" t="n"/>
      <c r="AM647" s="94" t="n"/>
      <c r="AN647" s="95" t="n"/>
      <c r="AO647" s="96" t="n"/>
      <c r="AV647" s="107" t="n"/>
      <c r="AW647" s="100" t="n"/>
      <c r="AX647" s="170" t="n"/>
      <c r="AY647" s="170" t="n"/>
      <c r="AZ647" s="170" t="n"/>
      <c r="BA647" s="170" t="n"/>
      <c r="BB647" s="170" t="n"/>
      <c r="BC647" s="171" t="n"/>
    </row>
    <row r="648" ht="15" customHeight="1" s="144">
      <c r="AJ648" s="51" t="n"/>
      <c r="AL648" s="93" t="n"/>
      <c r="AM648" s="94" t="n"/>
      <c r="AN648" s="95" t="n"/>
      <c r="AO648" s="96" t="n"/>
      <c r="AV648" s="107" t="n"/>
      <c r="AW648" s="100" t="n"/>
      <c r="AX648" s="170" t="n"/>
      <c r="AY648" s="170" t="n"/>
      <c r="AZ648" s="170" t="n"/>
      <c r="BA648" s="170" t="n"/>
      <c r="BB648" s="170" t="n"/>
      <c r="BC648" s="171" t="n"/>
    </row>
    <row r="649" ht="15" customHeight="1" s="144">
      <c r="AL649" s="93" t="n"/>
      <c r="AM649" s="94" t="n"/>
      <c r="AN649" s="95" t="n"/>
      <c r="AO649" s="96" t="n"/>
      <c r="AV649" s="107" t="n"/>
      <c r="AW649" s="100" t="n"/>
      <c r="AX649" s="170" t="n"/>
      <c r="AY649" s="170" t="n"/>
      <c r="AZ649" s="170" t="n"/>
      <c r="BA649" s="170" t="n"/>
      <c r="BB649" s="170" t="n"/>
      <c r="BC649" s="171" t="n"/>
    </row>
    <row r="650" ht="15" customHeight="1" s="144">
      <c r="AL650" s="93" t="n"/>
      <c r="AM650" s="94" t="n"/>
      <c r="AN650" s="95" t="n"/>
      <c r="AO650" s="96" t="n"/>
      <c r="AV650" s="107" t="n"/>
      <c r="AW650" s="100" t="n"/>
      <c r="AX650" s="170" t="n"/>
      <c r="AY650" s="170" t="n"/>
      <c r="AZ650" s="170" t="n"/>
      <c r="BA650" s="170" t="n"/>
      <c r="BB650" s="170" t="n"/>
      <c r="BC650" s="171" t="n"/>
    </row>
    <row r="651" ht="15" customHeight="1" s="144">
      <c r="AL651" s="93" t="n"/>
      <c r="AM651" s="94" t="n"/>
      <c r="AN651" s="95" t="n"/>
      <c r="AO651" s="96" t="n"/>
      <c r="AV651" s="107" t="n"/>
      <c r="AW651" s="100" t="n"/>
      <c r="AX651" s="170" t="n"/>
      <c r="AY651" s="170" t="n"/>
      <c r="AZ651" s="170" t="n"/>
      <c r="BA651" s="170" t="n"/>
      <c r="BB651" s="170" t="n"/>
      <c r="BC651" s="171" t="n"/>
    </row>
    <row r="652" ht="15" customHeight="1" s="144">
      <c r="AL652" s="93" t="n"/>
      <c r="AM652" s="94" t="n"/>
      <c r="AN652" s="95" t="n"/>
      <c r="AO652" s="96" t="n"/>
      <c r="AV652" s="107" t="n"/>
      <c r="AW652" s="100" t="n"/>
      <c r="AX652" s="170" t="n"/>
      <c r="AY652" s="170" t="n"/>
      <c r="AZ652" s="170" t="n"/>
      <c r="BA652" s="170" t="n"/>
      <c r="BB652" s="170" t="n"/>
      <c r="BC652" s="171" t="n"/>
    </row>
    <row r="653" ht="15" customHeight="1" s="144">
      <c r="AL653" s="93" t="n"/>
      <c r="AM653" s="94" t="n"/>
      <c r="AN653" s="95" t="n"/>
      <c r="AO653" s="96" t="n"/>
      <c r="AV653" s="107" t="n"/>
      <c r="AW653" s="100" t="n"/>
      <c r="AX653" s="170" t="n"/>
      <c r="AY653" s="170" t="n"/>
      <c r="AZ653" s="170" t="n"/>
      <c r="BA653" s="170" t="n"/>
      <c r="BB653" s="170" t="n"/>
      <c r="BC653" s="171" t="n"/>
    </row>
    <row r="654" ht="15" customHeight="1" s="144">
      <c r="AL654" s="93" t="n"/>
      <c r="AM654" s="94" t="n"/>
      <c r="AN654" s="95" t="n"/>
      <c r="AO654" s="96" t="n"/>
      <c r="AV654" s="107" t="n"/>
      <c r="AW654" s="100" t="n"/>
      <c r="AX654" s="170" t="n"/>
      <c r="AY654" s="170" t="n"/>
      <c r="AZ654" s="170" t="n"/>
      <c r="BA654" s="170" t="n"/>
      <c r="BB654" s="170" t="n"/>
      <c r="BC654" s="171" t="n"/>
    </row>
    <row r="655" ht="15" customHeight="1" s="144">
      <c r="AL655" s="93" t="n"/>
      <c r="AM655" s="94" t="n"/>
      <c r="AN655" s="95" t="n"/>
      <c r="AO655" s="96" t="n"/>
      <c r="AV655" s="107" t="n"/>
      <c r="AW655" s="100" t="n"/>
      <c r="AX655" s="170" t="n"/>
      <c r="AY655" s="170" t="n"/>
      <c r="AZ655" s="170" t="n"/>
      <c r="BA655" s="170" t="n"/>
      <c r="BB655" s="170" t="n"/>
      <c r="BC655" s="171" t="n"/>
    </row>
    <row r="656" ht="15" customHeight="1" s="144">
      <c r="AC656" s="90" t="n"/>
      <c r="AE656" s="173" t="n"/>
      <c r="AF656" s="173" t="n"/>
      <c r="AG656" s="173" t="n"/>
      <c r="AL656" s="93" t="n"/>
      <c r="AM656" s="94" t="n"/>
      <c r="AN656" s="95" t="n"/>
      <c r="AO656" s="96" t="n"/>
      <c r="AV656" s="107" t="n"/>
      <c r="AW656" s="100" t="n"/>
      <c r="AX656" s="170" t="n"/>
      <c r="AY656" s="170" t="n"/>
      <c r="AZ656" s="170" t="n"/>
      <c r="BA656" s="170" t="n"/>
      <c r="BB656" s="170" t="n"/>
      <c r="BC656" s="171" t="n"/>
    </row>
    <row r="657" ht="15" customHeight="1" s="144">
      <c r="AC657" s="90" t="n"/>
      <c r="AE657" s="173" t="n"/>
      <c r="AF657" s="173" t="n"/>
      <c r="AG657" s="173" t="n"/>
      <c r="AL657" s="93" t="n"/>
      <c r="AM657" s="94" t="n"/>
      <c r="AN657" s="95" t="n"/>
      <c r="AO657" s="96" t="n"/>
      <c r="AV657" s="107" t="n"/>
      <c r="AW657" s="100" t="n"/>
      <c r="AX657" s="170" t="n"/>
      <c r="AY657" s="170" t="n"/>
      <c r="AZ657" s="170" t="n"/>
      <c r="BA657" s="170" t="n"/>
      <c r="BB657" s="170" t="n"/>
      <c r="BC657" s="171" t="n"/>
    </row>
    <row r="658" ht="15" customHeight="1" s="144">
      <c r="AC658" s="104" t="n"/>
      <c r="AE658" s="173" t="n"/>
      <c r="AF658" s="173" t="n"/>
      <c r="AG658" s="173" t="n"/>
      <c r="AL658" s="93" t="n"/>
      <c r="AM658" s="94" t="n"/>
      <c r="AN658" s="95" t="n"/>
      <c r="AO658" s="96" t="n"/>
      <c r="AV658" s="107" t="n"/>
      <c r="AW658" s="100" t="n"/>
      <c r="AX658" s="170" t="n"/>
      <c r="AY658" s="170" t="n"/>
      <c r="AZ658" s="170" t="n"/>
      <c r="BA658" s="170" t="n"/>
      <c r="BB658" s="170" t="n"/>
      <c r="BC658" s="171" t="n"/>
    </row>
    <row r="659" ht="15" customHeight="1" s="144">
      <c r="AC659" s="90" t="n"/>
      <c r="AE659" s="173" t="n"/>
      <c r="AF659" s="173" t="n"/>
      <c r="AG659" s="173" t="n"/>
      <c r="AL659" s="93" t="n"/>
      <c r="AM659" s="94" t="n"/>
      <c r="AN659" s="95" t="n"/>
      <c r="AO659" s="96" t="n"/>
      <c r="AV659" s="107" t="n"/>
      <c r="AW659" s="100" t="n"/>
      <c r="AX659" s="170" t="n"/>
      <c r="AY659" s="170" t="n"/>
      <c r="AZ659" s="170" t="n"/>
      <c r="BA659" s="170" t="n"/>
      <c r="BB659" s="170" t="n"/>
      <c r="BC659" s="171" t="n"/>
    </row>
    <row r="660" ht="15" customHeight="1" s="144">
      <c r="AC660" s="90" t="n"/>
      <c r="AE660" s="173" t="n"/>
      <c r="AF660" s="173" t="n"/>
      <c r="AG660" s="173" t="n"/>
      <c r="AL660" s="93" t="n"/>
      <c r="AM660" s="94" t="n"/>
      <c r="AN660" s="95" t="n"/>
      <c r="AO660" s="96" t="n"/>
      <c r="AV660" s="107" t="n"/>
      <c r="AW660" s="100" t="n"/>
      <c r="AX660" s="170" t="n"/>
      <c r="AY660" s="170" t="n"/>
      <c r="AZ660" s="170" t="n"/>
      <c r="BA660" s="170" t="n"/>
      <c r="BB660" s="170" t="n"/>
      <c r="BC660" s="171" t="n"/>
    </row>
    <row r="661" ht="15" customHeight="1" s="144">
      <c r="AC661" s="90" t="n"/>
      <c r="AE661" s="173" t="n"/>
      <c r="AF661" s="173" t="n"/>
      <c r="AG661" s="173" t="n"/>
      <c r="AL661" s="93" t="n"/>
      <c r="AM661" s="94" t="n"/>
      <c r="AN661" s="95" t="n"/>
      <c r="AO661" s="96" t="n"/>
      <c r="AV661" s="107" t="n"/>
      <c r="AW661" s="100" t="n"/>
      <c r="AX661" s="170" t="n"/>
      <c r="AY661" s="170" t="n"/>
      <c r="AZ661" s="170" t="n"/>
      <c r="BA661" s="170" t="n"/>
      <c r="BB661" s="170" t="n"/>
      <c r="BC661" s="171" t="n"/>
    </row>
    <row r="662" ht="15" customHeight="1" s="144">
      <c r="AC662" s="90" t="n"/>
      <c r="AE662" s="173" t="n"/>
      <c r="AF662" s="173" t="n"/>
      <c r="AG662" s="173" t="n"/>
      <c r="AL662" s="93" t="n"/>
      <c r="AM662" s="94" t="n"/>
      <c r="AN662" s="95" t="n"/>
      <c r="AO662" s="96" t="n"/>
      <c r="AV662" s="107" t="n"/>
      <c r="AW662" s="100" t="n"/>
      <c r="AX662" s="170" t="n"/>
      <c r="AY662" s="170" t="n"/>
      <c r="AZ662" s="170" t="n"/>
      <c r="BA662" s="170" t="n"/>
      <c r="BB662" s="170" t="n"/>
      <c r="BC662" s="171" t="n"/>
    </row>
    <row r="663" ht="15" customHeight="1" s="144">
      <c r="AC663" s="90" t="n"/>
      <c r="AE663" s="173" t="n"/>
      <c r="AF663" s="173" t="n"/>
      <c r="AG663" s="173" t="n"/>
      <c r="AL663" s="93" t="n"/>
      <c r="AM663" s="94" t="n"/>
      <c r="AN663" s="95" t="n"/>
      <c r="AO663" s="96" t="n"/>
      <c r="AV663" s="107" t="n"/>
      <c r="AW663" s="100" t="n"/>
      <c r="AX663" s="170" t="n"/>
      <c r="AY663" s="170" t="n"/>
      <c r="AZ663" s="170" t="n"/>
      <c r="BA663" s="170" t="n"/>
      <c r="BB663" s="170" t="n"/>
      <c r="BC663" s="171" t="n"/>
    </row>
    <row r="664" ht="15" customHeight="1" s="144">
      <c r="AC664" s="90" t="n"/>
      <c r="AE664" s="173" t="n"/>
      <c r="AF664" s="173" t="n"/>
      <c r="AG664" s="173" t="n"/>
      <c r="AL664" s="93" t="n"/>
      <c r="AM664" s="94" t="n"/>
      <c r="AN664" s="95" t="n"/>
      <c r="AO664" s="96" t="n"/>
      <c r="AV664" s="107" t="n"/>
      <c r="AW664" s="100" t="n"/>
      <c r="AX664" s="170" t="n"/>
      <c r="AY664" s="170" t="n"/>
      <c r="AZ664" s="170" t="n"/>
      <c r="BA664" s="170" t="n"/>
      <c r="BB664" s="170" t="n"/>
      <c r="BC664" s="171" t="n"/>
    </row>
    <row r="665" ht="15" customHeight="1" s="144">
      <c r="AC665" s="90" t="n"/>
      <c r="AE665" s="173" t="n"/>
      <c r="AF665" s="173" t="n"/>
      <c r="AG665" s="173" t="n"/>
      <c r="AL665" s="93" t="n"/>
      <c r="AM665" s="94" t="n"/>
      <c r="AN665" s="95" t="n"/>
      <c r="AO665" s="96" t="n"/>
      <c r="AV665" s="107" t="n"/>
      <c r="AW665" s="100" t="n"/>
      <c r="AX665" s="170" t="n"/>
      <c r="AY665" s="170" t="n"/>
      <c r="AZ665" s="170" t="n"/>
      <c r="BA665" s="170" t="n"/>
      <c r="BB665" s="170" t="n"/>
      <c r="BC665" s="171" t="n"/>
    </row>
    <row r="666" ht="15" customHeight="1" s="144">
      <c r="AC666" s="90" t="n"/>
      <c r="AE666" s="173" t="n"/>
      <c r="AF666" s="173" t="n"/>
      <c r="AG666" s="173" t="n"/>
      <c r="AL666" s="93" t="n"/>
      <c r="AM666" s="94" t="n"/>
      <c r="AN666" s="95" t="n"/>
      <c r="AO666" s="96" t="n"/>
      <c r="AV666" s="107" t="n"/>
      <c r="AW666" s="100" t="n"/>
      <c r="AX666" s="170" t="n"/>
      <c r="AY666" s="170" t="n"/>
      <c r="AZ666" s="170" t="n"/>
      <c r="BA666" s="170" t="n"/>
      <c r="BB666" s="170" t="n"/>
      <c r="BC666" s="171" t="n"/>
    </row>
    <row r="667" ht="15" customHeight="1" s="144">
      <c r="AC667" s="90" t="n"/>
      <c r="AE667" s="173" t="n"/>
      <c r="AF667" s="173" t="n"/>
      <c r="AG667" s="173" t="n"/>
      <c r="AL667" s="93" t="n"/>
      <c r="AM667" s="94" t="n"/>
      <c r="AN667" s="95" t="n"/>
      <c r="AO667" s="96" t="n"/>
      <c r="AV667" s="107" t="n"/>
      <c r="AW667" s="100" t="n"/>
      <c r="AX667" s="170" t="n"/>
      <c r="AY667" s="170" t="n"/>
      <c r="AZ667" s="170" t="n"/>
      <c r="BA667" s="170" t="n"/>
      <c r="BB667" s="170" t="n"/>
      <c r="BC667" s="171" t="n"/>
    </row>
    <row r="668" ht="15" customHeight="1" s="144">
      <c r="AC668" s="90" t="n"/>
      <c r="AE668" s="173" t="n"/>
      <c r="AF668" s="173" t="n"/>
      <c r="AG668" s="173" t="n"/>
      <c r="AL668" s="93" t="n"/>
      <c r="AM668" s="94" t="n"/>
      <c r="AN668" s="95" t="n"/>
      <c r="AO668" s="96" t="n"/>
      <c r="AV668" s="107" t="n"/>
      <c r="AW668" s="100" t="n"/>
      <c r="AX668" s="170" t="n"/>
      <c r="AY668" s="170" t="n"/>
      <c r="AZ668" s="170" t="n"/>
      <c r="BA668" s="170" t="n"/>
      <c r="BB668" s="170" t="n"/>
      <c r="BC668" s="171" t="n"/>
    </row>
    <row r="669" ht="15" customHeight="1" s="144">
      <c r="AC669" s="90" t="n"/>
      <c r="AE669" s="173" t="n"/>
      <c r="AF669" s="173" t="n"/>
      <c r="AG669" s="173" t="n"/>
      <c r="AL669" s="93" t="n"/>
      <c r="AM669" s="94" t="n"/>
      <c r="AN669" s="95" t="n"/>
      <c r="AO669" s="96" t="n"/>
      <c r="AV669" s="107" t="n"/>
      <c r="AW669" s="100" t="n"/>
      <c r="AX669" s="170" t="n"/>
      <c r="AY669" s="170" t="n"/>
      <c r="AZ669" s="170" t="n"/>
      <c r="BA669" s="170" t="n"/>
      <c r="BB669" s="170" t="n"/>
      <c r="BC669" s="171" t="n"/>
    </row>
    <row r="670" ht="15" customHeight="1" s="144">
      <c r="AC670" s="90" t="n"/>
      <c r="AE670" s="173" t="n"/>
      <c r="AF670" s="173" t="n"/>
      <c r="AG670" s="173" t="n"/>
      <c r="AL670" s="93" t="n"/>
      <c r="AM670" s="94" t="n"/>
      <c r="AN670" s="95" t="n"/>
      <c r="AO670" s="96" t="n"/>
      <c r="AV670" s="107" t="n"/>
      <c r="AW670" s="100" t="n"/>
      <c r="AX670" s="170" t="n"/>
      <c r="AY670" s="170" t="n"/>
      <c r="AZ670" s="170" t="n"/>
      <c r="BA670" s="170" t="n"/>
      <c r="BB670" s="170" t="n"/>
      <c r="BC670" s="171" t="n"/>
    </row>
    <row r="671" ht="15" customHeight="1" s="144">
      <c r="AC671" s="90" t="n"/>
      <c r="AE671" s="173" t="n"/>
      <c r="AF671" s="173" t="n"/>
      <c r="AG671" s="173" t="n"/>
      <c r="AL671" s="93" t="n"/>
      <c r="AM671" s="94" t="n"/>
      <c r="AN671" s="95" t="n"/>
      <c r="AO671" s="96" t="n"/>
      <c r="AV671" s="107" t="n"/>
      <c r="AW671" s="100" t="n"/>
      <c r="AX671" s="170" t="n"/>
      <c r="AY671" s="170" t="n"/>
      <c r="AZ671" s="170" t="n"/>
      <c r="BA671" s="170" t="n"/>
      <c r="BB671" s="170" t="n"/>
      <c r="BC671" s="171" t="n"/>
    </row>
    <row r="672" ht="15" customHeight="1" s="144">
      <c r="AC672" s="90" t="n"/>
      <c r="AE672" s="173" t="n"/>
      <c r="AF672" s="173" t="n"/>
      <c r="AG672" s="173" t="n"/>
      <c r="AL672" s="93" t="n"/>
      <c r="AM672" s="94" t="n"/>
      <c r="AN672" s="95" t="n"/>
      <c r="AO672" s="96" t="n"/>
      <c r="AV672" s="107" t="n"/>
      <c r="AW672" s="100" t="n"/>
      <c r="AX672" s="170" t="n"/>
      <c r="AY672" s="170" t="n"/>
      <c r="AZ672" s="170" t="n"/>
      <c r="BA672" s="170" t="n"/>
      <c r="BB672" s="170" t="n"/>
      <c r="BC672" s="171" t="n"/>
    </row>
    <row r="673" ht="15" customHeight="1" s="144">
      <c r="AL673" s="93" t="n"/>
      <c r="AM673" s="94" t="n"/>
      <c r="AN673" s="95" t="n"/>
      <c r="AO673" s="96" t="n"/>
      <c r="AV673" s="107" t="n"/>
      <c r="AW673" s="100" t="n"/>
      <c r="AX673" s="170" t="n"/>
      <c r="AY673" s="170" t="n"/>
      <c r="AZ673" s="170" t="n"/>
      <c r="BA673" s="170" t="n"/>
      <c r="BB673" s="170" t="n"/>
      <c r="BC673" s="171" t="n"/>
    </row>
    <row r="674" ht="15" customHeight="1" s="144">
      <c r="AL674" s="93" t="n"/>
      <c r="AM674" s="94" t="n"/>
      <c r="AN674" s="95" t="n"/>
      <c r="AO674" s="96" t="n"/>
      <c r="AV674" s="107" t="n"/>
      <c r="AW674" s="100" t="n"/>
      <c r="AX674" s="170" t="n"/>
      <c r="AY674" s="170" t="n"/>
      <c r="AZ674" s="170" t="n"/>
      <c r="BA674" s="170" t="n"/>
      <c r="BB674" s="170" t="n"/>
      <c r="BC674" s="171" t="n"/>
    </row>
    <row r="675" ht="15" customHeight="1" s="144">
      <c r="AL675" s="93" t="n"/>
      <c r="AM675" s="94" t="n"/>
      <c r="AN675" s="95" t="n"/>
      <c r="AO675" s="96" t="n"/>
      <c r="AV675" s="107" t="n"/>
      <c r="AW675" s="100" t="n"/>
      <c r="AX675" s="170" t="n"/>
      <c r="AY675" s="170" t="n"/>
      <c r="AZ675" s="170" t="n"/>
      <c r="BA675" s="170" t="n"/>
      <c r="BB675" s="170" t="n"/>
      <c r="BC675" s="171" t="n"/>
    </row>
    <row r="676" ht="15" customHeight="1" s="144">
      <c r="AL676" s="93" t="n"/>
      <c r="AM676" s="94" t="n"/>
      <c r="AN676" s="95" t="n"/>
      <c r="AO676" s="96" t="n"/>
      <c r="AV676" s="107" t="n"/>
      <c r="AW676" s="100" t="n"/>
      <c r="AX676" s="170" t="n"/>
      <c r="AY676" s="170" t="n"/>
      <c r="AZ676" s="170" t="n"/>
      <c r="BA676" s="170" t="n"/>
      <c r="BB676" s="170" t="n"/>
      <c r="BC676" s="171" t="n"/>
    </row>
    <row r="677" ht="15" customHeight="1" s="144">
      <c r="AL677" s="93" t="n"/>
      <c r="AM677" s="94" t="n"/>
      <c r="AN677" s="95" t="n"/>
      <c r="AO677" s="96" t="n"/>
      <c r="AV677" s="107" t="n"/>
      <c r="AW677" s="100" t="n"/>
      <c r="AX677" s="170" t="n"/>
      <c r="AY677" s="170" t="n"/>
      <c r="AZ677" s="170" t="n"/>
      <c r="BA677" s="170" t="n"/>
      <c r="BB677" s="170" t="n"/>
      <c r="BC677" s="171" t="n"/>
    </row>
    <row r="678" ht="15" customHeight="1" s="144">
      <c r="AL678" s="93" t="n"/>
      <c r="AM678" s="94" t="n"/>
      <c r="AN678" s="95" t="n"/>
      <c r="AO678" s="96" t="n"/>
      <c r="AV678" s="107" t="n"/>
      <c r="AW678" s="100" t="n"/>
      <c r="AX678" s="170" t="n"/>
      <c r="AY678" s="170" t="n"/>
      <c r="AZ678" s="170" t="n"/>
      <c r="BA678" s="170" t="n"/>
      <c r="BB678" s="170" t="n"/>
      <c r="BC678" s="171" t="n"/>
    </row>
    <row r="679" ht="15" customHeight="1" s="144">
      <c r="AL679" s="93" t="n"/>
      <c r="AM679" s="94" t="n"/>
      <c r="AN679" s="95" t="n"/>
      <c r="AO679" s="96" t="n"/>
      <c r="AV679" s="107" t="n"/>
      <c r="AW679" s="100" t="n"/>
      <c r="AX679" s="170" t="n"/>
      <c r="AY679" s="170" t="n"/>
      <c r="AZ679" s="170" t="n"/>
      <c r="BA679" s="170" t="n"/>
      <c r="BB679" s="170" t="n"/>
      <c r="BC679" s="171" t="n"/>
    </row>
    <row r="680" ht="15" customHeight="1" s="144">
      <c r="AL680" s="93" t="n"/>
      <c r="AM680" s="94" t="n"/>
      <c r="AN680" s="95" t="n"/>
      <c r="AO680" s="96" t="n"/>
      <c r="AV680" s="107" t="n"/>
      <c r="AW680" s="100" t="n"/>
      <c r="AX680" s="170" t="n"/>
      <c r="AY680" s="170" t="n"/>
      <c r="AZ680" s="170" t="n"/>
      <c r="BA680" s="170" t="n"/>
      <c r="BB680" s="170" t="n"/>
      <c r="BC680" s="171" t="n"/>
    </row>
    <row r="681" ht="15" customHeight="1" s="144">
      <c r="AL681" s="93" t="n"/>
      <c r="AM681" s="94" t="n"/>
      <c r="AN681" s="95" t="n"/>
      <c r="AO681" s="96" t="n"/>
      <c r="AV681" s="107" t="n"/>
      <c r="AW681" s="100" t="n"/>
      <c r="AX681" s="170" t="n"/>
      <c r="AY681" s="170" t="n"/>
      <c r="AZ681" s="170" t="n"/>
      <c r="BA681" s="170" t="n"/>
      <c r="BB681" s="170" t="n"/>
      <c r="BC681" s="171" t="n"/>
    </row>
    <row r="682" ht="15" customHeight="1" s="144">
      <c r="AL682" s="93" t="n"/>
      <c r="AM682" s="94" t="n"/>
      <c r="AN682" s="95" t="n"/>
      <c r="AO682" s="96" t="n"/>
      <c r="AV682" s="107" t="n"/>
      <c r="AW682" s="100" t="n"/>
      <c r="AX682" s="170" t="n"/>
      <c r="AY682" s="170" t="n"/>
      <c r="AZ682" s="170" t="n"/>
      <c r="BA682" s="170" t="n"/>
      <c r="BB682" s="170" t="n"/>
      <c r="BC682" s="171" t="n"/>
    </row>
    <row r="683" ht="15" customHeight="1" s="144">
      <c r="AL683" s="93" t="n"/>
      <c r="AM683" s="94" t="n"/>
      <c r="AN683" s="95" t="n"/>
      <c r="AO683" s="96" t="n"/>
      <c r="AV683" s="107" t="n"/>
      <c r="AW683" s="100" t="n"/>
      <c r="AX683" s="170" t="n"/>
      <c r="AY683" s="170" t="n"/>
      <c r="AZ683" s="170" t="n"/>
      <c r="BA683" s="170" t="n"/>
      <c r="BB683" s="170" t="n"/>
      <c r="BC683" s="171" t="n"/>
    </row>
    <row r="684" ht="15" customHeight="1" s="144">
      <c r="AL684" s="93" t="n"/>
      <c r="AM684" s="94" t="n"/>
      <c r="AN684" s="95" t="n"/>
      <c r="AO684" s="96" t="n"/>
      <c r="AV684" s="107" t="n"/>
      <c r="AW684" s="100" t="n"/>
      <c r="AX684" s="170" t="n"/>
      <c r="AY684" s="170" t="n"/>
      <c r="AZ684" s="170" t="n"/>
      <c r="BA684" s="170" t="n"/>
      <c r="BB684" s="170" t="n"/>
      <c r="BC684" s="171" t="n"/>
    </row>
    <row r="685" ht="15" customHeight="1" s="144">
      <c r="AL685" s="93" t="n"/>
      <c r="AM685" s="94" t="n"/>
      <c r="AN685" s="95" t="n"/>
      <c r="AO685" s="96" t="n"/>
      <c r="AV685" s="107" t="n"/>
      <c r="AW685" s="100" t="n"/>
      <c r="AX685" s="170" t="n"/>
      <c r="AY685" s="170" t="n"/>
      <c r="AZ685" s="170" t="n"/>
      <c r="BA685" s="170" t="n"/>
      <c r="BB685" s="170" t="n"/>
      <c r="BC685" s="171" t="n"/>
    </row>
    <row r="686" ht="15" customHeight="1" s="144">
      <c r="AL686" s="93" t="n"/>
      <c r="AM686" s="94" t="n"/>
      <c r="AN686" s="95" t="n"/>
      <c r="AO686" s="96" t="n"/>
      <c r="AV686" s="107" t="n"/>
      <c r="AW686" s="100" t="n"/>
      <c r="AX686" s="170" t="n"/>
      <c r="AY686" s="170" t="n"/>
      <c r="AZ686" s="170" t="n"/>
      <c r="BA686" s="170" t="n"/>
      <c r="BB686" s="170" t="n"/>
      <c r="BC686" s="171" t="n"/>
    </row>
    <row r="687" ht="15" customHeight="1" s="144">
      <c r="AL687" s="93" t="n"/>
      <c r="AM687" s="94" t="n"/>
      <c r="AN687" s="95" t="n"/>
      <c r="AO687" s="96" t="n"/>
      <c r="AV687" s="107" t="n"/>
      <c r="AW687" s="100" t="n"/>
      <c r="AX687" s="170" t="n"/>
      <c r="AY687" s="170" t="n"/>
      <c r="AZ687" s="170" t="n"/>
      <c r="BA687" s="170" t="n"/>
      <c r="BB687" s="170" t="n"/>
      <c r="BC687" s="171" t="n"/>
    </row>
    <row r="688" ht="15" customHeight="1" s="144">
      <c r="AL688" s="93" t="n"/>
      <c r="AM688" s="94" t="n"/>
      <c r="AN688" s="95" t="n"/>
      <c r="AO688" s="96" t="n"/>
      <c r="AV688" s="107" t="n"/>
      <c r="AW688" s="100" t="n"/>
      <c r="AX688" s="170" t="n"/>
      <c r="AY688" s="170" t="n"/>
      <c r="AZ688" s="170" t="n"/>
      <c r="BA688" s="170" t="n"/>
      <c r="BB688" s="170" t="n"/>
      <c r="BC688" s="171" t="n"/>
    </row>
    <row r="689" ht="15" customHeight="1" s="144">
      <c r="AC689" s="90" t="n"/>
      <c r="AL689" s="93" t="n"/>
      <c r="AM689" s="94" t="n"/>
      <c r="AN689" s="95" t="n"/>
      <c r="AO689" s="96" t="n"/>
      <c r="AV689" s="107" t="n"/>
      <c r="AW689" s="100" t="n"/>
      <c r="AX689" s="170" t="n"/>
      <c r="AY689" s="170" t="n"/>
      <c r="AZ689" s="170" t="n"/>
      <c r="BA689" s="170" t="n"/>
      <c r="BB689" s="170" t="n"/>
      <c r="BC689" s="171" t="n"/>
    </row>
    <row r="690" ht="15" customHeight="1" s="144">
      <c r="AC690" s="90" t="n"/>
      <c r="AL690" s="93" t="n"/>
      <c r="AM690" s="94" t="n"/>
      <c r="AN690" s="95" t="n"/>
      <c r="AO690" s="96" t="n"/>
      <c r="AV690" s="107" t="n"/>
      <c r="AW690" s="100" t="n"/>
      <c r="AX690" s="170" t="n"/>
      <c r="AY690" s="170" t="n"/>
      <c r="AZ690" s="170" t="n"/>
      <c r="BA690" s="170" t="n"/>
      <c r="BB690" s="170" t="n"/>
      <c r="BC690" s="171" t="n"/>
    </row>
    <row r="691" ht="15" customHeight="1" s="144">
      <c r="AC691" s="90" t="n"/>
      <c r="AL691" s="93" t="n"/>
      <c r="AM691" s="94" t="n"/>
      <c r="AN691" s="95" t="n"/>
      <c r="AO691" s="96" t="n"/>
      <c r="AV691" s="107" t="n"/>
      <c r="AW691" s="100" t="n"/>
      <c r="AX691" s="170" t="n"/>
      <c r="AY691" s="170" t="n"/>
      <c r="AZ691" s="170" t="n"/>
      <c r="BA691" s="170" t="n"/>
      <c r="BB691" s="170" t="n"/>
      <c r="BC691" s="171" t="n"/>
    </row>
    <row r="692" ht="15" customHeight="1" s="144">
      <c r="AC692" s="90" t="n"/>
      <c r="AL692" s="93" t="n"/>
      <c r="AM692" s="94" t="n"/>
      <c r="AN692" s="95" t="n"/>
      <c r="AO692" s="96" t="n"/>
      <c r="AV692" s="107" t="n"/>
      <c r="AW692" s="100" t="n"/>
      <c r="AX692" s="170" t="n"/>
      <c r="AY692" s="170" t="n"/>
      <c r="AZ692" s="170" t="n"/>
      <c r="BA692" s="170" t="n"/>
      <c r="BB692" s="170" t="n"/>
      <c r="BC692" s="171" t="n"/>
    </row>
    <row r="693" ht="15" customHeight="1" s="144">
      <c r="AC693" s="90" t="n"/>
      <c r="AL693" s="93" t="n"/>
      <c r="AM693" s="94" t="n"/>
      <c r="AN693" s="95" t="n"/>
      <c r="AO693" s="96" t="n"/>
      <c r="AV693" s="107" t="n"/>
      <c r="AW693" s="100" t="n"/>
      <c r="AX693" s="170" t="n"/>
      <c r="AY693" s="170" t="n"/>
      <c r="AZ693" s="170" t="n"/>
      <c r="BA693" s="170" t="n"/>
      <c r="BB693" s="170" t="n"/>
      <c r="BC693" s="171" t="n"/>
    </row>
    <row r="694" ht="15" customHeight="1" s="144">
      <c r="AL694" s="93" t="n"/>
      <c r="AM694" s="94" t="n"/>
      <c r="AN694" s="95" t="n"/>
      <c r="AO694" s="96" t="n"/>
      <c r="AV694" s="107" t="n"/>
      <c r="AW694" s="100" t="n"/>
      <c r="AX694" s="170" t="n"/>
      <c r="AY694" s="170" t="n"/>
      <c r="AZ694" s="170" t="n"/>
      <c r="BA694" s="170" t="n"/>
      <c r="BB694" s="170" t="n"/>
      <c r="BC694" s="171" t="n"/>
    </row>
    <row r="695" ht="15" customHeight="1" s="144">
      <c r="AC695" s="90" t="n"/>
      <c r="AL695" s="93" t="n"/>
      <c r="AM695" s="94" t="n"/>
      <c r="AN695" s="95" t="n"/>
      <c r="AO695" s="96" t="n"/>
      <c r="AV695" s="107" t="n"/>
      <c r="AW695" s="100" t="n"/>
      <c r="AX695" s="170" t="n"/>
      <c r="AY695" s="170" t="n"/>
      <c r="AZ695" s="170" t="n"/>
      <c r="BA695" s="170" t="n"/>
      <c r="BB695" s="170" t="n"/>
      <c r="BC695" s="171" t="n"/>
    </row>
    <row r="696" ht="15" customHeight="1" s="144">
      <c r="AC696" s="90" t="n"/>
      <c r="AL696" s="93" t="n"/>
      <c r="AM696" s="94" t="n"/>
      <c r="AN696" s="95" t="n"/>
      <c r="AO696" s="96" t="n"/>
      <c r="AV696" s="107" t="n"/>
      <c r="AW696" s="100" t="n"/>
      <c r="AX696" s="170" t="n"/>
      <c r="AY696" s="170" t="n"/>
      <c r="AZ696" s="170" t="n"/>
      <c r="BA696" s="170" t="n"/>
      <c r="BB696" s="170" t="n"/>
      <c r="BC696" s="171" t="n"/>
    </row>
    <row r="697" ht="15" customHeight="1" s="144">
      <c r="AC697" s="90" t="n"/>
      <c r="AL697" s="93" t="n"/>
      <c r="AM697" s="94" t="n"/>
      <c r="AN697" s="95" t="n"/>
      <c r="AO697" s="96" t="n"/>
      <c r="AV697" s="107" t="n"/>
      <c r="AW697" s="100" t="n"/>
      <c r="AX697" s="170" t="n"/>
      <c r="AY697" s="170" t="n"/>
      <c r="AZ697" s="170" t="n"/>
      <c r="BA697" s="170" t="n"/>
      <c r="BB697" s="170" t="n"/>
      <c r="BC697" s="171" t="n"/>
    </row>
    <row r="698" ht="15" customHeight="1" s="144">
      <c r="AC698" s="90" t="n"/>
      <c r="AL698" s="93" t="n"/>
      <c r="AM698" s="94" t="n"/>
      <c r="AN698" s="95" t="n"/>
      <c r="AO698" s="96" t="n"/>
      <c r="AV698" s="107" t="n"/>
      <c r="AW698" s="100" t="n"/>
      <c r="AX698" s="170" t="n"/>
      <c r="AY698" s="170" t="n"/>
      <c r="AZ698" s="170" t="n"/>
      <c r="BA698" s="170" t="n"/>
      <c r="BB698" s="170" t="n"/>
      <c r="BC698" s="171" t="n"/>
    </row>
    <row r="699" ht="15" customHeight="1" s="144">
      <c r="AC699" s="90" t="n"/>
      <c r="AL699" s="93" t="n"/>
      <c r="AM699" s="94" t="n"/>
      <c r="AN699" s="95" t="n"/>
      <c r="AO699" s="96" t="n"/>
      <c r="AV699" s="107" t="n"/>
      <c r="AW699" s="100" t="n"/>
      <c r="AX699" s="170" t="n"/>
      <c r="AY699" s="170" t="n"/>
      <c r="AZ699" s="170" t="n"/>
      <c r="BA699" s="170" t="n"/>
      <c r="BB699" s="170" t="n"/>
      <c r="BC699" s="171" t="n"/>
    </row>
    <row r="700" ht="15" customHeight="1" s="144">
      <c r="AL700" s="93" t="n"/>
      <c r="AM700" s="94" t="n"/>
      <c r="AN700" s="95" t="n"/>
      <c r="AO700" s="96" t="n"/>
      <c r="AV700" s="107" t="n"/>
      <c r="AW700" s="100" t="n"/>
      <c r="AX700" s="170" t="n"/>
      <c r="AY700" s="170" t="n"/>
      <c r="AZ700" s="170" t="n"/>
      <c r="BA700" s="170" t="n"/>
      <c r="BB700" s="170" t="n"/>
      <c r="BC700" s="171" t="n"/>
    </row>
    <row r="701" ht="15" customHeight="1" s="144">
      <c r="AL701" s="93" t="n"/>
      <c r="AM701" s="94" t="n"/>
      <c r="AN701" s="95" t="n"/>
      <c r="AO701" s="96" t="n"/>
      <c r="AV701" s="107" t="n"/>
      <c r="AW701" s="100" t="n"/>
      <c r="AX701" s="170" t="n"/>
      <c r="AY701" s="170" t="n"/>
      <c r="AZ701" s="170" t="n"/>
      <c r="BA701" s="170" t="n"/>
      <c r="BB701" s="170" t="n"/>
      <c r="BC701" s="171" t="n"/>
    </row>
    <row r="702" ht="15" customHeight="1" s="144">
      <c r="AC702" s="110" t="n"/>
      <c r="AD702" s="110" t="n"/>
      <c r="AE702" s="110" t="n"/>
      <c r="AF702" s="110" t="n"/>
      <c r="AG702" s="110" t="n"/>
      <c r="AL702" s="93" t="n"/>
      <c r="AM702" s="94" t="n"/>
      <c r="AN702" s="95" t="n"/>
      <c r="AO702" s="96" t="n"/>
      <c r="AV702" s="107" t="n"/>
      <c r="AW702" s="100" t="n"/>
      <c r="AX702" s="170" t="n"/>
      <c r="AY702" s="170" t="n"/>
      <c r="AZ702" s="170" t="n"/>
      <c r="BA702" s="170" t="n"/>
      <c r="BB702" s="170" t="n"/>
      <c r="BC702" s="171" t="n"/>
    </row>
    <row r="703" ht="15" customHeight="1" s="144">
      <c r="AC703" s="110" t="n"/>
      <c r="AD703" s="110" t="n"/>
      <c r="AE703" s="110" t="n"/>
      <c r="AF703" s="110" t="n"/>
      <c r="AG703" s="110" t="n"/>
      <c r="AL703" s="93" t="n"/>
      <c r="AM703" s="94" t="n"/>
      <c r="AN703" s="95" t="n"/>
      <c r="AO703" s="96" t="n"/>
      <c r="AV703" s="107" t="n"/>
      <c r="AW703" s="100" t="n"/>
      <c r="AX703" s="170" t="n"/>
      <c r="AY703" s="170" t="n"/>
      <c r="AZ703" s="170" t="n"/>
      <c r="BA703" s="170" t="n"/>
      <c r="BB703" s="170" t="n"/>
      <c r="BC703" s="171" t="n"/>
    </row>
    <row r="704" ht="15" customHeight="1" s="144">
      <c r="AC704" s="110" t="n"/>
      <c r="AD704" s="110" t="n"/>
      <c r="AE704" s="110" t="n"/>
      <c r="AF704" s="110" t="n"/>
      <c r="AG704" s="110" t="n"/>
      <c r="AL704" s="93" t="n"/>
      <c r="AM704" s="94" t="n"/>
      <c r="AN704" s="95" t="n"/>
      <c r="AO704" s="96" t="n"/>
      <c r="AV704" s="107" t="n"/>
      <c r="AW704" s="100" t="n"/>
      <c r="AX704" s="170" t="n"/>
      <c r="AY704" s="170" t="n"/>
      <c r="AZ704" s="170" t="n"/>
      <c r="BA704" s="170" t="n"/>
      <c r="BB704" s="170" t="n"/>
      <c r="BC704" s="171" t="n"/>
    </row>
    <row r="705" ht="15" customHeight="1" s="144">
      <c r="AC705" s="110" t="n"/>
      <c r="AD705" s="110" t="n"/>
      <c r="AE705" s="110" t="n"/>
      <c r="AF705" s="110" t="n"/>
      <c r="AG705" s="110" t="n"/>
      <c r="AL705" s="93" t="n"/>
      <c r="AM705" s="94" t="n"/>
      <c r="AN705" s="95" t="n"/>
      <c r="AO705" s="96" t="n"/>
      <c r="AV705" s="107" t="n"/>
      <c r="AW705" s="100" t="n"/>
      <c r="AX705" s="170" t="n"/>
      <c r="AY705" s="170" t="n"/>
      <c r="AZ705" s="170" t="n"/>
      <c r="BA705" s="170" t="n"/>
      <c r="BB705" s="170" t="n"/>
      <c r="BC705" s="171" t="n"/>
    </row>
    <row r="706" ht="15" customHeight="1" s="144">
      <c r="AC706" s="110" t="n"/>
      <c r="AD706" s="110" t="n"/>
      <c r="AE706" s="110" t="n"/>
      <c r="AF706" s="110" t="n"/>
      <c r="AG706" s="110" t="n"/>
      <c r="AL706" s="93" t="n"/>
      <c r="AM706" s="94" t="n"/>
      <c r="AN706" s="95" t="n"/>
      <c r="AO706" s="96" t="n"/>
      <c r="AV706" s="107" t="n"/>
      <c r="AW706" s="100" t="n"/>
      <c r="AX706" s="170" t="n"/>
      <c r="AY706" s="170" t="n"/>
      <c r="AZ706" s="170" t="n"/>
      <c r="BA706" s="170" t="n"/>
      <c r="BB706" s="170" t="n"/>
      <c r="BC706" s="171" t="n"/>
    </row>
    <row r="707" ht="15" customHeight="1" s="144">
      <c r="AC707" s="110" t="n"/>
      <c r="AD707" s="110" t="n"/>
      <c r="AE707" s="110" t="n"/>
      <c r="AF707" s="110" t="n"/>
      <c r="AG707" s="110" t="n"/>
      <c r="AL707" s="93" t="n"/>
      <c r="AM707" s="94" t="n"/>
      <c r="AN707" s="95" t="n"/>
      <c r="AO707" s="96" t="n"/>
      <c r="AV707" s="107" t="n"/>
      <c r="AW707" s="100" t="n"/>
      <c r="AX707" s="170" t="n"/>
      <c r="AY707" s="170" t="n"/>
      <c r="AZ707" s="170" t="n"/>
      <c r="BA707" s="170" t="n"/>
      <c r="BB707" s="170" t="n"/>
      <c r="BC707" s="171" t="n"/>
    </row>
    <row r="708" ht="15" customHeight="1" s="144">
      <c r="AC708" s="110" t="n"/>
      <c r="AD708" s="110" t="n"/>
      <c r="AE708" s="110" t="n"/>
      <c r="AF708" s="110" t="n"/>
      <c r="AG708" s="110" t="n"/>
      <c r="AL708" s="93" t="n"/>
      <c r="AM708" s="94" t="n"/>
      <c r="AN708" s="95" t="n"/>
      <c r="AO708" s="96" t="n"/>
      <c r="AV708" s="107" t="n"/>
      <c r="AW708" s="100" t="n"/>
      <c r="AX708" s="170" t="n"/>
      <c r="AY708" s="170" t="n"/>
      <c r="AZ708" s="170" t="n"/>
      <c r="BA708" s="170" t="n"/>
      <c r="BB708" s="170" t="n"/>
      <c r="BC708" s="171" t="n"/>
    </row>
    <row r="709" ht="15" customHeight="1" s="144">
      <c r="AC709" s="110" t="n"/>
      <c r="AD709" s="110" t="n"/>
      <c r="AE709" s="110" t="n"/>
      <c r="AF709" s="110" t="n"/>
      <c r="AG709" s="110" t="n"/>
      <c r="AL709" s="93" t="n"/>
      <c r="AM709" s="94" t="n"/>
      <c r="AN709" s="95" t="n"/>
      <c r="AO709" s="96" t="n"/>
      <c r="AV709" s="107" t="n"/>
      <c r="AW709" s="100" t="n"/>
      <c r="AX709" s="170" t="n"/>
      <c r="AY709" s="170" t="n"/>
      <c r="AZ709" s="170" t="n"/>
      <c r="BA709" s="170" t="n"/>
      <c r="BB709" s="170" t="n"/>
      <c r="BC709" s="171" t="n"/>
    </row>
    <row r="710" ht="15" customHeight="1" s="144">
      <c r="AC710" s="110" t="n"/>
      <c r="AD710" s="110" t="n"/>
      <c r="AE710" s="110" t="n"/>
      <c r="AF710" s="110" t="n"/>
      <c r="AG710" s="110" t="n"/>
      <c r="AL710" s="93" t="n"/>
      <c r="AM710" s="94" t="n"/>
      <c r="AN710" s="95" t="n"/>
      <c r="AO710" s="96" t="n"/>
      <c r="AV710" s="107" t="n"/>
      <c r="AW710" s="100" t="n"/>
      <c r="AX710" s="170" t="n"/>
      <c r="AY710" s="170" t="n"/>
      <c r="AZ710" s="170" t="n"/>
      <c r="BA710" s="170" t="n"/>
      <c r="BB710" s="170" t="n"/>
      <c r="BC710" s="171" t="n"/>
    </row>
    <row r="711" ht="15" customHeight="1" s="144">
      <c r="AC711" s="110" t="n"/>
      <c r="AD711" s="110" t="n"/>
      <c r="AE711" s="110" t="n"/>
      <c r="AF711" s="110" t="n"/>
      <c r="AG711" s="110" t="n"/>
      <c r="AL711" s="93" t="n"/>
      <c r="AM711" s="94" t="n"/>
      <c r="AN711" s="95" t="n"/>
      <c r="AO711" s="96" t="n"/>
      <c r="AV711" s="107" t="n"/>
      <c r="AW711" s="100" t="n"/>
      <c r="AX711" s="170" t="n"/>
      <c r="AY711" s="170" t="n"/>
      <c r="AZ711" s="170" t="n"/>
      <c r="BA711" s="170" t="n"/>
      <c r="BB711" s="170" t="n"/>
      <c r="BC711" s="171" t="n"/>
    </row>
    <row r="712" ht="15" customHeight="1" s="144">
      <c r="AC712" s="110" t="n"/>
      <c r="AD712" s="110" t="n"/>
      <c r="AE712" s="110" t="n"/>
      <c r="AF712" s="110" t="n"/>
      <c r="AG712" s="110" t="n"/>
      <c r="AL712" s="93" t="n"/>
      <c r="AM712" s="94" t="n"/>
      <c r="AN712" s="95" t="n"/>
      <c r="AO712" s="96" t="n"/>
      <c r="AV712" s="107" t="n"/>
      <c r="AW712" s="100" t="n"/>
      <c r="AX712" s="170" t="n"/>
      <c r="AY712" s="170" t="n"/>
      <c r="AZ712" s="170" t="n"/>
      <c r="BA712" s="170" t="n"/>
      <c r="BB712" s="170" t="n"/>
      <c r="BC712" s="171" t="n"/>
    </row>
    <row r="713" ht="15" customHeight="1" s="144">
      <c r="AC713" s="110" t="n"/>
      <c r="AD713" s="110" t="n"/>
      <c r="AE713" s="110" t="n"/>
      <c r="AF713" s="110" t="n"/>
      <c r="AG713" s="110" t="n"/>
      <c r="AL713" s="93" t="n"/>
      <c r="AM713" s="94" t="n"/>
      <c r="AN713" s="95" t="n"/>
      <c r="AO713" s="96" t="n"/>
      <c r="AV713" s="107" t="n"/>
      <c r="AW713" s="100" t="n"/>
      <c r="AX713" s="170" t="n"/>
      <c r="AY713" s="170" t="n"/>
      <c r="AZ713" s="170" t="n"/>
      <c r="BA713" s="170" t="n"/>
      <c r="BB713" s="170" t="n"/>
      <c r="BC713" s="171" t="n"/>
    </row>
    <row r="714" ht="15" customHeight="1" s="144">
      <c r="AC714" s="110" t="n"/>
      <c r="AD714" s="110" t="n"/>
      <c r="AE714" s="110" t="n"/>
      <c r="AF714" s="110" t="n"/>
      <c r="AG714" s="110" t="n"/>
      <c r="AL714" s="93" t="n"/>
      <c r="AM714" s="94" t="n"/>
      <c r="AN714" s="95" t="n"/>
      <c r="AO714" s="96" t="n"/>
      <c r="AV714" s="107" t="n"/>
      <c r="AW714" s="100" t="n"/>
      <c r="AX714" s="170" t="n"/>
      <c r="AY714" s="170" t="n"/>
      <c r="AZ714" s="170" t="n"/>
      <c r="BA714" s="170" t="n"/>
      <c r="BB714" s="170" t="n"/>
      <c r="BC714" s="171" t="n"/>
    </row>
    <row r="715" ht="15" customHeight="1" s="144">
      <c r="AC715" s="110" t="n"/>
      <c r="AD715" s="110" t="n"/>
      <c r="AE715" s="110" t="n"/>
      <c r="AF715" s="110" t="n"/>
      <c r="AG715" s="110" t="n"/>
      <c r="AL715" s="93" t="n"/>
      <c r="AM715" s="94" t="n"/>
      <c r="AN715" s="95" t="n"/>
      <c r="AO715" s="96" t="n"/>
      <c r="AV715" s="107" t="n"/>
      <c r="AW715" s="100" t="n"/>
      <c r="AX715" s="170" t="n"/>
      <c r="AY715" s="170" t="n"/>
      <c r="AZ715" s="170" t="n"/>
      <c r="BA715" s="170" t="n"/>
      <c r="BB715" s="170" t="n"/>
      <c r="BC715" s="171" t="n"/>
    </row>
    <row r="716" ht="15" customHeight="1" s="144">
      <c r="AC716" s="110" t="n"/>
      <c r="AD716" s="110" t="n"/>
      <c r="AE716" s="110" t="n"/>
      <c r="AF716" s="110" t="n"/>
      <c r="AG716" s="110" t="n"/>
      <c r="AL716" s="93" t="n"/>
      <c r="AM716" s="94" t="n"/>
      <c r="AN716" s="95" t="n"/>
      <c r="AO716" s="96" t="n"/>
      <c r="AV716" s="107" t="n"/>
      <c r="AW716" s="100" t="n"/>
      <c r="AX716" s="170" t="n"/>
      <c r="AY716" s="170" t="n"/>
      <c r="AZ716" s="170" t="n"/>
      <c r="BA716" s="170" t="n"/>
      <c r="BB716" s="170" t="n"/>
      <c r="BC716" s="171" t="n"/>
    </row>
    <row r="717" ht="15" customHeight="1" s="144">
      <c r="AC717" s="110" t="n"/>
      <c r="AD717" s="110" t="n"/>
      <c r="AE717" s="110" t="n"/>
      <c r="AF717" s="110" t="n"/>
      <c r="AG717" s="110" t="n"/>
      <c r="AL717" s="93" t="n"/>
      <c r="AM717" s="94" t="n"/>
      <c r="AN717" s="95" t="n"/>
      <c r="AO717" s="96" t="n"/>
      <c r="AV717" s="107" t="n"/>
      <c r="AW717" s="100" t="n"/>
      <c r="AX717" s="170" t="n"/>
      <c r="AY717" s="170" t="n"/>
      <c r="AZ717" s="170" t="n"/>
      <c r="BA717" s="170" t="n"/>
      <c r="BB717" s="170" t="n"/>
      <c r="BC717" s="171" t="n"/>
    </row>
    <row r="718" ht="15" customHeight="1" s="144">
      <c r="AC718" s="90" t="n"/>
      <c r="AL718" s="93" t="n"/>
      <c r="AM718" s="94" t="n"/>
      <c r="AN718" s="95" t="n"/>
      <c r="AO718" s="96" t="n"/>
      <c r="AV718" s="107" t="n"/>
      <c r="AW718" s="100" t="n"/>
      <c r="AX718" s="170" t="n"/>
      <c r="AY718" s="170" t="n"/>
      <c r="AZ718" s="170" t="n"/>
      <c r="BA718" s="170" t="n"/>
      <c r="BB718" s="170" t="n"/>
      <c r="BC718" s="171" t="n"/>
    </row>
    <row r="719" ht="15" customHeight="1" s="144">
      <c r="AC719" s="90" t="n"/>
      <c r="AL719" s="93" t="n"/>
      <c r="AM719" s="94" t="n"/>
      <c r="AN719" s="95" t="n"/>
      <c r="AO719" s="96" t="n"/>
      <c r="AV719" s="107" t="n"/>
      <c r="AW719" s="100" t="n"/>
      <c r="AX719" s="170" t="n"/>
      <c r="AY719" s="170" t="n"/>
      <c r="AZ719" s="170" t="n"/>
      <c r="BA719" s="170" t="n"/>
      <c r="BB719" s="170" t="n"/>
      <c r="BC719" s="171" t="n"/>
    </row>
    <row r="720" ht="15" customHeight="1" s="144">
      <c r="AC720" s="90" t="n"/>
      <c r="AL720" s="93" t="n"/>
      <c r="AM720" s="94" t="n"/>
      <c r="AN720" s="95" t="n"/>
      <c r="AO720" s="96" t="n"/>
      <c r="AV720" s="107" t="n"/>
      <c r="AW720" s="100" t="n"/>
      <c r="AX720" s="170" t="n"/>
      <c r="AY720" s="170" t="n"/>
      <c r="AZ720" s="170" t="n"/>
      <c r="BA720" s="170" t="n"/>
      <c r="BB720" s="170" t="n"/>
      <c r="BC720" s="171" t="n"/>
    </row>
    <row r="721" ht="15" customHeight="1" s="144">
      <c r="AC721" s="90" t="n"/>
      <c r="AL721" s="93" t="n"/>
      <c r="AM721" s="94" t="n"/>
      <c r="AN721" s="95" t="n"/>
      <c r="AO721" s="96" t="n"/>
      <c r="AV721" s="107" t="n"/>
      <c r="AW721" s="100" t="n"/>
      <c r="AX721" s="170" t="n"/>
      <c r="AY721" s="170" t="n"/>
      <c r="AZ721" s="170" t="n"/>
      <c r="BA721" s="170" t="n"/>
      <c r="BB721" s="170" t="n"/>
      <c r="BC721" s="171" t="n"/>
    </row>
    <row r="722" ht="15" customHeight="1" s="144">
      <c r="AC722" s="90" t="n"/>
      <c r="AL722" s="93" t="n"/>
      <c r="AM722" s="94" t="n"/>
      <c r="AN722" s="95" t="n"/>
      <c r="AO722" s="96" t="n"/>
      <c r="AV722" s="107" t="n"/>
      <c r="AW722" s="100" t="n"/>
      <c r="AX722" s="170" t="n"/>
      <c r="AY722" s="170" t="n"/>
      <c r="AZ722" s="170" t="n"/>
      <c r="BA722" s="170" t="n"/>
      <c r="BB722" s="170" t="n"/>
      <c r="BC722" s="171" t="n"/>
    </row>
    <row r="723" ht="15" customHeight="1" s="144">
      <c r="AC723" s="90" t="n"/>
      <c r="AL723" s="93" t="n"/>
      <c r="AM723" s="94" t="n"/>
      <c r="AN723" s="95" t="n"/>
      <c r="AO723" s="96" t="n"/>
      <c r="AV723" s="107" t="n"/>
      <c r="AW723" s="100" t="n"/>
      <c r="AX723" s="170" t="n"/>
      <c r="AY723" s="170" t="n"/>
      <c r="AZ723" s="170" t="n"/>
      <c r="BA723" s="170" t="n"/>
      <c r="BB723" s="170" t="n"/>
      <c r="BC723" s="171" t="n"/>
    </row>
    <row r="724" ht="15" customHeight="1" s="144">
      <c r="AC724" s="90" t="n"/>
      <c r="AL724" s="93" t="n"/>
      <c r="AM724" s="94" t="n"/>
      <c r="AN724" s="95" t="n"/>
      <c r="AO724" s="96" t="n"/>
      <c r="AV724" s="107" t="n"/>
      <c r="AW724" s="100" t="n"/>
      <c r="AX724" s="170" t="n"/>
      <c r="AY724" s="170" t="n"/>
      <c r="AZ724" s="170" t="n"/>
      <c r="BA724" s="170" t="n"/>
      <c r="BB724" s="170" t="n"/>
      <c r="BC724" s="171" t="n"/>
    </row>
    <row r="725" ht="15" customHeight="1" s="144">
      <c r="AC725" s="90" t="n"/>
      <c r="AL725" s="93" t="n"/>
      <c r="AM725" s="94" t="n"/>
      <c r="AN725" s="95" t="n"/>
      <c r="AO725" s="96" t="n"/>
      <c r="AV725" s="107" t="n"/>
      <c r="AW725" s="100" t="n"/>
      <c r="AX725" s="170" t="n"/>
      <c r="AY725" s="170" t="n"/>
      <c r="AZ725" s="170" t="n"/>
      <c r="BA725" s="170" t="n"/>
      <c r="BB725" s="170" t="n"/>
      <c r="BC725" s="171" t="n"/>
    </row>
    <row r="726" ht="15" customHeight="1" s="144">
      <c r="AC726" s="90" t="n"/>
      <c r="AL726" s="93" t="n"/>
      <c r="AM726" s="94" t="n"/>
      <c r="AN726" s="95" t="n"/>
      <c r="AO726" s="96" t="n"/>
      <c r="AV726" s="107" t="n"/>
      <c r="AW726" s="100" t="n"/>
      <c r="AX726" s="170" t="n"/>
      <c r="AY726" s="170" t="n"/>
      <c r="AZ726" s="170" t="n"/>
      <c r="BA726" s="170" t="n"/>
      <c r="BB726" s="170" t="n"/>
      <c r="BC726" s="171" t="n"/>
    </row>
    <row r="727" ht="15" customHeight="1" s="144">
      <c r="AC727" s="90" t="n"/>
      <c r="AL727" s="93" t="n"/>
      <c r="AM727" s="94" t="n"/>
      <c r="AN727" s="95" t="n"/>
      <c r="AO727" s="96" t="n"/>
      <c r="AV727" s="107" t="n"/>
      <c r="AW727" s="100" t="n"/>
      <c r="AX727" s="170" t="n"/>
      <c r="AY727" s="170" t="n"/>
      <c r="AZ727" s="170" t="n"/>
      <c r="BA727" s="170" t="n"/>
      <c r="BB727" s="170" t="n"/>
      <c r="BC727" s="171" t="n"/>
    </row>
    <row r="728" ht="15" customHeight="1" s="144">
      <c r="AC728" s="90" t="n"/>
      <c r="AL728" s="93" t="n"/>
      <c r="AM728" s="94" t="n"/>
      <c r="AN728" s="95" t="n"/>
      <c r="AO728" s="96" t="n"/>
      <c r="AV728" s="107" t="n"/>
      <c r="AW728" s="100" t="n"/>
      <c r="AX728" s="170" t="n"/>
      <c r="AY728" s="170" t="n"/>
      <c r="AZ728" s="170" t="n"/>
      <c r="BA728" s="170" t="n"/>
      <c r="BB728" s="170" t="n"/>
      <c r="BC728" s="171" t="n"/>
    </row>
    <row r="729" ht="15" customHeight="1" s="144">
      <c r="AC729" s="90" t="n"/>
      <c r="AL729" s="93" t="n"/>
      <c r="AM729" s="94" t="n"/>
      <c r="AN729" s="95" t="n"/>
      <c r="AO729" s="96" t="n"/>
      <c r="AV729" s="107" t="n"/>
      <c r="AW729" s="100" t="n"/>
      <c r="AX729" s="170" t="n"/>
      <c r="AY729" s="170" t="n"/>
      <c r="AZ729" s="170" t="n"/>
      <c r="BA729" s="170" t="n"/>
      <c r="BB729" s="170" t="n"/>
      <c r="BC729" s="171" t="n"/>
    </row>
    <row r="730" ht="15" customHeight="1" s="144">
      <c r="AC730" s="90" t="n"/>
      <c r="AL730" s="93" t="n"/>
      <c r="AM730" s="94" t="n"/>
      <c r="AN730" s="95" t="n"/>
      <c r="AO730" s="96" t="n"/>
      <c r="AV730" s="107" t="n"/>
      <c r="AW730" s="100" t="n"/>
      <c r="AX730" s="170" t="n"/>
      <c r="AY730" s="170" t="n"/>
      <c r="AZ730" s="170" t="n"/>
      <c r="BA730" s="170" t="n"/>
      <c r="BB730" s="170" t="n"/>
      <c r="BC730" s="171" t="n"/>
    </row>
    <row r="731" ht="15" customHeight="1" s="144">
      <c r="AC731" s="90" t="n"/>
      <c r="AL731" s="93" t="n"/>
      <c r="AM731" s="94" t="n"/>
      <c r="AN731" s="95" t="n"/>
      <c r="AO731" s="96" t="n"/>
      <c r="AV731" s="107" t="n"/>
      <c r="AW731" s="100" t="n"/>
      <c r="AX731" s="170" t="n"/>
      <c r="AY731" s="170" t="n"/>
      <c r="AZ731" s="170" t="n"/>
      <c r="BA731" s="170" t="n"/>
      <c r="BB731" s="170" t="n"/>
      <c r="BC731" s="171" t="n"/>
    </row>
    <row r="732" ht="15" customHeight="1" s="144">
      <c r="AC732" s="90" t="n"/>
      <c r="AL732" s="93" t="n"/>
      <c r="AM732" s="94" t="n"/>
      <c r="AN732" s="95" t="n"/>
      <c r="AO732" s="96" t="n"/>
      <c r="AV732" s="107" t="n"/>
      <c r="AW732" s="100" t="n"/>
      <c r="AX732" s="170" t="n"/>
      <c r="AY732" s="170" t="n"/>
      <c r="AZ732" s="170" t="n"/>
      <c r="BA732" s="170" t="n"/>
      <c r="BB732" s="170" t="n"/>
      <c r="BC732" s="171" t="n"/>
    </row>
    <row r="733" ht="15" customHeight="1" s="144">
      <c r="AC733" s="90" t="n"/>
      <c r="AL733" s="93" t="n"/>
      <c r="AM733" s="94" t="n"/>
      <c r="AN733" s="95" t="n"/>
      <c r="AO733" s="96" t="n"/>
      <c r="AV733" s="107" t="n"/>
      <c r="AW733" s="100" t="n"/>
      <c r="AX733" s="170" t="n"/>
      <c r="AY733" s="170" t="n"/>
      <c r="AZ733" s="170" t="n"/>
      <c r="BA733" s="170" t="n"/>
      <c r="BB733" s="170" t="n"/>
      <c r="BC733" s="171" t="n"/>
    </row>
    <row r="734" ht="15" customHeight="1" s="144">
      <c r="AC734" s="90" t="n"/>
      <c r="AL734" s="93" t="n"/>
      <c r="AM734" s="94" t="n"/>
      <c r="AN734" s="95" t="n"/>
      <c r="AO734" s="96" t="n"/>
      <c r="AV734" s="107" t="n"/>
      <c r="AW734" s="100" t="n"/>
      <c r="AX734" s="170" t="n"/>
      <c r="AY734" s="170" t="n"/>
      <c r="AZ734" s="170" t="n"/>
      <c r="BA734" s="170" t="n"/>
      <c r="BB734" s="170" t="n"/>
      <c r="BC734" s="171" t="n"/>
    </row>
    <row r="735" ht="15" customHeight="1" s="144">
      <c r="AC735" s="90" t="n"/>
      <c r="AL735" s="93" t="n"/>
      <c r="AM735" s="94" t="n"/>
      <c r="AN735" s="95" t="n"/>
      <c r="AO735" s="96" t="n"/>
      <c r="AV735" s="107" t="n"/>
      <c r="AW735" s="100" t="n"/>
      <c r="AX735" s="170" t="n"/>
      <c r="AY735" s="170" t="n"/>
      <c r="AZ735" s="170" t="n"/>
      <c r="BA735" s="170" t="n"/>
      <c r="BB735" s="170" t="n"/>
      <c r="BC735" s="171" t="n"/>
    </row>
    <row r="736" ht="15" customHeight="1" s="144">
      <c r="AC736" s="90" t="n"/>
      <c r="AL736" s="93" t="n"/>
      <c r="AM736" s="94" t="n"/>
      <c r="AN736" s="95" t="n"/>
      <c r="AO736" s="96" t="n"/>
      <c r="AV736" s="107" t="n"/>
      <c r="AW736" s="100" t="n"/>
      <c r="AX736" s="170" t="n"/>
      <c r="AY736" s="170" t="n"/>
      <c r="AZ736" s="170" t="n"/>
      <c r="BA736" s="170" t="n"/>
      <c r="BB736" s="170" t="n"/>
      <c r="BC736" s="171" t="n"/>
    </row>
    <row r="737" ht="15" customHeight="1" s="144">
      <c r="AC737" s="90" t="n"/>
      <c r="AL737" s="93" t="n"/>
      <c r="AM737" s="94" t="n"/>
      <c r="AN737" s="95" t="n"/>
      <c r="AO737" s="96" t="n"/>
      <c r="AV737" s="107" t="n"/>
      <c r="AW737" s="100" t="n"/>
      <c r="AX737" s="170" t="n"/>
      <c r="AY737" s="170" t="n"/>
      <c r="AZ737" s="170" t="n"/>
      <c r="BA737" s="170" t="n"/>
      <c r="BB737" s="170" t="n"/>
      <c r="BC737" s="171" t="n"/>
    </row>
    <row r="738" ht="15" customHeight="1" s="144">
      <c r="AC738" s="90" t="n"/>
      <c r="AL738" s="93" t="n"/>
      <c r="AM738" s="94" t="n"/>
      <c r="AN738" s="95" t="n"/>
      <c r="AO738" s="96" t="n"/>
      <c r="AV738" s="107" t="n"/>
      <c r="AW738" s="100" t="n"/>
      <c r="AX738" s="170" t="n"/>
      <c r="AY738" s="170" t="n"/>
      <c r="AZ738" s="170" t="n"/>
      <c r="BA738" s="170" t="n"/>
      <c r="BB738" s="170" t="n"/>
      <c r="BC738" s="171" t="n"/>
    </row>
    <row r="739" ht="15" customHeight="1" s="144">
      <c r="AL739" s="93" t="n"/>
      <c r="AM739" s="94" t="n"/>
      <c r="AN739" s="95" t="n"/>
      <c r="AO739" s="96" t="n"/>
      <c r="AV739" s="107" t="n"/>
      <c r="AW739" s="100" t="n"/>
      <c r="AX739" s="170" t="n"/>
      <c r="AY739" s="170" t="n"/>
      <c r="AZ739" s="170" t="n"/>
      <c r="BA739" s="170" t="n"/>
      <c r="BB739" s="170" t="n"/>
      <c r="BC739" s="171" t="n"/>
    </row>
    <row r="740" ht="15" customHeight="1" s="144">
      <c r="AL740" s="93" t="n"/>
      <c r="AM740" s="94" t="n"/>
      <c r="AN740" s="95" t="n"/>
      <c r="AO740" s="96" t="n"/>
      <c r="AV740" s="107" t="n"/>
      <c r="AW740" s="100" t="n"/>
      <c r="AX740" s="170" t="n"/>
      <c r="AY740" s="170" t="n"/>
      <c r="AZ740" s="170" t="n"/>
      <c r="BA740" s="170" t="n"/>
      <c r="BB740" s="170" t="n"/>
      <c r="BC740" s="171" t="n"/>
    </row>
    <row r="741" ht="15" customHeight="1" s="144">
      <c r="AL741" s="93" t="n"/>
      <c r="AM741" s="94" t="n"/>
      <c r="AN741" s="95" t="n"/>
      <c r="AO741" s="96" t="n"/>
      <c r="AV741" s="107" t="n"/>
      <c r="AW741" s="100" t="n"/>
      <c r="AX741" s="170" t="n"/>
      <c r="AY741" s="170" t="n"/>
      <c r="AZ741" s="170" t="n"/>
      <c r="BA741" s="170" t="n"/>
      <c r="BB741" s="170" t="n"/>
      <c r="BC741" s="171" t="n"/>
    </row>
    <row r="742" ht="15" customHeight="1" s="144">
      <c r="AL742" s="93" t="n"/>
      <c r="AM742" s="94" t="n"/>
      <c r="AN742" s="95" t="n"/>
      <c r="AO742" s="96" t="n"/>
      <c r="AV742" s="107" t="n"/>
      <c r="AW742" s="100" t="n"/>
      <c r="AX742" s="170" t="n"/>
      <c r="AY742" s="170" t="n"/>
      <c r="AZ742" s="170" t="n"/>
      <c r="BA742" s="170" t="n"/>
      <c r="BB742" s="170" t="n"/>
      <c r="BC742" s="171" t="n"/>
    </row>
    <row r="743" ht="15" customHeight="1" s="144">
      <c r="AL743" s="93" t="n"/>
      <c r="AM743" s="94" t="n"/>
      <c r="AN743" s="95" t="n"/>
      <c r="AO743" s="96" t="n"/>
      <c r="AV743" s="107" t="n"/>
      <c r="AW743" s="100" t="n"/>
      <c r="AX743" s="170" t="n"/>
      <c r="AY743" s="170" t="n"/>
      <c r="AZ743" s="170" t="n"/>
      <c r="BA743" s="170" t="n"/>
      <c r="BB743" s="170" t="n"/>
      <c r="BC743" s="171" t="n"/>
    </row>
    <row r="744" ht="15" customHeight="1" s="144">
      <c r="AL744" s="93" t="n"/>
      <c r="AM744" s="94" t="n"/>
      <c r="AN744" s="95" t="n"/>
      <c r="AO744" s="96" t="n"/>
      <c r="AV744" s="107" t="n"/>
      <c r="AW744" s="100" t="n"/>
      <c r="AX744" s="170" t="n"/>
      <c r="AY744" s="170" t="n"/>
      <c r="AZ744" s="170" t="n"/>
      <c r="BA744" s="170" t="n"/>
      <c r="BB744" s="170" t="n"/>
      <c r="BC744" s="171" t="n"/>
    </row>
    <row r="745" ht="15" customHeight="1" s="144">
      <c r="AL745" s="93" t="n"/>
      <c r="AM745" s="94" t="n"/>
      <c r="AN745" s="95" t="n"/>
      <c r="AO745" s="96" t="n"/>
      <c r="AV745" s="107" t="n"/>
      <c r="AW745" s="100" t="n"/>
      <c r="AX745" s="170" t="n"/>
      <c r="AY745" s="170" t="n"/>
      <c r="AZ745" s="170" t="n"/>
      <c r="BA745" s="170" t="n"/>
      <c r="BB745" s="170" t="n"/>
      <c r="BC745" s="171" t="n"/>
    </row>
    <row r="746" ht="15" customHeight="1" s="144">
      <c r="AL746" s="93" t="n"/>
      <c r="AM746" s="94" t="n"/>
      <c r="AN746" s="95" t="n"/>
      <c r="AO746" s="96" t="n"/>
      <c r="AV746" s="107" t="n"/>
      <c r="AW746" s="100" t="n"/>
      <c r="AX746" s="170" t="n"/>
      <c r="AY746" s="170" t="n"/>
      <c r="AZ746" s="170" t="n"/>
      <c r="BA746" s="170" t="n"/>
      <c r="BB746" s="170" t="n"/>
      <c r="BC746" s="171" t="n"/>
    </row>
    <row r="747" ht="15" customHeight="1" s="144">
      <c r="AL747" s="93" t="n"/>
      <c r="AM747" s="94" t="n"/>
      <c r="AN747" s="95" t="n"/>
      <c r="AO747" s="96" t="n"/>
      <c r="AV747" s="107" t="n"/>
      <c r="AW747" s="100" t="n"/>
      <c r="AX747" s="170" t="n"/>
      <c r="AY747" s="170" t="n"/>
      <c r="AZ747" s="170" t="n"/>
      <c r="BA747" s="170" t="n"/>
      <c r="BB747" s="170" t="n"/>
      <c r="BC747" s="171" t="n"/>
    </row>
    <row r="748" ht="15" customHeight="1" s="144">
      <c r="AL748" s="93" t="n"/>
      <c r="AM748" s="94" t="n"/>
      <c r="AN748" s="95" t="n"/>
      <c r="AO748" s="96" t="n"/>
      <c r="AV748" s="107" t="n"/>
      <c r="AW748" s="100" t="n"/>
      <c r="AX748" s="170" t="n"/>
      <c r="AY748" s="170" t="n"/>
      <c r="AZ748" s="170" t="n"/>
      <c r="BA748" s="170" t="n"/>
      <c r="BB748" s="170" t="n"/>
      <c r="BC748" s="171" t="n"/>
    </row>
    <row r="749" ht="15" customHeight="1" s="144">
      <c r="AL749" s="93" t="n"/>
      <c r="AM749" s="94" t="n"/>
      <c r="AN749" s="95" t="n"/>
      <c r="AO749" s="96" t="n"/>
      <c r="AV749" s="107" t="n"/>
      <c r="AW749" s="100" t="n"/>
      <c r="AX749" s="170" t="n"/>
      <c r="AY749" s="170" t="n"/>
      <c r="AZ749" s="170" t="n"/>
      <c r="BA749" s="170" t="n"/>
      <c r="BB749" s="170" t="n"/>
      <c r="BC749" s="171" t="n"/>
    </row>
    <row r="750" ht="15" customHeight="1" s="144">
      <c r="AL750" s="93" t="n"/>
      <c r="AM750" s="94" t="n"/>
      <c r="AN750" s="95" t="n"/>
      <c r="AO750" s="96" t="n"/>
      <c r="AV750" s="107" t="n"/>
      <c r="AW750" s="100" t="n"/>
      <c r="AX750" s="170" t="n"/>
      <c r="AY750" s="170" t="n"/>
      <c r="AZ750" s="170" t="n"/>
      <c r="BA750" s="170" t="n"/>
      <c r="BB750" s="170" t="n"/>
      <c r="BC750" s="171" t="n"/>
    </row>
    <row r="751" ht="15" customHeight="1" s="144">
      <c r="AL751" s="93" t="n"/>
      <c r="AM751" s="94" t="n"/>
      <c r="AN751" s="95" t="n"/>
      <c r="AO751" s="96" t="n"/>
      <c r="AV751" s="107" t="n"/>
      <c r="AW751" s="100" t="n"/>
      <c r="AX751" s="170" t="n"/>
      <c r="AY751" s="170" t="n"/>
      <c r="AZ751" s="170" t="n"/>
      <c r="BA751" s="170" t="n"/>
      <c r="BB751" s="170" t="n"/>
      <c r="BC751" s="171" t="n"/>
    </row>
    <row r="752" ht="15" customHeight="1" s="144">
      <c r="AL752" s="93" t="n"/>
      <c r="AM752" s="94" t="n"/>
      <c r="AN752" s="95" t="n"/>
      <c r="AO752" s="96" t="n"/>
      <c r="AV752" s="107" t="n"/>
      <c r="AW752" s="100" t="n"/>
      <c r="AX752" s="170" t="n"/>
      <c r="AY752" s="170" t="n"/>
      <c r="AZ752" s="170" t="n"/>
      <c r="BA752" s="170" t="n"/>
      <c r="BB752" s="170" t="n"/>
      <c r="BC752" s="171" t="n"/>
    </row>
    <row r="753" ht="15" customHeight="1" s="144">
      <c r="AL753" s="93" t="n"/>
      <c r="AM753" s="94" t="n"/>
      <c r="AN753" s="95" t="n"/>
      <c r="AO753" s="96" t="n"/>
      <c r="AV753" s="107" t="n"/>
      <c r="AW753" s="100" t="n"/>
      <c r="AX753" s="170" t="n"/>
      <c r="AY753" s="170" t="n"/>
      <c r="AZ753" s="170" t="n"/>
      <c r="BA753" s="170" t="n"/>
      <c r="BB753" s="170" t="n"/>
      <c r="BC753" s="171" t="n"/>
    </row>
    <row r="754" ht="15" customHeight="1" s="144">
      <c r="AL754" s="93" t="n"/>
      <c r="AM754" s="94" t="n"/>
      <c r="AN754" s="95" t="n"/>
      <c r="AO754" s="96" t="n"/>
      <c r="AV754" s="107" t="n"/>
      <c r="AW754" s="100" t="n"/>
      <c r="AX754" s="170" t="n"/>
      <c r="AY754" s="170" t="n"/>
      <c r="AZ754" s="170" t="n"/>
      <c r="BA754" s="170" t="n"/>
      <c r="BB754" s="170" t="n"/>
      <c r="BC754" s="171" t="n"/>
    </row>
    <row r="755" ht="15" customHeight="1" s="144">
      <c r="AL755" s="93" t="n"/>
      <c r="AM755" s="94" t="n"/>
      <c r="AN755" s="95" t="n"/>
      <c r="AO755" s="96" t="n"/>
      <c r="AV755" s="107" t="n"/>
      <c r="AW755" s="100" t="n"/>
      <c r="AX755" s="170" t="n"/>
      <c r="AY755" s="170" t="n"/>
      <c r="AZ755" s="170" t="n"/>
      <c r="BA755" s="170" t="n"/>
      <c r="BB755" s="170" t="n"/>
      <c r="BC755" s="171" t="n"/>
    </row>
    <row r="756" ht="15" customHeight="1" s="144">
      <c r="AL756" s="93" t="n"/>
      <c r="AM756" s="94" t="n"/>
      <c r="AN756" s="95" t="n"/>
      <c r="AO756" s="96" t="n"/>
      <c r="AV756" s="107" t="n"/>
      <c r="AW756" s="100" t="n"/>
      <c r="AX756" s="170" t="n"/>
      <c r="AY756" s="170" t="n"/>
      <c r="AZ756" s="170" t="n"/>
      <c r="BA756" s="170" t="n"/>
      <c r="BB756" s="170" t="n"/>
      <c r="BC756" s="171" t="n"/>
    </row>
    <row r="757" ht="15" customHeight="1" s="144">
      <c r="AL757" s="93" t="n"/>
      <c r="AM757" s="94" t="n"/>
      <c r="AN757" s="95" t="n"/>
      <c r="AO757" s="96" t="n"/>
      <c r="AV757" s="107" t="n"/>
      <c r="AW757" s="100" t="n"/>
      <c r="AX757" s="170" t="n"/>
      <c r="AY757" s="170" t="n"/>
      <c r="AZ757" s="170" t="n"/>
      <c r="BA757" s="170" t="n"/>
      <c r="BB757" s="170" t="n"/>
      <c r="BC757" s="171" t="n"/>
    </row>
    <row r="758" ht="15" customHeight="1" s="144">
      <c r="AL758" s="93" t="n"/>
      <c r="AM758" s="94" t="n"/>
      <c r="AN758" s="95" t="n"/>
      <c r="AO758" s="96" t="n"/>
      <c r="AV758" s="107" t="n"/>
      <c r="AW758" s="100" t="n"/>
      <c r="AX758" s="170" t="n"/>
      <c r="AY758" s="170" t="n"/>
      <c r="AZ758" s="170" t="n"/>
      <c r="BA758" s="170" t="n"/>
      <c r="BB758" s="170" t="n"/>
      <c r="BC758" s="171" t="n"/>
    </row>
    <row r="759" ht="15" customHeight="1" s="144">
      <c r="AL759" s="93" t="n"/>
      <c r="AM759" s="94" t="n"/>
      <c r="AN759" s="95" t="n"/>
      <c r="AO759" s="96" t="n"/>
      <c r="AV759" s="107" t="n"/>
      <c r="AW759" s="100" t="n"/>
      <c r="AX759" s="170" t="n"/>
      <c r="AY759" s="170" t="n"/>
      <c r="AZ759" s="170" t="n"/>
      <c r="BA759" s="170" t="n"/>
      <c r="BB759" s="170" t="n"/>
      <c r="BC759" s="171" t="n"/>
    </row>
    <row r="760" ht="15" customHeight="1" s="144">
      <c r="AL760" s="93" t="n"/>
      <c r="AM760" s="94" t="n"/>
      <c r="AN760" s="95" t="n"/>
      <c r="AO760" s="96" t="n"/>
      <c r="AV760" s="107" t="n"/>
      <c r="AW760" s="100" t="n"/>
      <c r="AX760" s="170" t="n"/>
      <c r="AY760" s="170" t="n"/>
      <c r="AZ760" s="170" t="n"/>
      <c r="BA760" s="170" t="n"/>
      <c r="BB760" s="170" t="n"/>
      <c r="BC760" s="171" t="n"/>
    </row>
    <row r="761" ht="15" customHeight="1" s="144">
      <c r="AL761" s="93" t="n"/>
      <c r="AM761" s="94" t="n"/>
      <c r="AN761" s="95" t="n"/>
      <c r="AO761" s="96" t="n"/>
      <c r="AV761" s="107" t="n"/>
      <c r="AW761" s="100" t="n"/>
      <c r="AX761" s="170" t="n"/>
      <c r="AY761" s="170" t="n"/>
      <c r="AZ761" s="170" t="n"/>
      <c r="BA761" s="170" t="n"/>
      <c r="BB761" s="170" t="n"/>
      <c r="BC761" s="171" t="n"/>
    </row>
    <row r="762" ht="15" customHeight="1" s="144">
      <c r="AL762" s="93" t="n"/>
      <c r="AM762" s="94" t="n"/>
      <c r="AN762" s="95" t="n"/>
      <c r="AO762" s="96" t="n"/>
      <c r="AV762" s="107" t="n"/>
      <c r="AW762" s="100" t="n"/>
      <c r="AX762" s="170" t="n"/>
      <c r="AY762" s="170" t="n"/>
      <c r="AZ762" s="170" t="n"/>
      <c r="BA762" s="170" t="n"/>
      <c r="BB762" s="170" t="n"/>
      <c r="BC762" s="171" t="n"/>
    </row>
    <row r="763" ht="15" customHeight="1" s="144">
      <c r="AL763" s="93" t="n"/>
      <c r="AM763" s="94" t="n"/>
      <c r="AN763" s="95" t="n"/>
      <c r="AO763" s="96" t="n"/>
      <c r="AV763" s="107" t="n"/>
      <c r="AW763" s="100" t="n"/>
      <c r="AX763" s="170" t="n"/>
      <c r="AY763" s="170" t="n"/>
      <c r="AZ763" s="170" t="n"/>
      <c r="BA763" s="170" t="n"/>
      <c r="BB763" s="170" t="n"/>
      <c r="BC763" s="171" t="n"/>
    </row>
    <row r="764" ht="15" customHeight="1" s="144">
      <c r="AL764" s="93" t="n"/>
      <c r="AM764" s="94" t="n"/>
      <c r="AN764" s="95" t="n"/>
      <c r="AO764" s="96" t="n"/>
      <c r="AV764" s="107" t="n"/>
      <c r="AW764" s="100" t="n"/>
      <c r="AX764" s="170" t="n"/>
      <c r="AY764" s="170" t="n"/>
      <c r="AZ764" s="170" t="n"/>
      <c r="BA764" s="170" t="n"/>
      <c r="BB764" s="170" t="n"/>
      <c r="BC764" s="171" t="n"/>
    </row>
    <row r="765" ht="15" customHeight="1" s="144">
      <c r="AL765" s="93" t="n"/>
      <c r="AM765" s="94" t="n"/>
      <c r="AN765" s="95" t="n"/>
      <c r="AO765" s="96" t="n"/>
      <c r="AV765" s="107" t="n"/>
      <c r="AW765" s="100" t="n"/>
      <c r="AX765" s="170" t="n"/>
      <c r="AY765" s="170" t="n"/>
      <c r="AZ765" s="170" t="n"/>
      <c r="BA765" s="170" t="n"/>
      <c r="BB765" s="170" t="n"/>
      <c r="BC765" s="171" t="n"/>
    </row>
    <row r="766" ht="15" customHeight="1" s="144">
      <c r="AL766" s="93" t="n"/>
      <c r="AM766" s="94" t="n"/>
      <c r="AN766" s="95" t="n"/>
      <c r="AO766" s="96" t="n"/>
      <c r="AV766" s="107" t="n"/>
      <c r="AW766" s="100" t="n"/>
      <c r="AX766" s="170" t="n"/>
      <c r="AY766" s="170" t="n"/>
      <c r="AZ766" s="170" t="n"/>
      <c r="BA766" s="170" t="n"/>
      <c r="BB766" s="170" t="n"/>
      <c r="BC766" s="171" t="n"/>
    </row>
    <row r="767" ht="15" customHeight="1" s="144">
      <c r="AL767" s="93" t="n"/>
      <c r="AM767" s="94" t="n"/>
      <c r="AN767" s="95" t="n"/>
      <c r="AO767" s="96" t="n"/>
      <c r="AV767" s="107" t="n"/>
      <c r="AW767" s="100" t="n"/>
      <c r="AX767" s="170" t="n"/>
      <c r="AY767" s="170" t="n"/>
      <c r="AZ767" s="170" t="n"/>
      <c r="BA767" s="170" t="n"/>
      <c r="BB767" s="170" t="n"/>
      <c r="BC767" s="171" t="n"/>
    </row>
    <row r="768" ht="15" customHeight="1" s="144">
      <c r="AL768" s="93" t="n"/>
      <c r="AM768" s="94" t="n"/>
      <c r="AN768" s="95" t="n"/>
      <c r="AO768" s="96" t="n"/>
      <c r="AV768" s="107" t="n"/>
      <c r="AW768" s="100" t="n"/>
      <c r="AX768" s="170" t="n"/>
      <c r="AY768" s="170" t="n"/>
      <c r="AZ768" s="170" t="n"/>
      <c r="BA768" s="170" t="n"/>
      <c r="BB768" s="170" t="n"/>
      <c r="BC768" s="171" t="n"/>
    </row>
    <row r="769" ht="15" customHeight="1" s="144">
      <c r="AL769" s="93" t="n"/>
      <c r="AM769" s="94" t="n"/>
      <c r="AN769" s="95" t="n"/>
      <c r="AO769" s="96" t="n"/>
      <c r="AV769" s="107" t="n"/>
      <c r="AW769" s="100" t="n"/>
      <c r="AX769" s="170" t="n"/>
      <c r="AY769" s="170" t="n"/>
      <c r="AZ769" s="170" t="n"/>
      <c r="BA769" s="170" t="n"/>
      <c r="BB769" s="170" t="n"/>
      <c r="BC769" s="171" t="n"/>
    </row>
    <row r="770" ht="15" customHeight="1" s="144">
      <c r="AL770" s="93" t="n"/>
      <c r="AM770" s="94" t="n"/>
      <c r="AN770" s="95" t="n"/>
      <c r="AO770" s="96" t="n"/>
      <c r="AV770" s="107" t="n"/>
      <c r="AW770" s="100" t="n"/>
      <c r="AX770" s="170" t="n"/>
      <c r="AY770" s="170" t="n"/>
      <c r="AZ770" s="170" t="n"/>
      <c r="BA770" s="170" t="n"/>
      <c r="BB770" s="170" t="n"/>
      <c r="BC770" s="171" t="n"/>
    </row>
    <row r="771" ht="15" customHeight="1" s="144">
      <c r="AL771" s="93" t="n"/>
      <c r="AM771" s="94" t="n"/>
      <c r="AN771" s="95" t="n"/>
      <c r="AO771" s="96" t="n"/>
      <c r="AV771" s="107" t="n"/>
      <c r="AW771" s="100" t="n"/>
      <c r="AX771" s="170" t="n"/>
      <c r="AY771" s="170" t="n"/>
      <c r="AZ771" s="170" t="n"/>
      <c r="BA771" s="170" t="n"/>
      <c r="BB771" s="170" t="n"/>
      <c r="BC771" s="171" t="n"/>
    </row>
    <row r="772" ht="15" customHeight="1" s="144">
      <c r="AL772" s="93" t="n"/>
      <c r="AM772" s="94" t="n"/>
      <c r="AN772" s="95" t="n"/>
      <c r="AO772" s="96" t="n"/>
      <c r="AV772" s="107" t="n"/>
      <c r="AW772" s="100" t="n"/>
      <c r="AX772" s="170" t="n"/>
      <c r="AY772" s="170" t="n"/>
      <c r="AZ772" s="170" t="n"/>
      <c r="BA772" s="170" t="n"/>
      <c r="BB772" s="170" t="n"/>
      <c r="BC772" s="171" t="n"/>
    </row>
    <row r="773" ht="15" customHeight="1" s="144">
      <c r="AL773" s="93" t="n"/>
      <c r="AM773" s="94" t="n"/>
      <c r="AN773" s="95" t="n"/>
      <c r="AO773" s="96" t="n"/>
      <c r="AV773" s="107" t="n"/>
      <c r="AW773" s="100" t="n"/>
      <c r="AX773" s="170" t="n"/>
      <c r="AY773" s="170" t="n"/>
      <c r="AZ773" s="170" t="n"/>
      <c r="BA773" s="170" t="n"/>
      <c r="BB773" s="170" t="n"/>
      <c r="BC773" s="171" t="n"/>
    </row>
    <row r="774" ht="15" customHeight="1" s="144">
      <c r="AL774" s="93" t="n"/>
      <c r="AM774" s="94" t="n"/>
      <c r="AN774" s="95" t="n"/>
      <c r="AO774" s="96" t="n"/>
      <c r="AV774" s="107" t="n"/>
      <c r="AW774" s="100" t="n"/>
      <c r="AX774" s="170" t="n"/>
      <c r="AY774" s="170" t="n"/>
      <c r="AZ774" s="170" t="n"/>
      <c r="BA774" s="170" t="n"/>
      <c r="BB774" s="170" t="n"/>
      <c r="BC774" s="171" t="n"/>
    </row>
    <row r="775" ht="15" customHeight="1" s="144">
      <c r="AL775" s="93" t="n"/>
      <c r="AM775" s="94" t="n"/>
      <c r="AN775" s="95" t="n"/>
      <c r="AO775" s="96" t="n"/>
      <c r="AV775" s="107" t="n"/>
      <c r="AW775" s="100" t="n"/>
      <c r="AX775" s="170" t="n"/>
      <c r="AY775" s="170" t="n"/>
      <c r="AZ775" s="170" t="n"/>
      <c r="BA775" s="170" t="n"/>
      <c r="BB775" s="170" t="n"/>
      <c r="BC775" s="171" t="n"/>
    </row>
    <row r="776" ht="15" customHeight="1" s="144">
      <c r="AL776" s="93" t="n"/>
      <c r="AM776" s="94" t="n"/>
      <c r="AN776" s="95" t="n"/>
      <c r="AO776" s="96" t="n"/>
      <c r="AV776" s="107" t="n"/>
      <c r="AW776" s="100" t="n"/>
      <c r="AX776" s="170" t="n"/>
      <c r="AY776" s="170" t="n"/>
      <c r="AZ776" s="170" t="n"/>
      <c r="BA776" s="170" t="n"/>
      <c r="BB776" s="170" t="n"/>
      <c r="BC776" s="171" t="n"/>
    </row>
    <row r="777" ht="15" customHeight="1" s="144">
      <c r="AL777" s="93" t="n"/>
      <c r="AM777" s="94" t="n"/>
      <c r="AN777" s="95" t="n"/>
      <c r="AO777" s="96" t="n"/>
      <c r="AV777" s="107" t="n"/>
      <c r="AW777" s="100" t="n"/>
      <c r="AX777" s="170" t="n"/>
      <c r="AY777" s="170" t="n"/>
      <c r="AZ777" s="170" t="n"/>
      <c r="BA777" s="170" t="n"/>
      <c r="BB777" s="170" t="n"/>
      <c r="BC777" s="171" t="n"/>
    </row>
    <row r="778" ht="15" customHeight="1" s="144">
      <c r="AL778" s="93" t="n"/>
      <c r="AM778" s="94" t="n"/>
      <c r="AN778" s="95" t="n"/>
      <c r="AO778" s="96" t="n"/>
      <c r="AV778" s="107" t="n"/>
      <c r="AW778" s="100" t="n"/>
      <c r="AX778" s="170" t="n"/>
      <c r="AY778" s="170" t="n"/>
      <c r="AZ778" s="170" t="n"/>
      <c r="BA778" s="170" t="n"/>
      <c r="BB778" s="170" t="n"/>
      <c r="BC778" s="171" t="n"/>
    </row>
    <row r="779" ht="15" customHeight="1" s="144">
      <c r="AL779" s="93" t="n"/>
      <c r="AM779" s="94" t="n"/>
      <c r="AN779" s="95" t="n"/>
      <c r="AO779" s="96" t="n"/>
      <c r="AV779" s="107" t="n"/>
      <c r="AW779" s="100" t="n"/>
      <c r="AX779" s="170" t="n"/>
      <c r="AY779" s="170" t="n"/>
      <c r="AZ779" s="170" t="n"/>
      <c r="BA779" s="170" t="n"/>
      <c r="BB779" s="170" t="n"/>
      <c r="BC779" s="171" t="n"/>
    </row>
    <row r="780" ht="15" customHeight="1" s="144">
      <c r="AL780" s="93" t="n"/>
      <c r="AM780" s="94" t="n"/>
      <c r="AN780" s="95" t="n"/>
      <c r="AO780" s="96" t="n"/>
      <c r="AV780" s="107" t="n"/>
      <c r="AW780" s="100" t="n"/>
      <c r="AX780" s="170" t="n"/>
      <c r="AY780" s="170" t="n"/>
      <c r="AZ780" s="170" t="n"/>
      <c r="BA780" s="170" t="n"/>
      <c r="BB780" s="170" t="n"/>
      <c r="BC780" s="171" t="n"/>
    </row>
    <row r="781" ht="15" customHeight="1" s="144">
      <c r="AL781" s="93" t="n"/>
      <c r="AM781" s="94" t="n"/>
      <c r="AN781" s="95" t="n"/>
      <c r="AO781" s="96" t="n"/>
      <c r="AV781" s="107" t="n"/>
      <c r="AW781" s="100" t="n"/>
      <c r="AX781" s="170" t="n"/>
      <c r="AY781" s="170" t="n"/>
      <c r="AZ781" s="170" t="n"/>
      <c r="BA781" s="170" t="n"/>
      <c r="BB781" s="170" t="n"/>
      <c r="BC781" s="171" t="n"/>
    </row>
    <row r="782" ht="15" customHeight="1" s="144">
      <c r="AL782" s="93" t="n"/>
      <c r="AM782" s="94" t="n"/>
      <c r="AN782" s="95" t="n"/>
      <c r="AO782" s="96" t="n"/>
      <c r="AV782" s="107" t="n"/>
      <c r="AW782" s="100" t="n"/>
      <c r="AX782" s="170" t="n"/>
      <c r="AY782" s="170" t="n"/>
      <c r="AZ782" s="170" t="n"/>
      <c r="BA782" s="170" t="n"/>
      <c r="BB782" s="170" t="n"/>
      <c r="BC782" s="171" t="n"/>
    </row>
    <row r="783" ht="15" customHeight="1" s="144">
      <c r="AL783" s="93" t="n"/>
      <c r="AM783" s="94" t="n"/>
      <c r="AN783" s="95" t="n"/>
      <c r="AO783" s="96" t="n"/>
      <c r="AV783" s="107" t="n"/>
      <c r="AW783" s="100" t="n"/>
      <c r="AX783" s="170" t="n"/>
      <c r="AY783" s="170" t="n"/>
      <c r="AZ783" s="170" t="n"/>
      <c r="BA783" s="170" t="n"/>
      <c r="BB783" s="170" t="n"/>
      <c r="BC783" s="171" t="n"/>
    </row>
    <row r="784" ht="15" customHeight="1" s="144">
      <c r="AL784" s="93" t="n"/>
      <c r="AM784" s="94" t="n"/>
      <c r="AN784" s="95" t="n"/>
      <c r="AO784" s="96" t="n"/>
      <c r="AV784" s="107" t="n"/>
      <c r="AW784" s="100" t="n"/>
      <c r="AX784" s="170" t="n"/>
      <c r="AY784" s="170" t="n"/>
      <c r="AZ784" s="170" t="n"/>
      <c r="BA784" s="170" t="n"/>
      <c r="BB784" s="170" t="n"/>
      <c r="BC784" s="171" t="n"/>
    </row>
    <row r="785" ht="15" customHeight="1" s="144">
      <c r="AL785" s="93" t="n"/>
      <c r="AM785" s="94" t="n"/>
      <c r="AN785" s="95" t="n"/>
      <c r="AO785" s="96" t="n"/>
      <c r="AV785" s="107" t="n"/>
      <c r="AW785" s="100" t="n"/>
      <c r="AX785" s="170" t="n"/>
      <c r="AY785" s="170" t="n"/>
      <c r="AZ785" s="170" t="n"/>
      <c r="BA785" s="170" t="n"/>
      <c r="BB785" s="170" t="n"/>
      <c r="BC785" s="171" t="n"/>
    </row>
    <row r="786" ht="15" customHeight="1" s="144">
      <c r="AL786" s="93" t="n"/>
      <c r="AM786" s="94" t="n"/>
      <c r="AN786" s="95" t="n"/>
      <c r="AO786" s="96" t="n"/>
      <c r="AV786" s="107" t="n"/>
      <c r="AW786" s="100" t="n"/>
      <c r="AX786" s="170" t="n"/>
      <c r="AY786" s="170" t="n"/>
      <c r="AZ786" s="170" t="n"/>
      <c r="BA786" s="170" t="n"/>
      <c r="BB786" s="170" t="n"/>
      <c r="BC786" s="171" t="n"/>
    </row>
    <row r="787" ht="15" customHeight="1" s="144">
      <c r="AL787" s="93" t="n"/>
      <c r="AM787" s="94" t="n"/>
      <c r="AN787" s="95" t="n"/>
      <c r="AO787" s="96" t="n"/>
      <c r="AV787" s="107" t="n"/>
      <c r="AW787" s="100" t="n"/>
      <c r="AX787" s="170" t="n"/>
      <c r="AY787" s="170" t="n"/>
      <c r="AZ787" s="170" t="n"/>
      <c r="BA787" s="170" t="n"/>
      <c r="BB787" s="170" t="n"/>
      <c r="BC787" s="171" t="n"/>
    </row>
    <row r="788" ht="15" customHeight="1" s="144">
      <c r="AL788" s="93" t="n"/>
      <c r="AM788" s="94" t="n"/>
      <c r="AN788" s="95" t="n"/>
      <c r="AO788" s="96" t="n"/>
      <c r="AV788" s="107" t="n"/>
      <c r="AW788" s="100" t="n"/>
      <c r="AX788" s="170" t="n"/>
      <c r="AY788" s="170" t="n"/>
      <c r="AZ788" s="170" t="n"/>
      <c r="BA788" s="170" t="n"/>
      <c r="BB788" s="170" t="n"/>
      <c r="BC788" s="171" t="n"/>
    </row>
    <row r="789" ht="15" customHeight="1" s="144">
      <c r="AL789" s="93" t="n"/>
      <c r="AM789" s="94" t="n"/>
      <c r="AN789" s="95" t="n"/>
      <c r="AO789" s="96" t="n"/>
      <c r="AV789" s="107" t="n"/>
      <c r="AW789" s="100" t="n"/>
      <c r="AX789" s="170" t="n"/>
      <c r="AY789" s="170" t="n"/>
      <c r="AZ789" s="170" t="n"/>
      <c r="BA789" s="170" t="n"/>
      <c r="BB789" s="170" t="n"/>
      <c r="BC789" s="171" t="n"/>
    </row>
    <row r="790" ht="15" customHeight="1" s="144">
      <c r="AL790" s="93" t="n"/>
      <c r="AM790" s="94" t="n"/>
      <c r="AN790" s="95" t="n"/>
      <c r="AO790" s="96" t="n"/>
      <c r="AV790" s="107" t="n"/>
      <c r="AW790" s="100" t="n"/>
      <c r="AX790" s="170" t="n"/>
      <c r="AY790" s="170" t="n"/>
      <c r="AZ790" s="170" t="n"/>
      <c r="BA790" s="170" t="n"/>
      <c r="BB790" s="170" t="n"/>
      <c r="BC790" s="171" t="n"/>
    </row>
    <row r="791" ht="15" customHeight="1" s="144">
      <c r="AL791" s="93" t="n"/>
      <c r="AM791" s="94" t="n"/>
      <c r="AN791" s="95" t="n"/>
      <c r="AO791" s="96" t="n"/>
      <c r="AV791" s="107" t="n"/>
      <c r="AW791" s="100" t="n"/>
      <c r="AX791" s="170" t="n"/>
      <c r="AY791" s="170" t="n"/>
      <c r="AZ791" s="170" t="n"/>
      <c r="BA791" s="170" t="n"/>
      <c r="BB791" s="170" t="n"/>
      <c r="BC791" s="171" t="n"/>
    </row>
    <row r="792" ht="15" customHeight="1" s="144">
      <c r="AL792" s="93" t="n"/>
      <c r="AM792" s="94" t="n"/>
      <c r="AN792" s="95" t="n"/>
      <c r="AO792" s="96" t="n"/>
      <c r="AV792" s="107" t="n"/>
      <c r="AW792" s="100" t="n"/>
      <c r="AX792" s="170" t="n"/>
      <c r="AY792" s="170" t="n"/>
      <c r="AZ792" s="170" t="n"/>
      <c r="BA792" s="170" t="n"/>
      <c r="BB792" s="170" t="n"/>
      <c r="BC792" s="171" t="n"/>
    </row>
    <row r="793" ht="15" customHeight="1" s="144">
      <c r="AL793" s="93" t="n"/>
      <c r="AM793" s="94" t="n"/>
      <c r="AN793" s="95" t="n"/>
      <c r="AO793" s="96" t="n"/>
      <c r="AV793" s="107" t="n"/>
      <c r="AW793" s="100" t="n"/>
      <c r="AX793" s="170" t="n"/>
      <c r="AY793" s="170" t="n"/>
      <c r="AZ793" s="170" t="n"/>
      <c r="BA793" s="170" t="n"/>
      <c r="BB793" s="170" t="n"/>
      <c r="BC793" s="171" t="n"/>
    </row>
    <row r="794" ht="15" customHeight="1" s="144">
      <c r="AL794" s="93" t="n"/>
      <c r="AM794" s="94" t="n"/>
      <c r="AN794" s="95" t="n"/>
      <c r="AO794" s="96" t="n"/>
      <c r="AV794" s="107" t="n"/>
      <c r="AW794" s="100" t="n"/>
      <c r="AX794" s="170" t="n"/>
      <c r="AY794" s="170" t="n"/>
      <c r="AZ794" s="170" t="n"/>
      <c r="BA794" s="170" t="n"/>
      <c r="BB794" s="170" t="n"/>
      <c r="BC794" s="171" t="n"/>
    </row>
    <row r="795" ht="15" customHeight="1" s="144">
      <c r="AL795" s="93" t="n"/>
      <c r="AM795" s="94" t="n"/>
      <c r="AN795" s="95" t="n"/>
      <c r="AO795" s="96" t="n"/>
      <c r="AV795" s="107" t="n"/>
      <c r="AW795" s="100" t="n"/>
      <c r="AX795" s="170" t="n"/>
      <c r="AY795" s="170" t="n"/>
      <c r="AZ795" s="170" t="n"/>
      <c r="BA795" s="170" t="n"/>
      <c r="BB795" s="170" t="n"/>
      <c r="BC795" s="171" t="n"/>
    </row>
    <row r="796" ht="15" customHeight="1" s="144">
      <c r="AL796" s="93" t="n"/>
      <c r="AM796" s="94" t="n"/>
      <c r="AN796" s="95" t="n"/>
      <c r="AO796" s="96" t="n"/>
      <c r="AV796" s="107" t="n"/>
      <c r="AW796" s="100" t="n"/>
      <c r="AX796" s="170" t="n"/>
      <c r="AY796" s="170" t="n"/>
      <c r="AZ796" s="170" t="n"/>
      <c r="BA796" s="170" t="n"/>
      <c r="BB796" s="170" t="n"/>
      <c r="BC796" s="171" t="n"/>
    </row>
    <row r="797" ht="15" customHeight="1" s="144">
      <c r="AL797" s="93" t="n"/>
      <c r="AM797" s="94" t="n"/>
      <c r="AN797" s="95" t="n"/>
      <c r="AO797" s="96" t="n"/>
      <c r="AV797" s="107" t="n"/>
      <c r="AW797" s="100" t="n"/>
      <c r="AX797" s="170" t="n"/>
      <c r="AY797" s="170" t="n"/>
      <c r="AZ797" s="170" t="n"/>
      <c r="BA797" s="170" t="n"/>
      <c r="BB797" s="170" t="n"/>
      <c r="BC797" s="171" t="n"/>
    </row>
    <row r="798" ht="15" customHeight="1" s="144">
      <c r="AL798" s="93" t="n"/>
      <c r="AM798" s="94" t="n"/>
      <c r="AN798" s="95" t="n"/>
      <c r="AO798" s="96" t="n"/>
      <c r="AV798" s="107" t="n"/>
      <c r="AW798" s="100" t="n"/>
      <c r="AX798" s="170" t="n"/>
      <c r="AY798" s="170" t="n"/>
      <c r="AZ798" s="170" t="n"/>
      <c r="BA798" s="170" t="n"/>
      <c r="BB798" s="170" t="n"/>
      <c r="BC798" s="171" t="n"/>
    </row>
    <row r="799" ht="15" customHeight="1" s="144">
      <c r="AL799" s="93" t="n"/>
      <c r="AM799" s="94" t="n"/>
      <c r="AN799" s="95" t="n"/>
      <c r="AO799" s="96" t="n"/>
      <c r="AV799" s="107" t="n"/>
      <c r="AW799" s="100" t="n"/>
      <c r="AX799" s="170" t="n"/>
      <c r="AY799" s="170" t="n"/>
      <c r="AZ799" s="170" t="n"/>
      <c r="BA799" s="170" t="n"/>
      <c r="BB799" s="170" t="n"/>
      <c r="BC799" s="171" t="n"/>
    </row>
    <row r="800" ht="15" customHeight="1" s="144">
      <c r="AL800" s="93" t="n"/>
      <c r="AM800" s="94" t="n"/>
      <c r="AN800" s="95" t="n"/>
      <c r="AO800" s="96" t="n"/>
      <c r="AV800" s="107" t="n"/>
      <c r="AW800" s="100" t="n"/>
      <c r="AX800" s="170" t="n"/>
      <c r="AY800" s="170" t="n"/>
      <c r="AZ800" s="170" t="n"/>
      <c r="BA800" s="170" t="n"/>
      <c r="BB800" s="170" t="n"/>
      <c r="BC800" s="171" t="n"/>
    </row>
    <row r="801" ht="15" customHeight="1" s="144">
      <c r="AL801" s="93" t="n"/>
      <c r="AM801" s="94" t="n"/>
      <c r="AN801" s="95" t="n"/>
      <c r="AO801" s="96" t="n"/>
      <c r="AV801" s="107" t="n"/>
      <c r="AW801" s="100" t="n"/>
      <c r="AX801" s="170" t="n"/>
      <c r="AY801" s="170" t="n"/>
      <c r="AZ801" s="170" t="n"/>
      <c r="BA801" s="170" t="n"/>
      <c r="BB801" s="170" t="n"/>
      <c r="BC801" s="171" t="n"/>
    </row>
    <row r="802" ht="15" customHeight="1" s="144">
      <c r="AL802" s="93" t="n"/>
      <c r="AM802" s="94" t="n"/>
      <c r="AN802" s="95" t="n"/>
      <c r="AO802" s="96" t="n"/>
      <c r="AV802" s="107" t="n"/>
      <c r="AW802" s="100" t="n"/>
      <c r="AX802" s="170" t="n"/>
      <c r="AY802" s="170" t="n"/>
      <c r="AZ802" s="170" t="n"/>
      <c r="BA802" s="170" t="n"/>
      <c r="BB802" s="170" t="n"/>
      <c r="BC802" s="171" t="n"/>
    </row>
    <row r="803" ht="15" customHeight="1" s="144">
      <c r="AL803" s="93" t="n"/>
      <c r="AM803" s="94" t="n"/>
      <c r="AN803" s="95" t="n"/>
      <c r="AO803" s="96" t="n"/>
      <c r="AV803" s="107" t="n"/>
      <c r="AW803" s="100" t="n"/>
      <c r="AX803" s="170" t="n"/>
      <c r="AY803" s="170" t="n"/>
      <c r="AZ803" s="170" t="n"/>
      <c r="BA803" s="170" t="n"/>
      <c r="BB803" s="170" t="n"/>
      <c r="BC803" s="171" t="n"/>
    </row>
    <row r="804" ht="15" customHeight="1" s="144">
      <c r="AC804" s="108" t="n"/>
      <c r="AL804" s="93" t="n"/>
      <c r="AM804" s="94" t="n"/>
      <c r="AN804" s="95" t="n"/>
      <c r="AO804" s="96" t="n"/>
      <c r="AV804" s="107" t="n"/>
      <c r="AW804" s="100" t="n"/>
      <c r="AX804" s="170" t="n"/>
      <c r="AY804" s="170" t="n"/>
      <c r="AZ804" s="170" t="n"/>
      <c r="BA804" s="170" t="n"/>
      <c r="BB804" s="170" t="n"/>
      <c r="BC804" s="171" t="n"/>
    </row>
    <row r="805" ht="15" customHeight="1" s="144">
      <c r="AL805" s="93" t="n"/>
      <c r="AM805" s="94" t="n"/>
      <c r="AN805" s="95" t="n"/>
      <c r="AO805" s="96" t="n"/>
    </row>
    <row r="806" ht="15" customHeight="1" s="144">
      <c r="AL806" s="93" t="n"/>
      <c r="AM806" s="94" t="n"/>
      <c r="AN806" s="95" t="n"/>
      <c r="AO806" s="96" t="n"/>
    </row>
    <row r="807" ht="15" customHeight="1" s="144">
      <c r="AL807" s="93" t="n"/>
      <c r="AM807" s="94" t="n"/>
      <c r="AN807" s="95" t="n"/>
      <c r="AO807" s="96" t="n"/>
    </row>
    <row r="808" ht="15" customHeight="1" s="144">
      <c r="AL808" s="93" t="n"/>
      <c r="AM808" s="94" t="n"/>
      <c r="AN808" s="95" t="n"/>
      <c r="AO808" s="96" t="n"/>
    </row>
    <row r="809" ht="15" customHeight="1" s="144">
      <c r="AL809" s="93" t="n"/>
      <c r="AM809" s="94" t="n"/>
      <c r="AN809" s="95" t="n"/>
      <c r="AO809" s="96" t="n"/>
    </row>
    <row r="810" ht="15" customHeight="1" s="144">
      <c r="AL810" s="93" t="n"/>
      <c r="AM810" s="94" t="n"/>
      <c r="AN810" s="95" t="n"/>
      <c r="AO810" s="96" t="n"/>
    </row>
    <row r="811" ht="15" customHeight="1" s="144">
      <c r="AL811" s="93" t="n"/>
      <c r="AM811" s="94" t="n"/>
      <c r="AN811" s="95" t="n"/>
      <c r="AO811" s="96" t="n"/>
    </row>
    <row r="812" ht="15" customHeight="1" s="144">
      <c r="AL812" s="93" t="n"/>
      <c r="AM812" s="94" t="n"/>
      <c r="AN812" s="95" t="n"/>
      <c r="AO812" s="96" t="n"/>
    </row>
    <row r="813" ht="15" customHeight="1" s="144">
      <c r="AL813" s="93" t="n"/>
      <c r="AM813" s="94" t="n"/>
      <c r="AN813" s="95" t="n"/>
      <c r="AO813" s="96" t="n"/>
    </row>
    <row r="814" ht="15" customHeight="1" s="144">
      <c r="AL814" s="93" t="n"/>
      <c r="AM814" s="94" t="n"/>
      <c r="AN814" s="95" t="n"/>
      <c r="AO814" s="96" t="n"/>
    </row>
    <row r="815" ht="15" customHeight="1" s="144">
      <c r="AL815" s="93" t="n"/>
      <c r="AM815" s="94" t="n"/>
      <c r="AN815" s="95" t="n"/>
      <c r="AO815" s="96" t="n"/>
    </row>
    <row r="816" ht="15" customHeight="1" s="144">
      <c r="AL816" s="93" t="n"/>
      <c r="AM816" s="94" t="n"/>
      <c r="AN816" s="95" t="n"/>
      <c r="AO816" s="96" t="n"/>
    </row>
    <row r="817" ht="15" customHeight="1" s="144">
      <c r="AL817" s="93" t="n"/>
      <c r="AM817" s="94" t="n"/>
      <c r="AN817" s="95" t="n"/>
      <c r="AO817" s="96" t="n"/>
    </row>
    <row r="818" ht="15" customHeight="1" s="144">
      <c r="AL818" s="93" t="n"/>
      <c r="AM818" s="94" t="n"/>
      <c r="AN818" s="95" t="n"/>
      <c r="AO818" s="96" t="n"/>
    </row>
    <row r="819" ht="15" customHeight="1" s="144">
      <c r="AL819" s="93" t="n"/>
      <c r="AM819" s="94" t="n"/>
      <c r="AN819" s="95" t="n"/>
      <c r="AO819" s="96" t="n"/>
    </row>
    <row r="820" ht="15" customHeight="1" s="144">
      <c r="AL820" s="93" t="n"/>
      <c r="AM820" s="94" t="n"/>
      <c r="AN820" s="95" t="n"/>
      <c r="AO820" s="96" t="n"/>
    </row>
    <row r="821" ht="15" customHeight="1" s="144">
      <c r="AL821" s="93" t="n"/>
      <c r="AM821" s="94" t="n"/>
      <c r="AN821" s="95" t="n"/>
      <c r="AO821" s="96" t="n"/>
    </row>
    <row r="822" ht="15" customHeight="1" s="144">
      <c r="AL822" s="93" t="n"/>
      <c r="AM822" s="94" t="n"/>
      <c r="AN822" s="95" t="n"/>
      <c r="AO822" s="96" t="n"/>
    </row>
    <row r="823" ht="15" customHeight="1" s="144">
      <c r="AL823" s="93" t="n"/>
      <c r="AM823" s="94" t="n"/>
      <c r="AN823" s="95" t="n"/>
      <c r="AO823" s="96" t="n"/>
    </row>
    <row r="824" ht="15" customHeight="1" s="144">
      <c r="AL824" s="93" t="n"/>
      <c r="AM824" s="94" t="n"/>
      <c r="AN824" s="95" t="n"/>
      <c r="AO824" s="96" t="n"/>
    </row>
    <row r="825" ht="15" customHeight="1" s="144">
      <c r="AL825" s="93" t="n"/>
      <c r="AM825" s="94" t="n"/>
      <c r="AN825" s="95" t="n"/>
      <c r="AO825" s="96" t="n"/>
    </row>
    <row r="830" ht="15" customHeight="1" s="144">
      <c r="AL830" s="174" t="n"/>
      <c r="AM830" s="175" t="n"/>
      <c r="AN830" s="176" t="n"/>
      <c r="AO830" s="177" t="n"/>
    </row>
    <row r="831" ht="15" customHeight="1" s="144">
      <c r="AL831" s="174" t="n"/>
      <c r="AM831" s="175" t="n"/>
      <c r="AN831" s="176" t="n"/>
      <c r="AO831" s="177" t="n"/>
    </row>
    <row r="832" ht="15" customHeight="1" s="144">
      <c r="AL832" s="174" t="n"/>
      <c r="AM832" s="175" t="n"/>
      <c r="AN832" s="176" t="n"/>
      <c r="AO832" s="177" t="n"/>
    </row>
    <row r="833" ht="15" customHeight="1" s="144">
      <c r="AL833" s="174" t="n"/>
      <c r="AM833" s="175" t="n"/>
      <c r="AN833" s="176" t="n"/>
      <c r="AO833" s="177" t="n"/>
    </row>
    <row r="834" ht="15" customHeight="1" s="144">
      <c r="AL834" s="174" t="n"/>
      <c r="AM834" s="175" t="n"/>
      <c r="AN834" s="176" t="n"/>
      <c r="AO834" s="177" t="n"/>
    </row>
    <row r="838" ht="15" customHeight="1" s="144">
      <c r="AL838" s="174" t="n"/>
      <c r="AM838" s="175" t="n"/>
      <c r="AN838" s="176" t="n"/>
    </row>
    <row r="840" ht="15" customHeight="1" s="144">
      <c r="AL840" s="174" t="n"/>
      <c r="AM840" s="175" t="n"/>
      <c r="AN840" s="176" t="n"/>
    </row>
    <row r="841" ht="15" customHeight="1" s="144">
      <c r="AL841" s="174" t="n"/>
      <c r="AM841" s="175" t="n"/>
      <c r="AN841" s="176" t="n"/>
    </row>
    <row r="842" ht="15" customHeight="1" s="144">
      <c r="AL842" s="174" t="n"/>
      <c r="AM842" s="175" t="n"/>
      <c r="AN842" s="176" t="n"/>
    </row>
    <row r="843" ht="15" customHeight="1" s="144">
      <c r="AL843" s="174" t="n"/>
      <c r="AM843" s="175" t="n"/>
      <c r="AN843" s="176" t="n"/>
    </row>
    <row r="844" ht="15" customHeight="1" s="144">
      <c r="AL844" s="174" t="n"/>
      <c r="AM844" s="175" t="n"/>
      <c r="AN844" s="176" t="n"/>
    </row>
    <row r="845" ht="15" customHeight="1" s="144">
      <c r="AL845" s="174" t="n"/>
      <c r="AM845" s="175" t="n"/>
      <c r="AN845" s="176" t="n"/>
    </row>
    <row r="847" ht="15" customHeight="1" s="144">
      <c r="AL847" s="174" t="n"/>
      <c r="AM847" s="175" t="n"/>
      <c r="AN847" s="176" t="n"/>
    </row>
    <row r="848" ht="15" customHeight="1" s="144">
      <c r="AL848" s="174" t="n"/>
      <c r="AM848" s="175" t="n"/>
      <c r="AN848" s="176" t="n"/>
    </row>
    <row r="852" ht="15" customHeight="1" s="144">
      <c r="AL852" s="174" t="n"/>
      <c r="AM852" s="175" t="n"/>
      <c r="AN852" s="176" t="n"/>
    </row>
    <row r="853" ht="15" customHeight="1" s="144">
      <c r="AL853" s="174" t="n"/>
      <c r="AM853" s="175" t="n"/>
      <c r="AN853" s="176" t="n"/>
    </row>
    <row r="854" ht="15" customHeight="1" s="144">
      <c r="AL854" s="174" t="n"/>
      <c r="AM854" s="175" t="n"/>
      <c r="AN854" s="176" t="n"/>
    </row>
  </sheetData>
  <mergeCells count="8">
    <mergeCell ref="AV1:AW1"/>
    <mergeCell ref="AB1:AK7"/>
    <mergeCell ref="AQ2:AR2"/>
    <mergeCell ref="AW6:AY6"/>
    <mergeCell ref="AD9:AG9"/>
    <mergeCell ref="AW5:AY5"/>
    <mergeCell ref="AQ1:AR1"/>
    <mergeCell ref="AW4:AY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Feuil3">
    <outlinePr summaryBelow="1" summaryRight="1"/>
    <pageSetUpPr/>
  </sheetPr>
  <dimension ref="A1:AH67"/>
  <sheetViews>
    <sheetView showGridLines="0" tabSelected="1" zoomScaleNormal="100" workbookViewId="0">
      <selection activeCell="Z10" sqref="Z10"/>
    </sheetView>
  </sheetViews>
  <sheetFormatPr baseColWidth="10" defaultColWidth="11.42578125" defaultRowHeight="12.75"/>
  <cols>
    <col width="3" customWidth="1" style="153" min="1" max="1"/>
    <col width="9.7109375" customWidth="1" style="153" min="2" max="12"/>
    <col width="4.7109375" customWidth="1" style="153" min="13" max="13"/>
    <col width="9.7109375" customWidth="1" style="153" min="14" max="24"/>
    <col width="4.28515625" customWidth="1" style="153" min="25" max="25"/>
    <col width="11.42578125" customWidth="1" style="153" min="26" max="28"/>
    <col width="14.85546875" customWidth="1" style="153" min="29" max="29"/>
    <col width="11.42578125" customWidth="1" style="153" min="30" max="30"/>
    <col width="11.42578125" customWidth="1" style="153" min="31" max="16384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AE1" s="153" t="inlineStr">
        <is>
          <t>critere derniere mesure</t>
        </is>
      </c>
      <c r="AG1" s="9">
        <f>AG3+10</f>
        <v/>
      </c>
    </row>
    <row r="2" ht="13.5" customHeight="1" s="144">
      <c r="A2" s="30" t="n"/>
      <c r="B2" s="15" t="n"/>
      <c r="C2" s="16" t="n"/>
      <c r="D2" s="16" t="n"/>
      <c r="E2" s="16" t="n"/>
      <c r="F2" s="16" t="n"/>
      <c r="G2" s="16" t="n"/>
      <c r="H2" s="16" t="n"/>
      <c r="I2" s="158" t="inlineStr">
        <is>
          <t>Laboratoire ANDRA - Bure</t>
        </is>
      </c>
      <c r="J2" s="159" t="n"/>
      <c r="K2" s="159" t="n"/>
      <c r="L2" s="160" t="n"/>
      <c r="M2" s="32" t="n"/>
      <c r="N2" s="15" t="n"/>
      <c r="O2" s="16" t="n"/>
      <c r="P2" s="16" t="n"/>
      <c r="Q2" s="16" t="n"/>
      <c r="R2" s="16" t="n"/>
      <c r="S2" s="16" t="n"/>
      <c r="T2" s="16" t="n"/>
      <c r="U2" s="158" t="inlineStr">
        <is>
          <t>Laboratoire ANDRA - Bure</t>
        </is>
      </c>
      <c r="V2" s="159" t="n"/>
      <c r="W2" s="159" t="n"/>
      <c r="X2" s="160" t="n"/>
      <c r="Y2" s="33" t="n"/>
      <c r="AG2" s="138" t="n"/>
    </row>
    <row r="3" ht="13.5" customHeight="1" s="144">
      <c r="A3" s="30" t="n"/>
      <c r="B3" s="17" t="n"/>
      <c r="I3" s="156" t="inlineStr">
        <is>
          <t>Chantier 4</t>
        </is>
      </c>
      <c r="L3" s="155" t="n"/>
      <c r="M3" s="33" t="n"/>
      <c r="N3" s="17" t="n"/>
      <c r="U3" s="156" t="inlineStr">
        <is>
          <t>Chantier 4</t>
        </is>
      </c>
      <c r="X3" s="155" t="n"/>
      <c r="Y3" s="33" t="n"/>
      <c r="AE3" s="28" t="inlineStr">
        <is>
          <t>derniere mesure réelle</t>
        </is>
      </c>
      <c r="AG3" s="9">
        <f>MAX('Résultats observations'!A10:A73)</f>
        <v/>
      </c>
    </row>
    <row r="4" ht="13.5" customHeight="1" s="144">
      <c r="A4" s="30" t="n"/>
      <c r="B4" s="17" t="n"/>
      <c r="I4" s="18" t="n"/>
      <c r="J4" s="18" t="n"/>
      <c r="K4" s="18" t="n"/>
      <c r="L4" s="19" t="n"/>
      <c r="M4" s="30" t="n"/>
      <c r="N4" s="17" t="n"/>
      <c r="U4" s="18" t="n"/>
      <c r="V4" s="18" t="n"/>
      <c r="W4" s="18" t="n"/>
      <c r="X4" s="19" t="n"/>
      <c r="Y4" s="30" t="n"/>
      <c r="AG4" s="138" t="n"/>
    </row>
    <row r="5" ht="13.5" customHeight="1" s="144">
      <c r="A5" s="30" t="n"/>
      <c r="B5" s="17" t="n"/>
      <c r="J5" s="154" t="n"/>
      <c r="L5" s="155" t="n"/>
      <c r="M5" s="34" t="n"/>
      <c r="N5" s="17" t="n"/>
      <c r="V5" s="154" t="n"/>
      <c r="X5" s="155" t="n"/>
      <c r="Y5" s="34" t="n"/>
      <c r="AE5" s="28" t="inlineStr">
        <is>
          <t>derniere mesure graphique</t>
        </is>
      </c>
      <c r="AG5" s="9">
        <f t="array" ref="AG5">MAX(IF('Résultats observations'!A10:A79&lt;=$AG$1,'Résultats observations'!A10:A79))</f>
        <v/>
      </c>
    </row>
    <row r="6" ht="13.5" customHeight="1" s="144">
      <c r="A6" s="30" t="n"/>
      <c r="B6" s="157">
        <f>"GER - Alvéole HA21-3 - Cordes - Mesures au " &amp; TEXT(AG5,"jj/mm/aa")</f>
        <v/>
      </c>
      <c r="L6" s="155" t="n"/>
      <c r="M6" s="35" t="n"/>
      <c r="N6" s="157">
        <f>"GER - Alvéole HA21-3 - Déplacements altimétriques - Mesures au " &amp; TEXT(AG5,"jj/mm/aa")</f>
        <v/>
      </c>
      <c r="X6" s="155" t="n"/>
      <c r="Y6" s="35" t="n"/>
    </row>
    <row r="7" ht="13.5" customHeight="1" s="144">
      <c r="A7" s="30" t="n"/>
      <c r="B7" s="17" t="n"/>
      <c r="L7" s="19" t="n"/>
      <c r="M7" s="30" t="n"/>
      <c r="N7" s="17" t="n"/>
      <c r="X7" s="19" t="n"/>
      <c r="Y7" s="30" t="n"/>
      <c r="AE7" s="28" t="inlineStr">
        <is>
          <t>date premiere mesure</t>
        </is>
      </c>
      <c r="AG7" s="9">
        <f>excav</f>
        <v/>
      </c>
    </row>
    <row r="8" ht="13.5" customFormat="1" customHeight="1" s="10">
      <c r="A8" s="30" t="n"/>
      <c r="B8" s="20" t="n"/>
      <c r="L8" s="155" t="n"/>
      <c r="M8" s="31" t="n"/>
      <c r="N8" s="20" t="n"/>
      <c r="X8" s="155" t="n"/>
      <c r="Y8" s="31" t="n"/>
      <c r="AA8" s="46" t="n"/>
      <c r="AB8" s="46" t="n"/>
      <c r="AC8" s="46" t="n"/>
      <c r="AD8" s="46" t="n"/>
      <c r="AE8" s="46" t="n"/>
      <c r="AF8" s="46" t="n"/>
      <c r="AG8" s="47" t="n"/>
      <c r="AH8" s="46" t="n"/>
    </row>
    <row r="9" ht="13.5" customHeight="1" s="144">
      <c r="A9" s="30" t="n"/>
      <c r="B9" s="20" t="n"/>
      <c r="L9" s="155" t="n"/>
      <c r="M9" s="31" t="n"/>
      <c r="N9" s="20" t="n"/>
      <c r="X9" s="155" t="n"/>
      <c r="Y9" s="31" t="n"/>
      <c r="AA9" s="47" t="n"/>
      <c r="AB9" s="47" t="n"/>
      <c r="AC9" s="47" t="n"/>
      <c r="AD9" s="47" t="n"/>
      <c r="AE9" s="47" t="n"/>
      <c r="AF9" s="47" t="n"/>
      <c r="AG9" s="47" t="n"/>
      <c r="AH9" s="47" t="n"/>
    </row>
    <row r="10" ht="13.5" customHeight="1" s="144">
      <c r="A10" s="31" t="n"/>
      <c r="B10" s="20" t="n"/>
      <c r="L10" s="155" t="n"/>
      <c r="M10" s="31" t="n"/>
      <c r="N10" s="20" t="n"/>
      <c r="X10" s="155" t="n"/>
      <c r="Y10" s="31" t="n"/>
      <c r="AA10" s="48" t="n"/>
      <c r="AB10" s="48" t="n"/>
      <c r="AC10" s="48" t="n"/>
      <c r="AD10" s="48" t="n"/>
      <c r="AE10" s="48" t="n"/>
      <c r="AF10" s="48" t="n"/>
      <c r="AG10" s="48" t="n"/>
      <c r="AH10" s="48" t="n"/>
    </row>
    <row r="11" ht="13.5" customHeight="1" s="144">
      <c r="A11" s="31" t="n"/>
      <c r="B11" s="20" t="n"/>
      <c r="L11" s="155" t="n"/>
      <c r="M11" s="31" t="n"/>
      <c r="N11" s="20" t="n"/>
      <c r="X11" s="155" t="n"/>
      <c r="Y11" s="31" t="n"/>
      <c r="AA11" s="48" t="n"/>
      <c r="AB11" s="48" t="n"/>
      <c r="AC11" s="48" t="n"/>
      <c r="AD11" s="48" t="n"/>
      <c r="AE11" s="48" t="n"/>
      <c r="AF11" s="48" t="n"/>
      <c r="AG11" s="48" t="n"/>
      <c r="AH11" s="48" t="n"/>
    </row>
    <row r="12" ht="13.5" customHeight="1" s="144">
      <c r="A12" s="31" t="n"/>
      <c r="B12" s="20" t="n"/>
      <c r="L12" s="155" t="n"/>
      <c r="M12" s="31" t="n"/>
      <c r="N12" s="20" t="n"/>
      <c r="X12" s="155" t="n"/>
      <c r="Y12" s="31" t="n"/>
      <c r="AA12" s="48" t="n"/>
      <c r="AB12" s="48" t="n"/>
      <c r="AC12" s="48" t="n"/>
      <c r="AD12" s="48" t="n"/>
      <c r="AE12" s="48" t="n"/>
      <c r="AF12" s="48" t="n"/>
      <c r="AG12" s="48" t="n"/>
      <c r="AH12" s="48" t="n"/>
    </row>
    <row r="13" ht="13.5" customHeight="1" s="144">
      <c r="A13" s="31" t="n"/>
      <c r="B13" s="20" t="n"/>
      <c r="L13" s="155" t="n"/>
      <c r="M13" s="31" t="n"/>
      <c r="N13" s="20" t="n"/>
      <c r="X13" s="155" t="n"/>
      <c r="Y13" s="31" t="n"/>
      <c r="AA13" s="48" t="n"/>
      <c r="AB13" s="48" t="n"/>
      <c r="AC13" s="48" t="n"/>
      <c r="AD13" s="48" t="n"/>
      <c r="AE13" s="48" t="n"/>
      <c r="AF13" s="48" t="n"/>
      <c r="AG13" s="48" t="n"/>
      <c r="AH13" s="48" t="n"/>
    </row>
    <row r="14" ht="13.5" customHeight="1" s="144">
      <c r="A14" s="31" t="n"/>
      <c r="B14" s="20" t="n"/>
      <c r="L14" s="155" t="n"/>
      <c r="M14" s="31" t="n"/>
      <c r="N14" s="20" t="n"/>
      <c r="X14" s="155" t="n"/>
      <c r="Y14" s="31" t="n"/>
      <c r="AA14" s="48" t="n"/>
      <c r="AB14" s="48" t="n"/>
      <c r="AC14" s="48" t="n"/>
      <c r="AD14" s="48" t="n"/>
      <c r="AE14" s="48" t="n"/>
      <c r="AF14" s="48" t="n"/>
      <c r="AG14" s="48" t="n"/>
      <c r="AH14" s="48" t="n"/>
    </row>
    <row r="15" ht="13.5" customHeight="1" s="144">
      <c r="A15" s="31" t="n"/>
      <c r="B15" s="20" t="n"/>
      <c r="L15" s="155" t="n"/>
      <c r="M15" s="31" t="n"/>
      <c r="N15" s="20" t="n"/>
      <c r="X15" s="155" t="n"/>
      <c r="Y15" s="31" t="n"/>
      <c r="AA15" s="48" t="n"/>
      <c r="AB15" s="48" t="n"/>
      <c r="AC15" s="48" t="n"/>
      <c r="AD15" s="48" t="n"/>
      <c r="AE15" s="48" t="n"/>
      <c r="AF15" s="48" t="n"/>
      <c r="AG15" s="48" t="n"/>
      <c r="AH15" s="48" t="n"/>
    </row>
    <row r="16" ht="13.5" customHeight="1" s="144">
      <c r="A16" s="31" t="n"/>
      <c r="B16" s="20" t="n"/>
      <c r="L16" s="155" t="n"/>
      <c r="M16" s="31" t="n"/>
      <c r="N16" s="20" t="n"/>
      <c r="X16" s="155" t="n"/>
      <c r="Y16" s="31" t="n"/>
      <c r="AA16" s="48" t="n"/>
      <c r="AB16" s="48" t="n"/>
      <c r="AC16" s="48" t="n"/>
      <c r="AD16" s="48" t="n"/>
      <c r="AE16" s="48" t="n"/>
      <c r="AF16" s="48" t="n"/>
      <c r="AG16" s="48" t="n"/>
      <c r="AH16" s="48" t="n"/>
    </row>
    <row r="17" ht="13.5" customHeight="1" s="144">
      <c r="A17" s="31" t="n"/>
      <c r="B17" s="20" t="n"/>
      <c r="L17" s="155" t="n"/>
      <c r="M17" s="31" t="n"/>
      <c r="N17" s="20" t="n"/>
      <c r="X17" s="155" t="n"/>
      <c r="Y17" s="31" t="n"/>
      <c r="AA17" s="48" t="n"/>
      <c r="AB17" s="48" t="n"/>
      <c r="AC17" s="48" t="n"/>
      <c r="AD17" s="48" t="n"/>
      <c r="AE17" s="48" t="n"/>
      <c r="AF17" s="48" t="n"/>
      <c r="AG17" s="48" t="n"/>
      <c r="AH17" s="48" t="n"/>
    </row>
    <row r="18" ht="13.5" customHeight="1" s="144">
      <c r="A18" s="31" t="n"/>
      <c r="B18" s="20" t="n"/>
      <c r="L18" s="155" t="n"/>
      <c r="M18" s="31" t="n"/>
      <c r="N18" s="20" t="n"/>
      <c r="X18" s="155" t="n"/>
      <c r="Y18" s="31" t="n"/>
      <c r="AA18" s="48" t="n"/>
      <c r="AB18" s="48" t="n"/>
      <c r="AC18" s="48" t="n"/>
      <c r="AD18" s="48" t="n"/>
      <c r="AE18" s="48" t="n"/>
      <c r="AF18" s="48" t="n"/>
      <c r="AG18" s="48" t="n"/>
      <c r="AH18" s="48" t="n"/>
    </row>
    <row r="19" ht="13.5" customHeight="1" s="144">
      <c r="A19" s="31" t="n"/>
      <c r="B19" s="20" t="n"/>
      <c r="L19" s="155" t="n"/>
      <c r="M19" s="31" t="n"/>
      <c r="N19" s="20" t="n"/>
      <c r="X19" s="155" t="n"/>
      <c r="Y19" s="31" t="n"/>
      <c r="AA19" s="48" t="n"/>
      <c r="AB19" s="48" t="n"/>
      <c r="AC19" s="48" t="n"/>
      <c r="AD19" s="48" t="n"/>
      <c r="AE19" s="48" t="n"/>
      <c r="AF19" s="48" t="n"/>
      <c r="AG19" s="48" t="n"/>
      <c r="AH19" s="48" t="n"/>
    </row>
    <row r="20" ht="13.5" customHeight="1" s="144">
      <c r="A20" s="31" t="n"/>
      <c r="B20" s="20" t="n"/>
      <c r="L20" s="155" t="n"/>
      <c r="M20" s="31" t="n"/>
      <c r="N20" s="20" t="n"/>
      <c r="X20" s="155" t="n"/>
      <c r="Y20" s="31" t="n"/>
      <c r="AA20" s="48" t="n"/>
      <c r="AB20" s="48" t="n"/>
      <c r="AC20" s="48" t="n"/>
      <c r="AD20" s="48" t="n"/>
      <c r="AE20" s="48" t="n"/>
      <c r="AF20" s="48" t="n"/>
      <c r="AG20" s="48" t="n"/>
      <c r="AH20" s="48" t="n"/>
    </row>
    <row r="21" ht="13.5" customHeight="1" s="144">
      <c r="A21" s="31" t="n"/>
      <c r="B21" s="20" t="n"/>
      <c r="L21" s="155" t="n"/>
      <c r="M21" s="31" t="n"/>
      <c r="N21" s="20" t="n"/>
      <c r="X21" s="155" t="n"/>
      <c r="Y21" s="31" t="n"/>
      <c r="AA21" s="48" t="n"/>
      <c r="AB21" s="48" t="n"/>
      <c r="AC21" s="48" t="n"/>
      <c r="AD21" s="48" t="n"/>
      <c r="AE21" s="48" t="n"/>
      <c r="AF21" s="48" t="n"/>
      <c r="AG21" s="48" t="n"/>
      <c r="AH21" s="48" t="n"/>
    </row>
    <row r="22" ht="13.5" customHeight="1" s="144">
      <c r="A22" s="31" t="n"/>
      <c r="B22" s="20" t="n"/>
      <c r="L22" s="155" t="n"/>
      <c r="M22" s="31" t="n"/>
      <c r="N22" s="20" t="n"/>
      <c r="X22" s="155" t="n"/>
      <c r="Y22" s="31" t="n"/>
      <c r="AA22" s="48" t="n"/>
      <c r="AB22" s="48" t="n"/>
      <c r="AC22" s="48" t="n"/>
      <c r="AD22" s="48" t="n"/>
      <c r="AE22" s="48" t="n"/>
      <c r="AF22" s="48" t="n"/>
      <c r="AG22" s="48" t="n"/>
      <c r="AH22" s="48" t="n"/>
    </row>
    <row r="23" ht="13.5" customHeight="1" s="144">
      <c r="A23" s="31" t="n"/>
      <c r="B23" s="20" t="n"/>
      <c r="L23" s="155" t="n"/>
      <c r="M23" s="31" t="n"/>
      <c r="N23" s="20" t="n"/>
      <c r="X23" s="155" t="n"/>
      <c r="Y23" s="31" t="n"/>
      <c r="AA23" s="48" t="n"/>
      <c r="AB23" s="48" t="n"/>
      <c r="AC23" s="48" t="n"/>
      <c r="AD23" s="48" t="n"/>
      <c r="AE23" s="48" t="n"/>
      <c r="AF23" s="48" t="n"/>
      <c r="AG23" s="48" t="n"/>
      <c r="AH23" s="48" t="n"/>
    </row>
    <row r="24" ht="13.5" customHeight="1" s="144">
      <c r="A24" s="31" t="n"/>
      <c r="B24" s="20" t="n"/>
      <c r="L24" s="155" t="n"/>
      <c r="M24" s="31" t="n"/>
      <c r="N24" s="20" t="n"/>
      <c r="X24" s="155" t="n"/>
      <c r="Y24" s="31" t="n"/>
      <c r="AA24" s="48" t="n"/>
      <c r="AB24" s="48" t="n"/>
      <c r="AC24" s="48" t="n"/>
      <c r="AD24" s="48" t="n"/>
      <c r="AE24" s="48" t="n"/>
      <c r="AF24" s="48" t="n"/>
      <c r="AG24" s="48" t="n"/>
      <c r="AH24" s="48" t="n"/>
    </row>
    <row r="25" ht="13.5" customHeight="1" s="144">
      <c r="A25" s="31" t="n"/>
      <c r="B25" s="20" t="n"/>
      <c r="L25" s="155" t="n"/>
      <c r="M25" s="31" t="n"/>
      <c r="N25" s="20" t="n"/>
      <c r="X25" s="155" t="n"/>
      <c r="Y25" s="31" t="n"/>
      <c r="AA25" s="48" t="n"/>
      <c r="AB25" s="48" t="n"/>
      <c r="AC25" s="48" t="n"/>
      <c r="AD25" s="48" t="n"/>
      <c r="AE25" s="48" t="n"/>
      <c r="AF25" s="48" t="n"/>
      <c r="AG25" s="48" t="n"/>
      <c r="AH25" s="48" t="n"/>
    </row>
    <row r="26" ht="13.5" customHeight="1" s="144">
      <c r="A26" s="31" t="n"/>
      <c r="B26" s="20" t="n"/>
      <c r="L26" s="155" t="n"/>
      <c r="M26" s="31" t="n"/>
      <c r="N26" s="20" t="n"/>
      <c r="X26" s="155" t="n"/>
      <c r="Y26" s="31" t="n"/>
      <c r="AA26" s="48" t="n"/>
      <c r="AB26" s="48" t="n"/>
      <c r="AC26" s="48" t="n"/>
      <c r="AD26" s="48" t="n"/>
      <c r="AE26" s="48" t="n"/>
      <c r="AF26" s="48" t="n"/>
      <c r="AG26" s="48" t="n"/>
      <c r="AH26" s="48" t="n"/>
    </row>
    <row r="27" ht="13.5" customHeight="1" s="144">
      <c r="A27" s="31" t="n"/>
      <c r="B27" s="20" t="n"/>
      <c r="L27" s="155" t="n"/>
      <c r="M27" s="31" t="n"/>
      <c r="N27" s="20" t="n"/>
      <c r="X27" s="155" t="n"/>
      <c r="Y27" s="31" t="n"/>
      <c r="AA27" s="48" t="n"/>
      <c r="AB27" s="48" t="n"/>
      <c r="AC27" s="48" t="n"/>
      <c r="AD27" s="48" t="n"/>
      <c r="AE27" s="48" t="n"/>
      <c r="AF27" s="48" t="n"/>
      <c r="AG27" s="48" t="n"/>
      <c r="AH27" s="48" t="n"/>
    </row>
    <row r="28" ht="13.5" customHeight="1" s="144">
      <c r="A28" s="31" t="n"/>
      <c r="B28" s="20" t="n"/>
      <c r="L28" s="155" t="n"/>
      <c r="M28" s="31" t="n"/>
      <c r="N28" s="20" t="n"/>
      <c r="X28" s="155" t="n"/>
      <c r="Y28" s="31" t="n"/>
      <c r="AA28" s="48" t="n"/>
      <c r="AB28" s="48" t="n"/>
      <c r="AC28" s="48" t="n"/>
      <c r="AD28" s="48" t="n"/>
      <c r="AE28" s="48" t="n"/>
      <c r="AF28" s="48" t="n"/>
      <c r="AG28" s="48" t="n"/>
      <c r="AH28" s="48" t="n"/>
    </row>
    <row r="29" ht="13.5" customHeight="1" s="144">
      <c r="A29" s="31" t="n"/>
      <c r="B29" s="20" t="n"/>
      <c r="L29" s="155" t="n"/>
      <c r="M29" s="31" t="n"/>
      <c r="N29" s="20" t="n"/>
      <c r="X29" s="155" t="n"/>
      <c r="Y29" s="31" t="n"/>
      <c r="AA29" s="48" t="n"/>
      <c r="AB29" s="48" t="n"/>
      <c r="AC29" s="48" t="n"/>
      <c r="AD29" s="48" t="n"/>
      <c r="AE29" s="48" t="n"/>
      <c r="AF29" s="48" t="n"/>
      <c r="AG29" s="48" t="n"/>
      <c r="AH29" s="48" t="n"/>
    </row>
    <row r="30" ht="13.5" customHeight="1" s="144">
      <c r="A30" s="31" t="n"/>
      <c r="B30" s="20" t="n"/>
      <c r="L30" s="155" t="n"/>
      <c r="M30" s="31" t="n"/>
      <c r="N30" s="20" t="n"/>
      <c r="X30" s="155" t="n"/>
      <c r="Y30" s="31" t="n"/>
      <c r="AA30" s="48" t="n"/>
      <c r="AB30" s="48" t="n"/>
      <c r="AC30" s="48" t="n"/>
      <c r="AD30" s="48" t="n"/>
      <c r="AE30" s="48" t="n"/>
      <c r="AF30" s="48" t="n"/>
      <c r="AG30" s="48" t="n"/>
      <c r="AH30" s="48" t="n"/>
    </row>
    <row r="31" ht="13.5" customHeight="1" s="144">
      <c r="A31" s="31" t="n"/>
      <c r="B31" s="20" t="n"/>
      <c r="L31" s="155" t="n"/>
      <c r="M31" s="31" t="n"/>
      <c r="N31" s="20" t="n"/>
      <c r="X31" s="155" t="n"/>
      <c r="Y31" s="31" t="n"/>
      <c r="AA31" s="48" t="n"/>
      <c r="AB31" s="48" t="n"/>
      <c r="AC31" s="48" t="n"/>
      <c r="AD31" s="48" t="n"/>
      <c r="AE31" s="48" t="n"/>
      <c r="AF31" s="48" t="n"/>
      <c r="AG31" s="48" t="n"/>
      <c r="AH31" s="48" t="n"/>
    </row>
    <row r="32" ht="13.5" customHeight="1" s="144">
      <c r="A32" s="31" t="n"/>
      <c r="B32" s="20" t="n"/>
      <c r="L32" s="155" t="n"/>
      <c r="M32" s="31" t="n"/>
      <c r="N32" s="20" t="n"/>
      <c r="X32" s="155" t="n"/>
      <c r="Y32" s="31" t="n"/>
      <c r="AA32" s="48" t="n"/>
      <c r="AB32" s="48" t="n"/>
      <c r="AC32" s="48" t="n"/>
      <c r="AD32" s="48" t="n"/>
      <c r="AE32" s="48" t="n"/>
      <c r="AF32" s="48" t="n"/>
      <c r="AG32" s="48" t="n"/>
      <c r="AH32" s="48" t="n"/>
    </row>
    <row r="33" ht="13.5" customHeight="1" s="144">
      <c r="A33" s="31" t="n"/>
      <c r="B33" s="22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36" t="n"/>
      <c r="M33" s="36" t="n"/>
      <c r="N33" s="22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136" t="n"/>
      <c r="Y33" s="31" t="n"/>
      <c r="AA33" s="48" t="n"/>
      <c r="AB33" s="48" t="n"/>
      <c r="AC33" s="48" t="n"/>
      <c r="AD33" s="48" t="n"/>
      <c r="AE33" s="48" t="n"/>
      <c r="AF33" s="48" t="n"/>
      <c r="AG33" s="48" t="n"/>
      <c r="AH33" s="48" t="n"/>
    </row>
    <row r="34" ht="13.5" customHeight="1" s="144">
      <c r="A34" s="31" t="n"/>
      <c r="B34" s="38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9" t="n"/>
      <c r="M34" s="31" t="n"/>
      <c r="N34" s="38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9" t="n"/>
      <c r="Y34" s="31" t="n"/>
      <c r="AA34" s="48" t="n"/>
      <c r="AB34" s="48" t="n"/>
      <c r="AC34" s="48" t="n"/>
      <c r="AD34" s="48" t="n"/>
      <c r="AE34" s="48" t="n"/>
      <c r="AF34" s="48" t="n"/>
      <c r="AG34" s="48" t="n"/>
      <c r="AH34" s="48" t="n"/>
    </row>
    <row r="35" ht="13.5" customHeight="1" s="144">
      <c r="A35" s="30" t="n"/>
      <c r="B35" s="15" t="n"/>
      <c r="C35" s="16" t="n"/>
      <c r="D35" s="16" t="n"/>
      <c r="E35" s="16" t="n"/>
      <c r="F35" s="16" t="n"/>
      <c r="G35" s="16" t="n"/>
      <c r="H35" s="16" t="n"/>
      <c r="I35" s="158" t="inlineStr">
        <is>
          <t>Laboratoire ANDRA - Bure</t>
        </is>
      </c>
      <c r="J35" s="159" t="n"/>
      <c r="K35" s="159" t="n"/>
      <c r="L35" s="160" t="n"/>
      <c r="M35" s="32" t="n"/>
      <c r="N35" s="15" t="n"/>
      <c r="O35" s="16" t="n"/>
      <c r="P35" s="16" t="n"/>
      <c r="Q35" s="16" t="n"/>
      <c r="R35" s="16" t="n"/>
      <c r="S35" s="16" t="n"/>
      <c r="T35" s="16" t="n"/>
      <c r="U35" s="158" t="inlineStr">
        <is>
          <t>Laboratoire ANDRA - Bure</t>
        </is>
      </c>
      <c r="V35" s="159" t="n"/>
      <c r="W35" s="159" t="n"/>
      <c r="X35" s="160" t="n"/>
      <c r="Y35" s="33" t="n"/>
      <c r="AA35" s="48" t="n"/>
      <c r="AB35" s="48" t="n"/>
      <c r="AC35" s="48" t="n"/>
      <c r="AD35" s="48" t="n"/>
      <c r="AE35" s="48" t="n"/>
      <c r="AF35" s="48" t="n"/>
      <c r="AG35" s="48" t="n"/>
      <c r="AH35" s="47" t="n"/>
    </row>
    <row r="36" ht="13.5" customHeight="1" s="144">
      <c r="A36" s="30" t="n"/>
      <c r="B36" s="17" t="n"/>
      <c r="I36" s="156" t="inlineStr">
        <is>
          <t>Chantier 4</t>
        </is>
      </c>
      <c r="L36" s="155" t="n"/>
      <c r="M36" s="33" t="n"/>
      <c r="N36" s="17" t="n"/>
      <c r="U36" s="156" t="inlineStr">
        <is>
          <t>Chantier 4</t>
        </is>
      </c>
      <c r="X36" s="155" t="n"/>
      <c r="Y36" s="33" t="n"/>
      <c r="AA36" s="48" t="n"/>
      <c r="AB36" s="48" t="n"/>
      <c r="AC36" s="48" t="n"/>
      <c r="AD36" s="48" t="n"/>
      <c r="AE36" s="48" t="n"/>
      <c r="AF36" s="48" t="n"/>
      <c r="AG36" s="48" t="n"/>
      <c r="AH36" s="47" t="n"/>
    </row>
    <row r="37" ht="13.5" customHeight="1" s="144">
      <c r="A37" s="30" t="n"/>
      <c r="B37" s="17" t="n"/>
      <c r="I37" s="18" t="n"/>
      <c r="J37" s="18" t="n"/>
      <c r="K37" s="18" t="n"/>
      <c r="L37" s="19" t="n"/>
      <c r="M37" s="30" t="n"/>
      <c r="N37" s="17" t="n"/>
      <c r="U37" s="18" t="n"/>
      <c r="V37" s="18" t="n"/>
      <c r="W37" s="18" t="n"/>
      <c r="X37" s="19" t="n"/>
      <c r="Y37" s="30" t="n"/>
      <c r="AA37" s="48" t="n"/>
      <c r="AB37" s="48" t="n"/>
      <c r="AC37" s="48" t="n"/>
      <c r="AD37" s="48" t="n"/>
      <c r="AE37" s="48" t="n"/>
      <c r="AF37" s="48" t="n"/>
      <c r="AG37" s="48" t="n"/>
      <c r="AH37" s="47" t="n"/>
    </row>
    <row r="38" ht="13.5" customHeight="1" s="144">
      <c r="A38" s="30" t="n"/>
      <c r="B38" s="17" t="n"/>
      <c r="J38" s="154" t="n"/>
      <c r="L38" s="155" t="n"/>
      <c r="M38" s="34" t="n"/>
      <c r="N38" s="17" t="n"/>
      <c r="X38" s="19" t="n"/>
      <c r="Y38" s="30" t="n"/>
      <c r="AA38" s="48" t="n"/>
      <c r="AB38" s="48" t="n"/>
      <c r="AC38" s="48" t="n"/>
      <c r="AD38" s="48" t="n"/>
      <c r="AE38" s="48" t="n"/>
      <c r="AF38" s="48" t="n"/>
      <c r="AG38" s="48" t="n"/>
      <c r="AH38" s="47" t="n"/>
    </row>
    <row r="39" ht="13.5" customHeight="1" s="144">
      <c r="A39" s="30" t="n"/>
      <c r="B39" s="157">
        <f>"GER - Alvéole HA21-3 - Déplacements vers GER  - Mesures au " &amp; TEXT(AG5,"jj/mm/aa")</f>
        <v/>
      </c>
      <c r="L39" s="155" t="n"/>
      <c r="M39" s="35" t="n"/>
      <c r="N39" s="157">
        <f>"GER - Alvéole HA21-3 - Déplacements latéraux  - Mesures au " &amp; TEXT(AG5,"jj/mm/aa")</f>
        <v/>
      </c>
      <c r="X39" s="155" t="n"/>
      <c r="Y39" s="35" t="n"/>
      <c r="AA39" s="48" t="n"/>
      <c r="AB39" s="48" t="n"/>
      <c r="AC39" s="48" t="n"/>
      <c r="AD39" s="48" t="n"/>
      <c r="AE39" s="48" t="n"/>
      <c r="AF39" s="48" t="n"/>
      <c r="AG39" s="48" t="n"/>
      <c r="AH39" s="47" t="n"/>
    </row>
    <row r="40" ht="13.5" customHeight="1" s="144">
      <c r="A40" s="30" t="n"/>
      <c r="B40" s="17" t="n"/>
      <c r="L40" s="19" t="n"/>
      <c r="M40" s="30" t="n"/>
      <c r="N40" s="17" t="n"/>
      <c r="X40" s="19" t="n"/>
      <c r="Y40" s="30" t="n"/>
      <c r="AA40" s="48" t="n"/>
      <c r="AB40" s="48" t="n"/>
      <c r="AC40" s="48" t="n"/>
      <c r="AD40" s="48" t="n"/>
      <c r="AE40" s="48" t="n"/>
      <c r="AF40" s="48" t="n"/>
      <c r="AG40" s="48" t="n"/>
      <c r="AH40" s="47" t="n"/>
    </row>
    <row r="41" ht="13.5" customHeight="1" s="144">
      <c r="A41" s="30" t="n"/>
      <c r="B41" s="17" t="n"/>
      <c r="L41" s="19" t="n"/>
      <c r="M41" s="30" t="n"/>
      <c r="N41" s="17" t="n"/>
      <c r="X41" s="19" t="n"/>
      <c r="Y41" s="30" t="n"/>
      <c r="AA41" s="48" t="n"/>
      <c r="AB41" s="48" t="n"/>
      <c r="AC41" s="48" t="n"/>
      <c r="AD41" s="48" t="n"/>
      <c r="AE41" s="48" t="n"/>
      <c r="AF41" s="48" t="n"/>
      <c r="AG41" s="48" t="n"/>
      <c r="AH41" s="47" t="n"/>
    </row>
    <row r="42" ht="13.5" customHeight="1" s="144">
      <c r="A42" s="30" t="n"/>
      <c r="B42" s="17" t="n"/>
      <c r="L42" s="19" t="n"/>
      <c r="M42" s="30" t="n"/>
      <c r="N42" s="17" t="n"/>
      <c r="X42" s="19" t="n"/>
      <c r="Y42" s="30" t="n"/>
      <c r="AA42" s="48" t="n"/>
      <c r="AB42" s="48" t="n"/>
      <c r="AC42" s="48" t="n"/>
      <c r="AD42" s="48" t="n"/>
      <c r="AE42" s="48" t="n"/>
      <c r="AF42" s="48" t="n"/>
      <c r="AG42" s="48" t="n"/>
      <c r="AH42" s="47" t="n"/>
    </row>
    <row r="43" ht="13.5" customHeight="1" s="144">
      <c r="A43" s="30" t="n"/>
      <c r="B43" s="17" t="n"/>
      <c r="L43" s="19" t="n"/>
      <c r="M43" s="30" t="n"/>
      <c r="N43" s="17" t="n"/>
      <c r="X43" s="19" t="n"/>
      <c r="Y43" s="30" t="n"/>
      <c r="AA43" s="48" t="n"/>
      <c r="AB43" s="48" t="n"/>
      <c r="AC43" s="48" t="n"/>
      <c r="AD43" s="48" t="n"/>
      <c r="AE43" s="48" t="n"/>
      <c r="AF43" s="48" t="n"/>
      <c r="AG43" s="48" t="n"/>
      <c r="AH43" s="47" t="n"/>
    </row>
    <row r="44" ht="13.5" customHeight="1" s="144">
      <c r="A44" s="30" t="n"/>
      <c r="B44" s="17" t="n"/>
      <c r="L44" s="19" t="n"/>
      <c r="M44" s="30" t="n"/>
      <c r="N44" s="17" t="n"/>
      <c r="X44" s="19" t="n"/>
      <c r="Y44" s="30" t="n"/>
      <c r="AA44" s="48" t="n"/>
      <c r="AB44" s="48" t="n"/>
      <c r="AC44" s="48" t="n"/>
      <c r="AD44" s="48" t="n"/>
      <c r="AE44" s="48" t="n"/>
      <c r="AF44" s="48" t="n"/>
      <c r="AG44" s="48" t="n"/>
      <c r="AH44" s="47" t="n"/>
    </row>
    <row r="45" ht="13.5" customHeight="1" s="144">
      <c r="A45" s="30" t="n"/>
      <c r="B45" s="17" t="n"/>
      <c r="L45" s="19" t="n"/>
      <c r="M45" s="30" t="n"/>
      <c r="N45" s="17" t="n"/>
      <c r="X45" s="19" t="n"/>
      <c r="Y45" s="30" t="n"/>
      <c r="AA45" s="48" t="n"/>
      <c r="AB45" s="48" t="n"/>
      <c r="AC45" s="48" t="n"/>
      <c r="AD45" s="48" t="n"/>
      <c r="AE45" s="48" t="n"/>
      <c r="AF45" s="48" t="n"/>
      <c r="AG45" s="48" t="n"/>
      <c r="AH45" s="47" t="n"/>
    </row>
    <row r="46" ht="13.5" customHeight="1" s="144">
      <c r="A46" s="30" t="n"/>
      <c r="B46" s="17" t="n"/>
      <c r="L46" s="19" t="n"/>
      <c r="M46" s="30" t="n"/>
      <c r="N46" s="17" t="n"/>
      <c r="X46" s="19" t="n"/>
      <c r="Y46" s="30" t="n"/>
      <c r="AA46" s="48" t="n"/>
      <c r="AB46" s="48" t="n"/>
      <c r="AC46" s="48" t="n"/>
      <c r="AD46" s="48" t="n"/>
      <c r="AE46" s="48" t="n"/>
      <c r="AF46" s="48" t="n"/>
      <c r="AG46" s="48" t="n"/>
      <c r="AH46" s="47" t="n"/>
    </row>
    <row r="47" ht="13.5" customHeight="1" s="144">
      <c r="A47" s="30" t="n"/>
      <c r="B47" s="17" t="n"/>
      <c r="L47" s="19" t="n"/>
      <c r="M47" s="30" t="n"/>
      <c r="N47" s="17" t="n"/>
      <c r="X47" s="19" t="n"/>
      <c r="Y47" s="30" t="n"/>
      <c r="AA47" s="48" t="n"/>
      <c r="AB47" s="48" t="n"/>
      <c r="AC47" s="48" t="n"/>
      <c r="AD47" s="48" t="n"/>
      <c r="AE47" s="48" t="n"/>
      <c r="AF47" s="48" t="n"/>
      <c r="AG47" s="48" t="n"/>
      <c r="AH47" s="47" t="n"/>
    </row>
    <row r="48" ht="13.5" customHeight="1" s="144">
      <c r="A48" s="30" t="n"/>
      <c r="B48" s="17" t="n"/>
      <c r="L48" s="19" t="n"/>
      <c r="M48" s="30" t="n"/>
      <c r="N48" s="17" t="n"/>
      <c r="X48" s="19" t="n"/>
      <c r="Y48" s="30" t="n"/>
      <c r="AA48" s="48" t="n"/>
      <c r="AB48" s="48" t="n"/>
      <c r="AC48" s="48" t="n"/>
      <c r="AD48" s="48" t="n"/>
      <c r="AE48" s="48" t="n"/>
      <c r="AF48" s="48" t="n"/>
      <c r="AG48" s="48" t="n"/>
      <c r="AH48" s="47" t="n"/>
    </row>
    <row r="49" ht="13.5" customHeight="1" s="144">
      <c r="A49" s="30" t="n"/>
      <c r="B49" s="17" t="n"/>
      <c r="L49" s="19" t="n"/>
      <c r="M49" s="30" t="n"/>
      <c r="N49" s="17" t="n"/>
      <c r="X49" s="19" t="n"/>
      <c r="Y49" s="30" t="n"/>
      <c r="AA49" s="48" t="n"/>
      <c r="AB49" s="48" t="n"/>
      <c r="AC49" s="48" t="n"/>
      <c r="AD49" s="48" t="n"/>
      <c r="AE49" s="48" t="n"/>
      <c r="AF49" s="48" t="n"/>
      <c r="AG49" s="48" t="n"/>
      <c r="AH49" s="47" t="n"/>
    </row>
    <row r="50" ht="13.5" customHeight="1" s="144">
      <c r="A50" s="30" t="n"/>
      <c r="B50" s="17" t="n"/>
      <c r="L50" s="19" t="n"/>
      <c r="M50" s="30" t="n"/>
      <c r="N50" s="17" t="n"/>
      <c r="X50" s="19" t="n"/>
      <c r="Y50" s="30" t="n"/>
      <c r="AA50" s="48" t="n"/>
      <c r="AB50" s="48" t="n"/>
      <c r="AC50" s="48" t="n"/>
      <c r="AD50" s="48" t="n"/>
      <c r="AE50" s="48" t="n"/>
      <c r="AF50" s="48" t="n"/>
      <c r="AG50" s="48" t="n"/>
      <c r="AH50" s="47" t="n"/>
    </row>
    <row r="51" ht="13.5" customHeight="1" s="144">
      <c r="A51" s="30" t="n"/>
      <c r="B51" s="17" t="n"/>
      <c r="L51" s="19" t="n"/>
      <c r="M51" s="30" t="n"/>
      <c r="N51" s="17" t="n"/>
      <c r="X51" s="19" t="n"/>
      <c r="Y51" s="30" t="n"/>
      <c r="AA51" s="48" t="n"/>
      <c r="AB51" s="48" t="n"/>
      <c r="AC51" s="48" t="n"/>
      <c r="AD51" s="48" t="n"/>
      <c r="AE51" s="48" t="n"/>
      <c r="AF51" s="48" t="n"/>
      <c r="AG51" s="48" t="n"/>
      <c r="AH51" s="47" t="n"/>
    </row>
    <row r="52" ht="13.5" customHeight="1" s="144">
      <c r="A52" s="30" t="n"/>
      <c r="B52" s="17" t="n"/>
      <c r="L52" s="19" t="n"/>
      <c r="M52" s="30" t="n"/>
      <c r="N52" s="17" t="n"/>
      <c r="X52" s="19" t="n"/>
      <c r="Y52" s="30" t="n"/>
      <c r="AA52" s="48" t="n"/>
      <c r="AB52" s="48" t="n"/>
      <c r="AC52" s="48" t="n"/>
      <c r="AD52" s="48" t="n"/>
      <c r="AE52" s="48" t="n"/>
      <c r="AF52" s="48" t="n"/>
      <c r="AG52" s="48" t="n"/>
      <c r="AH52" s="47" t="n"/>
    </row>
    <row r="53" ht="13.5" customHeight="1" s="144">
      <c r="A53" s="30" t="n"/>
      <c r="B53" s="17" t="n"/>
      <c r="L53" s="19" t="n"/>
      <c r="M53" s="30" t="n"/>
      <c r="N53" s="17" t="n"/>
      <c r="X53" s="19" t="n"/>
      <c r="Y53" s="30" t="n"/>
      <c r="AA53" s="48" t="n"/>
      <c r="AB53" s="48" t="n"/>
      <c r="AC53" s="48" t="n"/>
      <c r="AD53" s="48" t="n"/>
      <c r="AE53" s="48" t="n"/>
      <c r="AF53" s="48" t="n"/>
      <c r="AG53" s="48" t="n"/>
      <c r="AH53" s="47" t="n"/>
    </row>
    <row r="54" ht="13.5" customHeight="1" s="144">
      <c r="A54" s="30" t="n"/>
      <c r="B54" s="17" t="n"/>
      <c r="L54" s="19" t="n"/>
      <c r="M54" s="30" t="n"/>
      <c r="N54" s="17" t="n"/>
      <c r="X54" s="19" t="n"/>
      <c r="Y54" s="30" t="n"/>
      <c r="AA54" s="48" t="n"/>
      <c r="AB54" s="48" t="n"/>
      <c r="AC54" s="48" t="n"/>
      <c r="AD54" s="48" t="n"/>
      <c r="AE54" s="48" t="n"/>
      <c r="AF54" s="48" t="n"/>
      <c r="AG54" s="48" t="n"/>
      <c r="AH54" s="47" t="n"/>
    </row>
    <row r="55" ht="13.5" customHeight="1" s="144">
      <c r="A55" s="30" t="n"/>
      <c r="B55" s="17" t="n"/>
      <c r="L55" s="19" t="n"/>
      <c r="M55" s="30" t="n"/>
      <c r="N55" s="17" t="n"/>
      <c r="X55" s="19" t="n"/>
      <c r="Y55" s="30" t="n"/>
      <c r="AA55" s="48" t="n"/>
      <c r="AB55" s="48" t="n"/>
      <c r="AC55" s="48" t="n"/>
      <c r="AD55" s="48" t="n"/>
      <c r="AE55" s="48" t="n"/>
      <c r="AF55" s="48" t="n"/>
      <c r="AG55" s="48" t="n"/>
      <c r="AH55" s="47" t="n"/>
    </row>
    <row r="56" ht="13.5" customHeight="1" s="144">
      <c r="A56" s="30" t="n"/>
      <c r="B56" s="17" t="n"/>
      <c r="L56" s="19" t="n"/>
      <c r="M56" s="30" t="n"/>
      <c r="N56" s="17" t="n"/>
      <c r="X56" s="19" t="n"/>
      <c r="Y56" s="30" t="n"/>
      <c r="AA56" s="48" t="n"/>
      <c r="AB56" s="48" t="n"/>
      <c r="AC56" s="48" t="n"/>
      <c r="AD56" s="48" t="n"/>
      <c r="AE56" s="48" t="n"/>
      <c r="AF56" s="48" t="n"/>
      <c r="AG56" s="48" t="n"/>
      <c r="AH56" s="47" t="n"/>
    </row>
    <row r="57" ht="13.5" customHeight="1" s="144">
      <c r="A57" s="30" t="n"/>
      <c r="B57" s="17" t="n"/>
      <c r="L57" s="19" t="n"/>
      <c r="M57" s="30" t="n"/>
      <c r="N57" s="17" t="n"/>
      <c r="X57" s="19" t="n"/>
      <c r="Y57" s="30" t="n"/>
      <c r="AA57" s="48" t="n"/>
      <c r="AB57" s="48" t="n"/>
      <c r="AC57" s="48" t="n"/>
      <c r="AD57" s="48" t="n"/>
      <c r="AE57" s="48" t="n"/>
      <c r="AF57" s="48" t="n"/>
      <c r="AG57" s="48" t="n"/>
      <c r="AH57" s="47" t="n"/>
    </row>
    <row r="58" ht="13.5" customHeight="1" s="144">
      <c r="A58" s="30" t="n"/>
      <c r="B58" s="17" t="n"/>
      <c r="L58" s="19" t="n"/>
      <c r="M58" s="30" t="n"/>
      <c r="N58" s="17" t="n"/>
      <c r="X58" s="19" t="n"/>
      <c r="Y58" s="30" t="n"/>
      <c r="AA58" s="48" t="n"/>
      <c r="AB58" s="48" t="n"/>
      <c r="AC58" s="48" t="n"/>
      <c r="AD58" s="48" t="n"/>
      <c r="AE58" s="48" t="n"/>
      <c r="AF58" s="48" t="n"/>
      <c r="AG58" s="48" t="n"/>
      <c r="AH58" s="47" t="n"/>
    </row>
    <row r="59" ht="13.5" customHeight="1" s="144">
      <c r="A59" s="30" t="n"/>
      <c r="B59" s="17" t="n"/>
      <c r="L59" s="19" t="n"/>
      <c r="M59" s="30" t="n"/>
      <c r="N59" s="17" t="n"/>
      <c r="X59" s="19" t="n"/>
      <c r="Y59" s="30" t="n"/>
      <c r="AA59" s="48" t="n"/>
      <c r="AB59" s="48" t="n"/>
      <c r="AC59" s="48" t="n"/>
      <c r="AD59" s="48" t="n"/>
      <c r="AE59" s="48" t="n"/>
      <c r="AF59" s="48" t="n"/>
      <c r="AG59" s="48" t="n"/>
      <c r="AH59" s="47" t="n"/>
    </row>
    <row r="60" ht="13.5" customHeight="1" s="144">
      <c r="A60" s="30" t="n"/>
      <c r="B60" s="17" t="n"/>
      <c r="L60" s="19" t="n"/>
      <c r="M60" s="30" t="n"/>
      <c r="N60" s="17" t="n"/>
      <c r="X60" s="19" t="n"/>
      <c r="Y60" s="30" t="n"/>
      <c r="AA60" s="48" t="n"/>
      <c r="AB60" s="48" t="n"/>
      <c r="AC60" s="48" t="n"/>
      <c r="AD60" s="48" t="n"/>
      <c r="AE60" s="48" t="n"/>
      <c r="AF60" s="48" t="n"/>
      <c r="AG60" s="48" t="n"/>
      <c r="AH60" s="47" t="n"/>
    </row>
    <row r="61" ht="13.5" customHeight="1" s="144">
      <c r="A61" s="30" t="n"/>
      <c r="B61" s="17" t="n"/>
      <c r="L61" s="19" t="n"/>
      <c r="M61" s="30" t="n"/>
      <c r="N61" s="17" t="n"/>
      <c r="X61" s="19" t="n"/>
      <c r="Y61" s="30" t="n"/>
      <c r="AA61" s="48" t="n"/>
      <c r="AB61" s="48" t="n"/>
      <c r="AC61" s="48" t="n"/>
      <c r="AD61" s="48" t="n"/>
      <c r="AE61" s="48" t="n"/>
      <c r="AF61" s="48" t="n"/>
      <c r="AG61" s="48" t="n"/>
      <c r="AH61" s="47" t="n"/>
    </row>
    <row r="62" ht="13.5" customHeight="1" s="144">
      <c r="A62" s="30" t="n"/>
      <c r="B62" s="17" t="n"/>
      <c r="L62" s="19" t="n"/>
      <c r="M62" s="30" t="n"/>
      <c r="N62" s="17" t="n"/>
      <c r="X62" s="19" t="n"/>
      <c r="Y62" s="30" t="n"/>
      <c r="AA62" s="48" t="n"/>
      <c r="AB62" s="48" t="n"/>
      <c r="AC62" s="48" t="n"/>
      <c r="AD62" s="48" t="n"/>
      <c r="AE62" s="48" t="n"/>
      <c r="AF62" s="48" t="n"/>
      <c r="AG62" s="48" t="n"/>
      <c r="AH62" s="47" t="n"/>
    </row>
    <row r="63" ht="13.5" customHeight="1" s="144">
      <c r="A63" s="30" t="n"/>
      <c r="B63" s="17" t="n"/>
      <c r="L63" s="19" t="n"/>
      <c r="M63" s="30" t="n"/>
      <c r="N63" s="17" t="n"/>
      <c r="X63" s="19" t="n"/>
      <c r="Y63" s="30" t="n"/>
      <c r="AA63" s="48" t="n"/>
      <c r="AB63" s="48" t="n"/>
      <c r="AC63" s="48" t="n"/>
      <c r="AD63" s="48" t="n"/>
      <c r="AE63" s="48" t="n"/>
      <c r="AF63" s="48" t="n"/>
      <c r="AG63" s="48" t="n"/>
      <c r="AH63" s="47" t="n"/>
    </row>
    <row r="64" ht="13.5" customHeight="1" s="144">
      <c r="A64" s="30" t="n"/>
      <c r="B64" s="17" t="n"/>
      <c r="L64" s="19" t="n"/>
      <c r="M64" s="30" t="n"/>
      <c r="N64" s="17" t="n"/>
      <c r="X64" s="19" t="n"/>
      <c r="Y64" s="30" t="n"/>
      <c r="AA64" s="48" t="n"/>
      <c r="AB64" s="48" t="n"/>
      <c r="AC64" s="48" t="n"/>
      <c r="AD64" s="48" t="n"/>
      <c r="AE64" s="48" t="n"/>
      <c r="AF64" s="48" t="n"/>
      <c r="AG64" s="48" t="n"/>
      <c r="AH64" s="47" t="n"/>
    </row>
    <row r="65" ht="13.5" customHeight="1" s="144">
      <c r="A65" s="30" t="n"/>
      <c r="B65" s="17" t="n"/>
      <c r="L65" s="19" t="n"/>
      <c r="M65" s="30" t="n"/>
      <c r="N65" s="17" t="n"/>
      <c r="X65" s="19" t="n"/>
      <c r="Y65" s="30" t="n"/>
      <c r="AC65" s="29" t="n"/>
      <c r="AD65" s="29" t="n"/>
    </row>
    <row r="66" ht="13.5" customHeight="1" s="144">
      <c r="A66" s="30" t="n"/>
      <c r="B66" s="25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7" t="n"/>
      <c r="M66" s="37" t="n"/>
      <c r="N66" s="25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7" t="n"/>
      <c r="Y66" s="30" t="n"/>
      <c r="AC66" s="29" t="n"/>
      <c r="AD66" s="29" t="n"/>
    </row>
    <row r="67" ht="13.5" customHeight="1" s="144">
      <c r="A67" s="30" t="n"/>
      <c r="B67" s="4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41" t="n"/>
      <c r="M67" s="30" t="n"/>
      <c r="N67" s="4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41" t="n"/>
      <c r="Y67" s="30" t="n"/>
      <c r="Z67" s="30" t="n"/>
      <c r="AC67" s="29" t="n"/>
      <c r="AD67" s="29" t="n"/>
    </row>
  </sheetData>
  <mergeCells count="15">
    <mergeCell ref="J5:L5"/>
    <mergeCell ref="I36:L36"/>
    <mergeCell ref="U36:X36"/>
    <mergeCell ref="J38:L38"/>
    <mergeCell ref="N39:X39"/>
    <mergeCell ref="B6:L6"/>
    <mergeCell ref="U35:X35"/>
    <mergeCell ref="I3:L3"/>
    <mergeCell ref="V5:X5"/>
    <mergeCell ref="B39:L39"/>
    <mergeCell ref="I35:L35"/>
    <mergeCell ref="N6:X6"/>
    <mergeCell ref="U2:X2"/>
    <mergeCell ref="U3:X3"/>
    <mergeCell ref="I2:L2"/>
  </mergeCells>
  <printOptions horizontalCentered="1" verticalCentered="1"/>
  <pageMargins left="0.3937007874015748" right="0.3937007874015748" top="0.1968503937007874" bottom="0.1968503937007874" header="0.5118110236220472" footer="0.5118110236220472"/>
  <pageSetup orientation="landscape" paperSize="9" scale="115" horizontalDpi="4294967293"/>
  <colBreaks count="1" manualBreakCount="1">
    <brk id="13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Feuil6">
    <outlinePr summaryBelow="1" summaryRight="1"/>
    <pageSetUpPr/>
  </sheetPr>
  <dimension ref="A1:E94"/>
  <sheetViews>
    <sheetView zoomScale="70" zoomScaleNormal="70" workbookViewId="0">
      <pane xSplit="5" ySplit="2" topLeftCell="F3" activePane="bottomRight" state="frozen"/>
      <selection activeCell="D1" sqref="D1"/>
      <selection pane="topRight" activeCell="M1" sqref="M1"/>
      <selection pane="bottomLeft" activeCell="D3" sqref="D3"/>
      <selection pane="bottomRight" activeCell="C49" sqref="C49"/>
    </sheetView>
  </sheetViews>
  <sheetFormatPr baseColWidth="10" defaultColWidth="10.7109375" defaultRowHeight="12.75"/>
  <cols>
    <col width="12.85546875" bestFit="1" customWidth="1" style="144" min="1" max="1"/>
    <col width="103.28515625" customWidth="1" style="144" min="2" max="2"/>
    <col width="101.42578125" customWidth="1" style="144" min="3" max="3"/>
    <col width="48.85546875" customWidth="1" style="144" min="4" max="4"/>
    <col width="38.42578125" customWidth="1" style="144" min="5" max="5"/>
  </cols>
  <sheetData>
    <row r="1">
      <c r="A1" s="162" t="inlineStr">
        <is>
          <t>Date</t>
        </is>
      </c>
      <c r="B1" s="161" t="inlineStr">
        <is>
          <t>commentaires</t>
        </is>
      </c>
      <c r="C1" s="161" t="inlineStr">
        <is>
          <t>conditions mesure</t>
        </is>
      </c>
      <c r="D1" s="161" t="inlineStr">
        <is>
          <t>contexte chantier</t>
        </is>
      </c>
      <c r="E1" s="161" t="inlineStr">
        <is>
          <t>referentiel</t>
        </is>
      </c>
    </row>
    <row r="2">
      <c r="A2" s="136" t="n"/>
      <c r="B2" s="134" t="n"/>
      <c r="C2" s="134" t="n"/>
      <c r="D2" s="134" t="n"/>
      <c r="E2" s="134" t="n"/>
    </row>
    <row r="3">
      <c r="A3" s="11">
        <f>'Résultats observations'!A10</f>
        <v/>
      </c>
      <c r="B3" s="14" t="n"/>
      <c r="C3" s="14" t="n"/>
      <c r="D3" s="14" t="n"/>
      <c r="E3" s="14" t="n"/>
    </row>
    <row r="4">
      <c r="A4" s="11">
        <f>'Résultats observations'!A11</f>
        <v/>
      </c>
      <c r="B4" s="14" t="n"/>
      <c r="C4" s="14" t="n"/>
      <c r="D4" s="14" t="n"/>
      <c r="E4" s="14" t="n"/>
    </row>
    <row r="5">
      <c r="A5" s="11">
        <f>'Résultats observations'!A12</f>
        <v/>
      </c>
      <c r="B5" s="14" t="n"/>
      <c r="C5" s="14" t="n"/>
      <c r="D5" s="14" t="n"/>
      <c r="E5" s="14" t="n"/>
    </row>
    <row r="6">
      <c r="A6" s="11">
        <f>'Résultats observations'!A13</f>
        <v/>
      </c>
      <c r="B6" s="14" t="n"/>
      <c r="C6" s="14" t="n"/>
      <c r="D6" s="14" t="n"/>
      <c r="E6" s="14" t="n"/>
    </row>
    <row r="7">
      <c r="A7" s="11">
        <f>'Résultats observations'!A14</f>
        <v/>
      </c>
      <c r="B7" s="14" t="n"/>
      <c r="C7" s="14" t="n"/>
      <c r="D7" s="14" t="n"/>
      <c r="E7" s="14" t="n"/>
    </row>
    <row r="8">
      <c r="A8" s="11">
        <f>'Résultats observations'!A15</f>
        <v/>
      </c>
      <c r="B8" s="14" t="n"/>
      <c r="C8" s="14" t="n"/>
      <c r="D8" s="14" t="n"/>
      <c r="E8" s="14" t="n"/>
    </row>
    <row r="9">
      <c r="A9" s="11">
        <f>'Résultats observations'!A16</f>
        <v/>
      </c>
      <c r="B9" s="14" t="n"/>
      <c r="C9" s="121" t="n"/>
      <c r="D9" s="14" t="n"/>
      <c r="E9" s="14" t="n"/>
    </row>
    <row r="10">
      <c r="A10" s="11">
        <f>'Résultats observations'!A17</f>
        <v/>
      </c>
      <c r="B10" s="14" t="n"/>
      <c r="C10" s="121" t="n"/>
      <c r="D10" s="14" t="n"/>
      <c r="E10" s="14" t="n"/>
    </row>
    <row r="11">
      <c r="A11" s="11">
        <f>'Résultats observations'!A18</f>
        <v/>
      </c>
      <c r="B11" s="14" t="n"/>
      <c r="C11" s="121" t="n"/>
      <c r="D11" s="14" t="n"/>
      <c r="E11" s="14" t="n"/>
    </row>
    <row r="12">
      <c r="A12" s="11">
        <f>'Résultats observations'!A19</f>
        <v/>
      </c>
      <c r="B12" s="14" t="n"/>
      <c r="C12" s="121" t="n"/>
      <c r="D12" s="14" t="n"/>
      <c r="E12" s="14" t="n"/>
    </row>
    <row r="13">
      <c r="A13" s="11">
        <f>'Résultats observations'!A20</f>
        <v/>
      </c>
      <c r="B13" s="14" t="n"/>
      <c r="C13" s="121" t="n"/>
      <c r="D13" s="14" t="n"/>
      <c r="E13" s="14" t="n"/>
    </row>
    <row r="14">
      <c r="A14" s="11">
        <f>'Résultats observations'!A21</f>
        <v/>
      </c>
      <c r="B14" s="14" t="n"/>
      <c r="C14" s="121" t="n"/>
      <c r="D14" s="14" t="n"/>
      <c r="E14" s="14" t="n"/>
    </row>
    <row r="15">
      <c r="A15" s="11">
        <f>'Résultats observations'!A22</f>
        <v/>
      </c>
      <c r="B15" s="14" t="n"/>
      <c r="C15" s="121" t="n"/>
      <c r="D15" s="14" t="n"/>
      <c r="E15" s="14" t="n"/>
    </row>
    <row r="16">
      <c r="A16" s="11">
        <f>'Résultats observations'!A23</f>
        <v/>
      </c>
      <c r="B16" s="14" t="n"/>
      <c r="C16" s="121" t="n"/>
      <c r="D16" s="14" t="n"/>
      <c r="E16" s="14" t="n"/>
    </row>
    <row r="17">
      <c r="A17" s="11">
        <f>'Résultats observations'!A24</f>
        <v/>
      </c>
      <c r="B17" s="14" t="n"/>
      <c r="C17" s="14" t="n"/>
      <c r="D17" s="14" t="n"/>
      <c r="E17" s="14" t="n"/>
    </row>
    <row r="18">
      <c r="A18" s="11">
        <f>'Résultats observations'!A25</f>
        <v/>
      </c>
      <c r="B18" s="14" t="n"/>
      <c r="C18" s="14" t="n"/>
      <c r="D18" s="14" t="n"/>
      <c r="E18" s="14" t="n"/>
    </row>
    <row r="19">
      <c r="A19" s="11">
        <f>'Résultats observations'!A26</f>
        <v/>
      </c>
      <c r="B19" s="14" t="n"/>
      <c r="C19" s="14" t="n"/>
      <c r="D19" s="14" t="n"/>
      <c r="E19" s="14" t="n"/>
    </row>
    <row r="20">
      <c r="A20" s="11">
        <f>'Résultats observations'!A27</f>
        <v/>
      </c>
      <c r="B20" s="14" t="n"/>
      <c r="C20" s="14" t="n"/>
      <c r="D20" s="14" t="n"/>
      <c r="E20" s="14" t="n"/>
    </row>
    <row r="21">
      <c r="A21" s="11">
        <f>'Résultats observations'!A28</f>
        <v/>
      </c>
      <c r="B21" s="14" t="n"/>
      <c r="C21" s="14" t="n"/>
      <c r="D21" s="14" t="n"/>
      <c r="E21" s="14" t="n"/>
    </row>
    <row r="22">
      <c r="A22" s="11">
        <f>'Résultats observations'!A29</f>
        <v/>
      </c>
      <c r="B22" s="14" t="n"/>
      <c r="C22" s="14" t="n"/>
      <c r="D22" s="14" t="n"/>
      <c r="E22" s="14" t="n"/>
    </row>
    <row r="23">
      <c r="A23" s="11">
        <f>'Résultats observations'!A30</f>
        <v/>
      </c>
      <c r="B23" s="14" t="n"/>
      <c r="C23" s="14" t="n"/>
      <c r="D23" s="14" t="n"/>
      <c r="E23" s="14" t="n"/>
    </row>
    <row r="24">
      <c r="A24" s="11">
        <f>'Résultats observations'!A31</f>
        <v/>
      </c>
      <c r="B24" s="14" t="n"/>
      <c r="C24" s="14" t="n"/>
      <c r="D24" s="14" t="n"/>
      <c r="E24" s="14" t="n"/>
    </row>
    <row r="25">
      <c r="A25" s="11">
        <f>'Résultats observations'!A32</f>
        <v/>
      </c>
      <c r="B25" s="14" t="n"/>
      <c r="C25" s="14" t="n"/>
      <c r="D25" s="14" t="n"/>
      <c r="E25" s="14" t="n"/>
    </row>
    <row r="26">
      <c r="A26" s="11">
        <f>'Résultats observations'!A33</f>
        <v/>
      </c>
      <c r="B26" s="14" t="n"/>
      <c r="C26" s="14" t="n"/>
      <c r="D26" s="14" t="n"/>
      <c r="E26" s="14" t="n"/>
    </row>
    <row r="27">
      <c r="A27" s="11">
        <f>'Résultats observations'!A34</f>
        <v/>
      </c>
      <c r="B27" s="14" t="n"/>
      <c r="C27" s="14" t="n"/>
      <c r="D27" s="14" t="n"/>
      <c r="E27" s="14" t="n"/>
    </row>
    <row r="28">
      <c r="A28" s="11">
        <f>'Résultats observations'!A35</f>
        <v/>
      </c>
      <c r="B28" s="14" t="n"/>
      <c r="C28" s="14" t="n"/>
      <c r="D28" s="14" t="n"/>
      <c r="E28" s="14" t="n"/>
    </row>
    <row r="29">
      <c r="A29" s="11">
        <f>'Résultats observations'!A36</f>
        <v/>
      </c>
      <c r="B29" s="14" t="n"/>
      <c r="C29" s="14" t="n"/>
      <c r="D29" s="14" t="n"/>
      <c r="E29" s="14" t="n"/>
    </row>
    <row r="30">
      <c r="A30" s="11">
        <f>'Résultats observations'!A37</f>
        <v/>
      </c>
      <c r="B30" s="14" t="n"/>
      <c r="C30" s="14" t="n"/>
      <c r="D30" s="14" t="n"/>
      <c r="E30" s="14" t="n"/>
    </row>
    <row r="31">
      <c r="A31" s="11">
        <f>'Résultats observations'!A38</f>
        <v/>
      </c>
      <c r="B31" s="14" t="n"/>
      <c r="C31" s="14" t="n"/>
      <c r="D31" s="14" t="n"/>
      <c r="E31" s="14" t="n"/>
    </row>
    <row r="32">
      <c r="A32" s="11">
        <f>'Résultats observations'!A39</f>
        <v/>
      </c>
      <c r="B32" s="14" t="n"/>
      <c r="C32" s="14" t="n"/>
      <c r="D32" s="14" t="n"/>
      <c r="E32" s="14" t="n"/>
    </row>
    <row r="33">
      <c r="A33" s="11">
        <f>'Résultats observations'!A40</f>
        <v/>
      </c>
      <c r="B33" s="14" t="n"/>
      <c r="C33" s="14" t="n"/>
      <c r="D33" s="14" t="n"/>
      <c r="E33" s="14" t="n"/>
    </row>
    <row r="34">
      <c r="A34" s="11">
        <f>'Résultats observations'!A41</f>
        <v/>
      </c>
      <c r="B34" s="14" t="n"/>
      <c r="C34" s="14" t="n"/>
      <c r="D34" s="14" t="n"/>
      <c r="E34" s="14" t="n"/>
    </row>
    <row r="35">
      <c r="A35" s="11">
        <f>'Résultats observations'!A42</f>
        <v/>
      </c>
      <c r="B35" s="14" t="n"/>
      <c r="C35" s="14" t="n"/>
      <c r="D35" s="14" t="n"/>
      <c r="E35" s="14" t="n"/>
    </row>
    <row r="36">
      <c r="A36" s="11">
        <f>'Résultats observations'!A43</f>
        <v/>
      </c>
      <c r="B36" s="14" t="n"/>
      <c r="C36" s="14" t="n"/>
      <c r="D36" s="14" t="n"/>
      <c r="E36" s="14" t="n"/>
    </row>
    <row r="37">
      <c r="A37" s="11">
        <f>'Résultats observations'!A44</f>
        <v/>
      </c>
      <c r="B37" s="14" t="n"/>
      <c r="C37" s="14" t="n"/>
      <c r="D37" s="14" t="n"/>
      <c r="E37" s="14" t="n"/>
    </row>
    <row r="38">
      <c r="A38" s="11">
        <f>'Résultats observations'!A45</f>
        <v/>
      </c>
      <c r="B38" s="14" t="n"/>
      <c r="C38" s="14" t="n"/>
      <c r="D38" s="14" t="n"/>
      <c r="E38" s="14" t="n"/>
    </row>
    <row r="39">
      <c r="A39" s="11">
        <f>'Résultats observations'!A46</f>
        <v/>
      </c>
      <c r="B39" s="14" t="n"/>
      <c r="C39" s="14" t="n"/>
      <c r="D39" s="14" t="n"/>
      <c r="E39" s="14" t="n"/>
    </row>
    <row r="40">
      <c r="A40" s="11" t="n"/>
      <c r="B40" s="14" t="n"/>
      <c r="C40" s="14" t="n"/>
      <c r="D40" s="14" t="n"/>
      <c r="E40" s="14" t="n"/>
    </row>
    <row r="41">
      <c r="A41" s="11" t="n"/>
      <c r="B41" s="14" t="n"/>
      <c r="C41" s="14" t="n"/>
      <c r="D41" s="14" t="n"/>
      <c r="E41" s="14" t="n"/>
    </row>
    <row r="42">
      <c r="A42" s="11" t="n"/>
      <c r="B42" s="14" t="n"/>
      <c r="C42" s="14" t="n"/>
      <c r="D42" s="14" t="n"/>
      <c r="E42" s="14" t="n"/>
    </row>
    <row r="43">
      <c r="A43" s="11" t="n"/>
      <c r="B43" s="14" t="n"/>
      <c r="C43" s="14" t="n"/>
      <c r="D43" s="14" t="n"/>
      <c r="E43" s="14" t="n"/>
    </row>
    <row r="44">
      <c r="A44" s="11" t="n"/>
      <c r="B44" s="14" t="n"/>
      <c r="C44" s="14" t="n"/>
      <c r="D44" s="14" t="n"/>
      <c r="E44" s="14" t="n"/>
    </row>
    <row r="45">
      <c r="A45" s="11" t="n"/>
      <c r="B45" s="14" t="n"/>
      <c r="C45" s="14" t="n"/>
      <c r="D45" s="14" t="n"/>
      <c r="E45" s="14" t="n"/>
    </row>
    <row r="46">
      <c r="A46" s="11" t="n"/>
      <c r="B46" s="14" t="n"/>
      <c r="C46" s="14" t="n"/>
      <c r="D46" s="14" t="n"/>
      <c r="E46" s="14" t="n"/>
    </row>
    <row r="47">
      <c r="A47" s="11" t="n"/>
      <c r="B47" s="14" t="n"/>
      <c r="C47" s="14" t="n"/>
      <c r="D47" s="14" t="n"/>
      <c r="E47" s="14" t="n"/>
    </row>
    <row r="48">
      <c r="A48" s="11" t="n"/>
      <c r="B48" s="14" t="n"/>
      <c r="C48" s="14" t="n"/>
      <c r="D48" s="14" t="n"/>
      <c r="E48" s="14" t="n"/>
    </row>
    <row r="49">
      <c r="A49" s="11" t="n"/>
      <c r="B49" s="14" t="n"/>
      <c r="C49" s="14" t="n"/>
      <c r="D49" s="14" t="n"/>
      <c r="E49" s="14" t="n"/>
    </row>
    <row r="50">
      <c r="A50" s="11" t="n"/>
      <c r="B50" s="14" t="n"/>
      <c r="C50" s="14" t="n"/>
      <c r="D50" s="14" t="n"/>
      <c r="E50" s="14" t="n"/>
    </row>
    <row r="51">
      <c r="A51" s="11" t="n"/>
      <c r="B51" s="14" t="n"/>
      <c r="C51" s="14" t="n"/>
      <c r="D51" s="14" t="n"/>
      <c r="E51" s="14" t="n"/>
    </row>
    <row r="52">
      <c r="A52" s="11" t="n"/>
      <c r="B52" s="14" t="n"/>
      <c r="C52" s="14" t="n"/>
      <c r="D52" s="14" t="n"/>
      <c r="E52" s="14" t="n"/>
    </row>
    <row r="53">
      <c r="A53" s="11" t="n"/>
      <c r="B53" s="14" t="n"/>
      <c r="C53" s="14" t="n"/>
      <c r="D53" s="14" t="n"/>
      <c r="E53" s="14" t="n"/>
    </row>
    <row r="54">
      <c r="A54" s="11" t="n"/>
      <c r="B54" s="14" t="n"/>
      <c r="C54" s="14" t="n"/>
      <c r="D54" s="14" t="n"/>
      <c r="E54" s="14" t="n"/>
    </row>
    <row r="55">
      <c r="A55" s="11" t="n"/>
      <c r="B55" s="14" t="n"/>
      <c r="C55" s="14" t="n"/>
      <c r="D55" s="14" t="n"/>
      <c r="E55" s="14" t="n"/>
    </row>
    <row r="56">
      <c r="A56" s="11" t="n"/>
      <c r="B56" s="14" t="n"/>
      <c r="C56" s="14" t="n"/>
      <c r="D56" s="14" t="n"/>
      <c r="E56" s="14" t="n"/>
    </row>
    <row r="57">
      <c r="A57" s="11" t="n"/>
      <c r="B57" s="14" t="n"/>
      <c r="C57" s="14" t="n"/>
      <c r="D57" s="14" t="n"/>
      <c r="E57" s="14" t="n"/>
    </row>
    <row r="58">
      <c r="A58" s="11" t="n"/>
      <c r="B58" s="14" t="n"/>
      <c r="C58" s="14" t="n"/>
      <c r="D58" s="14" t="n"/>
      <c r="E58" s="14" t="n"/>
    </row>
    <row r="59">
      <c r="A59" s="11" t="n"/>
      <c r="B59" s="14" t="n"/>
      <c r="C59" s="14" t="n"/>
      <c r="D59" s="14" t="n"/>
      <c r="E59" s="14" t="n"/>
    </row>
    <row r="60">
      <c r="A60" s="11" t="n"/>
      <c r="B60" s="14" t="n"/>
      <c r="C60" s="14" t="n"/>
      <c r="D60" s="14" t="n"/>
      <c r="E60" s="14" t="n"/>
    </row>
    <row r="61">
      <c r="A61" s="11" t="n"/>
      <c r="B61" s="14" t="n"/>
      <c r="C61" s="14" t="n"/>
      <c r="D61" s="14" t="n"/>
      <c r="E61" s="14" t="n"/>
    </row>
    <row r="62">
      <c r="A62" s="11" t="n"/>
      <c r="B62" s="14" t="n"/>
      <c r="C62" s="14" t="n"/>
      <c r="D62" s="14" t="n"/>
      <c r="E62" s="14" t="n"/>
    </row>
    <row r="63">
      <c r="A63" s="11" t="n"/>
      <c r="B63" s="14" t="n"/>
      <c r="C63" s="14" t="n"/>
      <c r="D63" s="14" t="n"/>
      <c r="E63" s="14" t="n"/>
    </row>
    <row r="64">
      <c r="A64" s="11" t="n"/>
      <c r="B64" s="14" t="n"/>
      <c r="C64" s="14" t="n"/>
      <c r="D64" s="14" t="n"/>
      <c r="E64" s="14" t="n"/>
    </row>
    <row r="65">
      <c r="A65" s="11" t="n"/>
      <c r="B65" s="14" t="n"/>
      <c r="C65" s="14" t="n"/>
      <c r="D65" s="14" t="n"/>
      <c r="E65" s="14" t="n"/>
    </row>
    <row r="66">
      <c r="A66" s="11" t="n"/>
      <c r="B66" s="14" t="n"/>
      <c r="C66" s="14" t="n"/>
      <c r="D66" s="14" t="n"/>
      <c r="E66" s="14" t="n"/>
    </row>
    <row r="67">
      <c r="A67" s="11" t="n"/>
      <c r="B67" s="14" t="n"/>
      <c r="C67" s="14" t="n"/>
      <c r="D67" s="14" t="n"/>
      <c r="E67" s="14" t="n"/>
    </row>
    <row r="68">
      <c r="A68" s="11" t="n"/>
      <c r="B68" s="14" t="n"/>
      <c r="C68" s="14" t="n"/>
      <c r="D68" s="14" t="n"/>
      <c r="E68" s="14" t="n"/>
    </row>
    <row r="69">
      <c r="A69" s="11" t="n"/>
      <c r="B69" s="14" t="n"/>
      <c r="C69" s="14" t="n"/>
      <c r="D69" s="14" t="n"/>
      <c r="E69" s="14" t="n"/>
    </row>
    <row r="70">
      <c r="A70" s="11" t="n"/>
      <c r="B70" s="14" t="n"/>
      <c r="C70" s="14" t="n"/>
      <c r="D70" s="14" t="n"/>
      <c r="E70" s="14" t="n"/>
    </row>
    <row r="71">
      <c r="A71" s="11" t="n"/>
      <c r="B71" s="14" t="n"/>
      <c r="C71" s="14" t="n"/>
      <c r="D71" s="14" t="n"/>
      <c r="E71" s="14" t="n"/>
    </row>
    <row r="72">
      <c r="A72" s="11" t="n"/>
      <c r="B72" s="14" t="n"/>
      <c r="C72" s="14" t="n"/>
      <c r="D72" s="14" t="n"/>
      <c r="E72" s="14" t="n"/>
    </row>
    <row r="73">
      <c r="A73" s="11" t="n"/>
      <c r="B73" s="14" t="n"/>
      <c r="C73" s="14" t="n"/>
      <c r="D73" s="14" t="n"/>
      <c r="E73" s="14" t="n"/>
    </row>
    <row r="74">
      <c r="A74" s="11" t="n"/>
      <c r="B74" s="14" t="n"/>
      <c r="C74" s="14" t="n"/>
      <c r="D74" s="14" t="n"/>
      <c r="E74" s="14" t="n"/>
    </row>
    <row r="75">
      <c r="A75" s="11" t="n"/>
      <c r="B75" s="14" t="n"/>
      <c r="C75" s="14" t="n"/>
      <c r="D75" s="14" t="n"/>
      <c r="E75" s="14" t="n"/>
    </row>
    <row r="76">
      <c r="A76" s="11" t="n"/>
      <c r="B76" s="14" t="n"/>
      <c r="C76" s="14" t="n"/>
      <c r="D76" s="14" t="n"/>
      <c r="E76" s="14" t="n"/>
    </row>
    <row r="77">
      <c r="A77" s="11" t="n"/>
      <c r="B77" s="14" t="n"/>
      <c r="C77" s="14" t="n"/>
      <c r="D77" s="14" t="n"/>
      <c r="E77" s="14" t="n"/>
    </row>
    <row r="78">
      <c r="A78" s="11" t="n"/>
      <c r="B78" s="14" t="n"/>
      <c r="C78" s="14" t="n"/>
      <c r="D78" s="14" t="n"/>
      <c r="E78" s="14" t="n"/>
    </row>
    <row r="79">
      <c r="A79" s="11" t="n"/>
      <c r="B79" s="14" t="n"/>
      <c r="C79" s="14" t="n"/>
      <c r="D79" s="14" t="n"/>
      <c r="E79" s="14" t="n"/>
    </row>
    <row r="80">
      <c r="A80" s="11" t="n"/>
      <c r="B80" s="14" t="n"/>
      <c r="C80" s="14" t="n"/>
      <c r="D80" s="14" t="n"/>
      <c r="E80" s="14" t="n"/>
    </row>
    <row r="81">
      <c r="A81" s="11" t="n"/>
      <c r="B81" s="14" t="n"/>
      <c r="C81" s="14" t="n"/>
      <c r="D81" s="14" t="n"/>
      <c r="E81" s="14" t="n"/>
    </row>
    <row r="82">
      <c r="A82" s="11" t="n"/>
      <c r="B82" s="14" t="n"/>
      <c r="C82" s="14" t="n"/>
      <c r="D82" s="14" t="n"/>
      <c r="E82" s="14" t="n"/>
    </row>
    <row r="83">
      <c r="A83" s="11" t="n"/>
      <c r="B83" s="14" t="n"/>
      <c r="C83" s="14" t="n"/>
      <c r="D83" s="14" t="n"/>
      <c r="E83" s="14" t="n"/>
    </row>
    <row r="84">
      <c r="A84" s="11" t="n"/>
      <c r="B84" s="14" t="n"/>
      <c r="C84" s="14" t="n"/>
      <c r="D84" s="14" t="n"/>
      <c r="E84" s="14" t="n"/>
    </row>
    <row r="85">
      <c r="A85" s="11" t="n"/>
      <c r="B85" s="14" t="n"/>
      <c r="C85" s="14" t="n"/>
      <c r="D85" s="14" t="n"/>
      <c r="E85" s="14" t="n"/>
    </row>
    <row r="86">
      <c r="A86" s="11" t="n"/>
      <c r="B86" s="14" t="n"/>
      <c r="C86" s="14" t="n"/>
      <c r="D86" s="14" t="n"/>
      <c r="E86" s="14" t="n"/>
    </row>
    <row r="87">
      <c r="A87" s="11" t="n"/>
      <c r="B87" s="14" t="n"/>
      <c r="C87" s="14" t="n"/>
      <c r="D87" s="14" t="n"/>
      <c r="E87" s="14" t="n"/>
    </row>
    <row r="88">
      <c r="A88" s="11" t="n"/>
      <c r="B88" s="14" t="n"/>
      <c r="C88" s="14" t="n"/>
      <c r="D88" s="14" t="n"/>
      <c r="E88" s="14" t="n"/>
    </row>
    <row r="89">
      <c r="A89" s="11" t="n"/>
      <c r="B89" s="14" t="n"/>
      <c r="C89" s="14" t="n"/>
      <c r="D89" s="14" t="n"/>
      <c r="E89" s="14" t="n"/>
    </row>
    <row r="90">
      <c r="A90" s="11" t="n"/>
      <c r="B90" s="14" t="n"/>
      <c r="C90" s="14" t="n"/>
      <c r="D90" s="14" t="n"/>
      <c r="E90" s="14" t="n"/>
    </row>
    <row r="91">
      <c r="A91" s="11" t="n"/>
      <c r="B91" s="14" t="n"/>
      <c r="C91" s="14" t="n"/>
      <c r="D91" s="14" t="n"/>
      <c r="E91" s="14" t="n"/>
    </row>
    <row r="92">
      <c r="A92" s="11" t="n"/>
      <c r="B92" s="14" t="n"/>
      <c r="C92" s="14" t="n"/>
      <c r="D92" s="14" t="n"/>
      <c r="E92" s="14" t="n"/>
    </row>
    <row r="93">
      <c r="A93" s="11" t="n"/>
      <c r="B93" s="14" t="n"/>
      <c r="C93" s="14" t="n"/>
      <c r="D93" s="14" t="n"/>
      <c r="E93" s="14" t="n"/>
    </row>
    <row r="94">
      <c r="A94" s="11" t="n"/>
      <c r="B94" s="14" t="n"/>
      <c r="C94" s="14" t="n"/>
      <c r="D94" s="14" t="n"/>
      <c r="E94" s="14" t="n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7:U15"/>
  <sheetViews>
    <sheetView workbookViewId="0">
      <selection activeCell="J17" sqref="J17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>0</f>
        <v/>
      </c>
      <c r="D10">
        <f>0</f>
        <v/>
      </c>
      <c r="E10">
        <f>0</f>
        <v/>
      </c>
      <c r="F10">
        <f>0</f>
        <v/>
      </c>
      <c r="G10">
        <f>0</f>
        <v/>
      </c>
      <c r="H10">
        <f>0</f>
        <v/>
      </c>
      <c r="I10">
        <f>0</f>
        <v/>
      </c>
      <c r="J10">
        <f>0</f>
        <v/>
      </c>
      <c r="K10">
        <f>0</f>
        <v/>
      </c>
      <c r="L10">
        <f>0</f>
        <v/>
      </c>
      <c r="M10">
        <f>0</f>
        <v/>
      </c>
      <c r="N10">
        <f>0</f>
        <v/>
      </c>
      <c r="O10">
        <f>0</f>
        <v/>
      </c>
      <c r="P10">
        <f>0</f>
        <v/>
      </c>
      <c r="Q10">
        <f>0</f>
        <v/>
      </c>
      <c r="R10">
        <f>0</f>
        <v/>
      </c>
      <c r="S10">
        <f>0</f>
        <v/>
      </c>
      <c r="T10">
        <f>0</f>
        <v/>
      </c>
      <c r="U10">
        <f>0</f>
        <v/>
      </c>
    </row>
    <row r="11">
      <c r="C11">
        <f>0</f>
        <v/>
      </c>
      <c r="D11">
        <f>0</f>
        <v/>
      </c>
      <c r="E11">
        <f>0</f>
        <v/>
      </c>
      <c r="F11">
        <f>0</f>
        <v/>
      </c>
      <c r="G11">
        <f>0</f>
        <v/>
      </c>
      <c r="H11">
        <f>0</f>
        <v/>
      </c>
      <c r="I11">
        <f>0</f>
        <v/>
      </c>
      <c r="J11">
        <f>0</f>
        <v/>
      </c>
      <c r="K11">
        <f>0</f>
        <v/>
      </c>
      <c r="L11">
        <f>0</f>
        <v/>
      </c>
      <c r="M11">
        <f>0</f>
        <v/>
      </c>
      <c r="N11">
        <f>0</f>
        <v/>
      </c>
      <c r="O11">
        <f>0</f>
        <v/>
      </c>
      <c r="P11">
        <f>0</f>
        <v/>
      </c>
      <c r="Q11">
        <f>0</f>
        <v/>
      </c>
      <c r="R11">
        <f>0</f>
        <v/>
      </c>
      <c r="S11">
        <f>0</f>
        <v/>
      </c>
      <c r="T11">
        <f>0</f>
        <v/>
      </c>
      <c r="U11">
        <f>0</f>
        <v/>
      </c>
    </row>
    <row r="12">
      <c r="C12">
        <f>0</f>
        <v/>
      </c>
      <c r="D12">
        <f>0</f>
        <v/>
      </c>
      <c r="E12">
        <f>0</f>
        <v/>
      </c>
      <c r="F12">
        <f>0</f>
        <v/>
      </c>
      <c r="G12">
        <f>0</f>
        <v/>
      </c>
      <c r="H12">
        <f>0</f>
        <v/>
      </c>
      <c r="I12">
        <f>0</f>
        <v/>
      </c>
      <c r="J12">
        <f>0</f>
        <v/>
      </c>
      <c r="K12">
        <f>0</f>
        <v/>
      </c>
      <c r="L12">
        <f>0</f>
        <v/>
      </c>
      <c r="M12">
        <f>0</f>
        <v/>
      </c>
      <c r="N12">
        <f>0</f>
        <v/>
      </c>
      <c r="O12">
        <f>0</f>
        <v/>
      </c>
      <c r="P12">
        <f>0</f>
        <v/>
      </c>
      <c r="Q12">
        <f>0</f>
        <v/>
      </c>
      <c r="R12">
        <f>0</f>
        <v/>
      </c>
      <c r="S12">
        <f>0</f>
        <v/>
      </c>
      <c r="T12">
        <f>0</f>
        <v/>
      </c>
      <c r="U12">
        <f>0</f>
        <v/>
      </c>
    </row>
    <row r="13">
      <c r="C13">
        <f>0</f>
        <v/>
      </c>
      <c r="D13">
        <f>0</f>
        <v/>
      </c>
      <c r="E13">
        <f>0</f>
        <v/>
      </c>
      <c r="F13">
        <f>0</f>
        <v/>
      </c>
      <c r="G13">
        <f>0</f>
        <v/>
      </c>
      <c r="H13">
        <f>0</f>
        <v/>
      </c>
      <c r="I13">
        <f>0</f>
        <v/>
      </c>
      <c r="J13">
        <f>0</f>
        <v/>
      </c>
      <c r="K13">
        <f>0</f>
        <v/>
      </c>
      <c r="L13">
        <f>0</f>
        <v/>
      </c>
      <c r="M13">
        <f>0</f>
        <v/>
      </c>
      <c r="N13">
        <f>0</f>
        <v/>
      </c>
      <c r="O13">
        <f>0</f>
        <v/>
      </c>
      <c r="P13">
        <f>0</f>
        <v/>
      </c>
      <c r="Q13">
        <f>0</f>
        <v/>
      </c>
      <c r="R13">
        <f>0</f>
        <v/>
      </c>
      <c r="S13">
        <f>0</f>
        <v/>
      </c>
      <c r="T13">
        <f>0</f>
        <v/>
      </c>
      <c r="U13">
        <f>0</f>
        <v/>
      </c>
    </row>
    <row r="14">
      <c r="C14">
        <f>0</f>
        <v/>
      </c>
      <c r="D14">
        <f>0</f>
        <v/>
      </c>
      <c r="E14">
        <f>0</f>
        <v/>
      </c>
      <c r="F14">
        <f>0</f>
        <v/>
      </c>
      <c r="G14">
        <f>0</f>
        <v/>
      </c>
      <c r="H14">
        <f>0</f>
        <v/>
      </c>
      <c r="I14">
        <f>0</f>
        <v/>
      </c>
      <c r="J14">
        <f>0</f>
        <v/>
      </c>
      <c r="K14">
        <f>0</f>
        <v/>
      </c>
      <c r="L14">
        <f>0</f>
        <v/>
      </c>
      <c r="M14">
        <f>0</f>
        <v/>
      </c>
      <c r="N14">
        <f>0</f>
        <v/>
      </c>
      <c r="O14">
        <f>0</f>
        <v/>
      </c>
      <c r="P14">
        <f>0</f>
        <v/>
      </c>
      <c r="Q14">
        <f>0</f>
        <v/>
      </c>
      <c r="R14">
        <f>0</f>
        <v/>
      </c>
      <c r="S14">
        <f>0</f>
        <v/>
      </c>
      <c r="T14">
        <f>0</f>
        <v/>
      </c>
      <c r="U14">
        <f>0</f>
        <v/>
      </c>
    </row>
    <row r="15">
      <c r="C15">
        <f>0</f>
        <v/>
      </c>
      <c r="D15">
        <f>0</f>
        <v/>
      </c>
      <c r="E15">
        <f>0</f>
        <v/>
      </c>
      <c r="F15">
        <f>0</f>
        <v/>
      </c>
      <c r="G15">
        <f>0</f>
        <v/>
      </c>
      <c r="H15">
        <f>0</f>
        <v/>
      </c>
      <c r="I15">
        <f>0</f>
        <v/>
      </c>
      <c r="J15">
        <f>0</f>
        <v/>
      </c>
      <c r="K15">
        <f>0</f>
        <v/>
      </c>
      <c r="L15">
        <f>0</f>
        <v/>
      </c>
      <c r="M15">
        <f>0</f>
        <v/>
      </c>
      <c r="N15">
        <f>0</f>
        <v/>
      </c>
      <c r="O15">
        <f>0</f>
        <v/>
      </c>
      <c r="P15">
        <f>0</f>
        <v/>
      </c>
      <c r="Q15">
        <f>0</f>
        <v/>
      </c>
      <c r="R15">
        <f>0</f>
        <v/>
      </c>
      <c r="S15">
        <f>0</f>
        <v/>
      </c>
      <c r="T15">
        <f>0</f>
        <v/>
      </c>
      <c r="U15">
        <f>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U15"/>
  <sheetViews>
    <sheetView workbookViewId="0">
      <selection activeCell="A1" sqref="A1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>0</f>
        <v/>
      </c>
      <c r="D10">
        <f>0</f>
        <v/>
      </c>
      <c r="E10">
        <f>0</f>
        <v/>
      </c>
      <c r="F10">
        <f>0</f>
        <v/>
      </c>
      <c r="G10">
        <f>0</f>
        <v/>
      </c>
      <c r="H10">
        <f>0</f>
        <v/>
      </c>
      <c r="I10">
        <f>0</f>
        <v/>
      </c>
      <c r="J10">
        <f>0</f>
        <v/>
      </c>
      <c r="K10">
        <f>0</f>
        <v/>
      </c>
      <c r="L10">
        <f>0</f>
        <v/>
      </c>
      <c r="M10">
        <f>0</f>
        <v/>
      </c>
      <c r="N10">
        <f>0</f>
        <v/>
      </c>
      <c r="O10">
        <f>0</f>
        <v/>
      </c>
      <c r="P10">
        <f>0</f>
        <v/>
      </c>
      <c r="Q10">
        <f>0</f>
        <v/>
      </c>
      <c r="R10">
        <f>0</f>
        <v/>
      </c>
      <c r="S10">
        <f>0</f>
        <v/>
      </c>
      <c r="T10">
        <f>0</f>
        <v/>
      </c>
      <c r="U10">
        <f>0</f>
        <v/>
      </c>
    </row>
    <row r="11">
      <c r="C11">
        <f>0</f>
        <v/>
      </c>
      <c r="D11">
        <f>0</f>
        <v/>
      </c>
      <c r="E11">
        <f>0</f>
        <v/>
      </c>
      <c r="F11">
        <f>0</f>
        <v/>
      </c>
      <c r="G11">
        <f>0</f>
        <v/>
      </c>
      <c r="H11">
        <f>0</f>
        <v/>
      </c>
      <c r="I11">
        <f>0</f>
        <v/>
      </c>
      <c r="J11">
        <f>0</f>
        <v/>
      </c>
      <c r="K11">
        <f>0</f>
        <v/>
      </c>
      <c r="L11">
        <f>0</f>
        <v/>
      </c>
      <c r="M11">
        <f>0</f>
        <v/>
      </c>
      <c r="N11">
        <f>0</f>
        <v/>
      </c>
      <c r="O11">
        <f>0</f>
        <v/>
      </c>
      <c r="P11">
        <f>0</f>
        <v/>
      </c>
      <c r="Q11">
        <f>0</f>
        <v/>
      </c>
      <c r="R11">
        <f>0</f>
        <v/>
      </c>
      <c r="S11">
        <f>0</f>
        <v/>
      </c>
      <c r="T11">
        <f>0</f>
        <v/>
      </c>
      <c r="U11">
        <f>0</f>
        <v/>
      </c>
    </row>
    <row r="12">
      <c r="C12">
        <f>0</f>
        <v/>
      </c>
      <c r="D12">
        <f>0</f>
        <v/>
      </c>
      <c r="E12">
        <f>0</f>
        <v/>
      </c>
      <c r="F12">
        <f>0</f>
        <v/>
      </c>
      <c r="G12">
        <f>0</f>
        <v/>
      </c>
      <c r="H12">
        <f>0</f>
        <v/>
      </c>
      <c r="I12">
        <f>0</f>
        <v/>
      </c>
      <c r="J12">
        <f>0</f>
        <v/>
      </c>
      <c r="K12">
        <f>0</f>
        <v/>
      </c>
      <c r="L12">
        <f>0</f>
        <v/>
      </c>
      <c r="M12">
        <f>0</f>
        <v/>
      </c>
      <c r="N12">
        <f>0</f>
        <v/>
      </c>
      <c r="O12">
        <f>0</f>
        <v/>
      </c>
      <c r="P12">
        <f>0</f>
        <v/>
      </c>
      <c r="Q12">
        <f>0</f>
        <v/>
      </c>
      <c r="R12">
        <f>0</f>
        <v/>
      </c>
      <c r="S12">
        <f>0</f>
        <v/>
      </c>
      <c r="T12">
        <f>0</f>
        <v/>
      </c>
      <c r="U12">
        <f>0</f>
        <v/>
      </c>
    </row>
    <row r="13">
      <c r="C13">
        <f>0</f>
        <v/>
      </c>
      <c r="D13">
        <f>0</f>
        <v/>
      </c>
      <c r="E13">
        <f>0</f>
        <v/>
      </c>
      <c r="F13">
        <f>0</f>
        <v/>
      </c>
      <c r="G13">
        <f>0</f>
        <v/>
      </c>
      <c r="H13">
        <f>0</f>
        <v/>
      </c>
      <c r="I13">
        <f>0</f>
        <v/>
      </c>
      <c r="J13">
        <f>0</f>
        <v/>
      </c>
      <c r="K13">
        <f>0</f>
        <v/>
      </c>
      <c r="L13">
        <f>0</f>
        <v/>
      </c>
      <c r="M13">
        <f>0</f>
        <v/>
      </c>
      <c r="N13">
        <f>0</f>
        <v/>
      </c>
      <c r="O13">
        <f>0</f>
        <v/>
      </c>
      <c r="P13">
        <f>0</f>
        <v/>
      </c>
      <c r="Q13">
        <f>0</f>
        <v/>
      </c>
      <c r="R13">
        <f>0</f>
        <v/>
      </c>
      <c r="S13">
        <f>0</f>
        <v/>
      </c>
      <c r="T13">
        <f>0</f>
        <v/>
      </c>
      <c r="U13">
        <f>0</f>
        <v/>
      </c>
    </row>
    <row r="14">
      <c r="C14">
        <f>0</f>
        <v/>
      </c>
      <c r="D14">
        <f>0</f>
        <v/>
      </c>
      <c r="E14">
        <f>0</f>
        <v/>
      </c>
      <c r="F14">
        <f>0</f>
        <v/>
      </c>
      <c r="G14">
        <f>0</f>
        <v/>
      </c>
      <c r="H14">
        <f>0</f>
        <v/>
      </c>
      <c r="I14">
        <f>0</f>
        <v/>
      </c>
      <c r="J14">
        <f>0</f>
        <v/>
      </c>
      <c r="K14">
        <f>0</f>
        <v/>
      </c>
      <c r="L14">
        <f>0</f>
        <v/>
      </c>
      <c r="M14">
        <f>0</f>
        <v/>
      </c>
      <c r="N14">
        <f>0</f>
        <v/>
      </c>
      <c r="O14">
        <f>0</f>
        <v/>
      </c>
      <c r="P14">
        <f>0</f>
        <v/>
      </c>
      <c r="Q14">
        <f>0</f>
        <v/>
      </c>
      <c r="R14">
        <f>0</f>
        <v/>
      </c>
      <c r="S14">
        <f>0</f>
        <v/>
      </c>
      <c r="T14">
        <f>0</f>
        <v/>
      </c>
      <c r="U14">
        <f>0</f>
        <v/>
      </c>
    </row>
    <row r="15">
      <c r="C15">
        <f>0</f>
        <v/>
      </c>
      <c r="D15">
        <f>0</f>
        <v/>
      </c>
      <c r="E15">
        <f>0</f>
        <v/>
      </c>
      <c r="F15">
        <f>0</f>
        <v/>
      </c>
      <c r="G15">
        <f>0</f>
        <v/>
      </c>
      <c r="H15">
        <f>0</f>
        <v/>
      </c>
      <c r="I15">
        <f>0</f>
        <v/>
      </c>
      <c r="J15">
        <f>0</f>
        <v/>
      </c>
      <c r="K15">
        <f>0</f>
        <v/>
      </c>
      <c r="L15">
        <f>0</f>
        <v/>
      </c>
      <c r="M15">
        <f>0</f>
        <v/>
      </c>
      <c r="N15">
        <f>0</f>
        <v/>
      </c>
      <c r="O15">
        <f>0</f>
        <v/>
      </c>
      <c r="P15">
        <f>0</f>
        <v/>
      </c>
      <c r="Q15">
        <f>0</f>
        <v/>
      </c>
      <c r="R15">
        <f>0</f>
        <v/>
      </c>
      <c r="S15">
        <f>0</f>
        <v/>
      </c>
      <c r="T15">
        <f>0</f>
        <v/>
      </c>
      <c r="U15">
        <f>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7:BJ15"/>
  <sheetViews>
    <sheetView workbookViewId="0">
      <selection activeCell="N9" sqref="N9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ΔV1_PM</t>
        </is>
      </c>
      <c r="D9" t="inlineStr">
        <is>
          <t>ΔV1_H</t>
        </is>
      </c>
      <c r="E9" t="inlineStr">
        <is>
          <t>ΔV1_V</t>
        </is>
      </c>
      <c r="F9" t="inlineStr">
        <is>
          <t>ΔV2_PM</t>
        </is>
      </c>
      <c r="G9" t="inlineStr">
        <is>
          <t>ΔV2_H</t>
        </is>
      </c>
      <c r="H9" t="inlineStr">
        <is>
          <t>ΔV2_V</t>
        </is>
      </c>
      <c r="I9" t="inlineStr">
        <is>
          <t>ΔV3_PM</t>
        </is>
      </c>
      <c r="J9" t="inlineStr">
        <is>
          <t>ΔV3_H</t>
        </is>
      </c>
      <c r="K9" t="inlineStr">
        <is>
          <t>ΔV3_V</t>
        </is>
      </c>
      <c r="L9" t="inlineStr">
        <is>
          <t>ΔH1_PM</t>
        </is>
      </c>
      <c r="M9" t="inlineStr">
        <is>
          <t>ΔH1_H</t>
        </is>
      </c>
      <c r="N9" t="inlineStr">
        <is>
          <t>ΔH1_V</t>
        </is>
      </c>
      <c r="O9" t="inlineStr">
        <is>
          <t>ΔH2_PM</t>
        </is>
      </c>
      <c r="P9" t="inlineStr">
        <is>
          <t>ΔH2_H</t>
        </is>
      </c>
      <c r="Q9" t="inlineStr">
        <is>
          <t>ΔH2_V</t>
        </is>
      </c>
      <c r="R9" t="inlineStr">
        <is>
          <t>ΔH3_PM</t>
        </is>
      </c>
      <c r="S9" t="inlineStr">
        <is>
          <t>ΔH3_H</t>
        </is>
      </c>
      <c r="T9" t="inlineStr">
        <is>
          <t>ΔH3_V</t>
        </is>
      </c>
      <c r="U9" t="inlineStr">
        <is>
          <t>ΔH4_PM</t>
        </is>
      </c>
      <c r="V9" t="inlineStr">
        <is>
          <t>ΔH4_H</t>
        </is>
      </c>
      <c r="W9" t="inlineStr">
        <is>
          <t>ΔH4_V</t>
        </is>
      </c>
      <c r="X9" t="inlineStr">
        <is>
          <t>ΔH5_PM</t>
        </is>
      </c>
      <c r="Y9" t="inlineStr">
        <is>
          <t>ΔH5_H</t>
        </is>
      </c>
      <c r="Z9" t="inlineStr">
        <is>
          <t>ΔH5_V</t>
        </is>
      </c>
      <c r="AA9" t="inlineStr">
        <is>
          <t>ΔB1_PM</t>
        </is>
      </c>
      <c r="AB9" t="inlineStr">
        <is>
          <t>ΔB1_H</t>
        </is>
      </c>
      <c r="AC9" t="inlineStr">
        <is>
          <t>ΔB1_V</t>
        </is>
      </c>
      <c r="AD9" t="inlineStr">
        <is>
          <t>ΔB2_PM</t>
        </is>
      </c>
      <c r="AE9" t="inlineStr">
        <is>
          <t>ΔB2_H</t>
        </is>
      </c>
      <c r="AF9" t="inlineStr">
        <is>
          <t>ΔB2_V</t>
        </is>
      </c>
      <c r="AG9" t="inlineStr">
        <is>
          <t>ΔB3_PM</t>
        </is>
      </c>
      <c r="AH9" t="inlineStr">
        <is>
          <t>ΔB3_H</t>
        </is>
      </c>
      <c r="AI9" t="inlineStr">
        <is>
          <t>ΔB3_V</t>
        </is>
      </c>
      <c r="AJ9" t="inlineStr">
        <is>
          <t>ΔB4_PM</t>
        </is>
      </c>
      <c r="AK9" t="inlineStr">
        <is>
          <t>ΔB4_H</t>
        </is>
      </c>
      <c r="AL9" t="inlineStr">
        <is>
          <t>ΔB4_V</t>
        </is>
      </c>
      <c r="AM9" t="inlineStr">
        <is>
          <t>ΔB5_PM</t>
        </is>
      </c>
      <c r="AN9" t="inlineStr">
        <is>
          <t>ΔB5_H</t>
        </is>
      </c>
      <c r="AO9" t="inlineStr">
        <is>
          <t>ΔB5_V</t>
        </is>
      </c>
      <c r="AP9" t="inlineStr">
        <is>
          <t>ΔM1_PM</t>
        </is>
      </c>
      <c r="AQ9" t="inlineStr">
        <is>
          <t>ΔM1_H</t>
        </is>
      </c>
      <c r="AR9" t="inlineStr">
        <is>
          <t>ΔM1_V</t>
        </is>
      </c>
      <c r="AS9" t="inlineStr">
        <is>
          <t>ΔM2_PM</t>
        </is>
      </c>
      <c r="AT9" t="inlineStr">
        <is>
          <t>ΔM2_H</t>
        </is>
      </c>
      <c r="AU9" t="inlineStr">
        <is>
          <t>ΔM2_V</t>
        </is>
      </c>
      <c r="AV9" t="inlineStr">
        <is>
          <t>ΔM3_PM</t>
        </is>
      </c>
      <c r="AW9" t="inlineStr">
        <is>
          <t>ΔM3_H</t>
        </is>
      </c>
      <c r="AX9" t="inlineStr">
        <is>
          <t>ΔM3_V</t>
        </is>
      </c>
      <c r="AY9" t="inlineStr">
        <is>
          <t>ΔM4_PM</t>
        </is>
      </c>
      <c r="AZ9" t="inlineStr">
        <is>
          <t>ΔM4_H</t>
        </is>
      </c>
      <c r="BA9" t="inlineStr">
        <is>
          <t>ΔM4_V</t>
        </is>
      </c>
      <c r="BB9" t="inlineStr">
        <is>
          <t>ΔM5_PM</t>
        </is>
      </c>
      <c r="BC9" t="inlineStr">
        <is>
          <t>ΔM5_H</t>
        </is>
      </c>
      <c r="BD9" t="inlineStr">
        <is>
          <t>ΔM5_V</t>
        </is>
      </c>
      <c r="BE9" t="inlineStr">
        <is>
          <t>ΔREF1_PM</t>
        </is>
      </c>
      <c r="BF9" t="inlineStr">
        <is>
          <t>ΔREF1_H</t>
        </is>
      </c>
      <c r="BG9" t="inlineStr">
        <is>
          <t>ΔREF1_V</t>
        </is>
      </c>
      <c r="BH9" t="inlineStr">
        <is>
          <t>ΔREF2_PM</t>
        </is>
      </c>
      <c r="BI9" t="inlineStr">
        <is>
          <t>ΔREF2_H</t>
        </is>
      </c>
      <c r="BJ9" t="inlineStr">
        <is>
          <t>ΔREF2_V</t>
        </is>
      </c>
    </row>
    <row r="10">
      <c r="C10">
        <f>IFERROR(C10-C$10,"")</f>
        <v/>
      </c>
      <c r="D10">
        <f>IFERROR(D10-D$10,"")</f>
        <v/>
      </c>
      <c r="E10">
        <f>IFERROR(E10-E$10,"")</f>
        <v/>
      </c>
      <c r="F10">
        <f>IFERROR(F10-F$10,"")</f>
        <v/>
      </c>
      <c r="G10">
        <f>IFERROR(G10-G$10,"")</f>
        <v/>
      </c>
      <c r="H10">
        <f>IFERROR(H10-H$10,"")</f>
        <v/>
      </c>
      <c r="I10">
        <f>IFERROR(I10-I$10,"")</f>
        <v/>
      </c>
      <c r="J10">
        <f>IFERROR(J10-J$10,"")</f>
        <v/>
      </c>
      <c r="K10">
        <f>IFERROR(K10-K$10,"")</f>
        <v/>
      </c>
      <c r="L10">
        <f>IFERROR(L10-L$10,"")</f>
        <v/>
      </c>
      <c r="M10">
        <f>IFERROR(M10-M$10,"")</f>
        <v/>
      </c>
      <c r="N10">
        <f>IFERROR(N10-N$10,"")</f>
        <v/>
      </c>
      <c r="O10">
        <f>IFERROR(O10-O$10,"")</f>
        <v/>
      </c>
      <c r="P10">
        <f>IFERROR(P10-P$10,"")</f>
        <v/>
      </c>
      <c r="Q10">
        <f>IFERROR(Q10-Q$10,"")</f>
        <v/>
      </c>
      <c r="R10">
        <f>IFERROR(R10-R$10,"")</f>
        <v/>
      </c>
      <c r="S10">
        <f>IFERROR(S10-S$10,"")</f>
        <v/>
      </c>
      <c r="T10">
        <f>IFERROR(T10-T$10,"")</f>
        <v/>
      </c>
      <c r="U10">
        <f>IFERROR(U10-U$10,"")</f>
        <v/>
      </c>
      <c r="V10">
        <f>IFERROR(V10-V$10,"")</f>
        <v/>
      </c>
      <c r="W10">
        <f>IFERROR(W10-W$10,"")</f>
        <v/>
      </c>
      <c r="X10">
        <f>IFERROR(X10-X$10,"")</f>
        <v/>
      </c>
      <c r="Y10">
        <f>IFERROR(Y10-Y$10,"")</f>
        <v/>
      </c>
      <c r="Z10">
        <f>IFERROR(Z10-Z$10,"")</f>
        <v/>
      </c>
      <c r="AA10">
        <f>IFERROR(AA10-AA$10,"")</f>
        <v/>
      </c>
      <c r="AB10">
        <f>IFERROR(AB10-AB$10,"")</f>
        <v/>
      </c>
      <c r="AC10">
        <f>IFERROR(AC10-AC$10,"")</f>
        <v/>
      </c>
      <c r="AD10">
        <f>IFERROR(AD10-AD$10,"")</f>
        <v/>
      </c>
      <c r="AE10">
        <f>IFERROR(AE10-AE$10,"")</f>
        <v/>
      </c>
      <c r="AF10">
        <f>IFERROR(AF10-AF$10,"")</f>
        <v/>
      </c>
      <c r="AG10">
        <f>IFERROR(AG10-AG$10,"")</f>
        <v/>
      </c>
      <c r="AH10">
        <f>IFERROR(AH10-AH$10,"")</f>
        <v/>
      </c>
      <c r="AI10">
        <f>IFERROR(AI10-AI$10,"")</f>
        <v/>
      </c>
      <c r="AJ10">
        <f>IFERROR(AJ10-AJ$10,"")</f>
        <v/>
      </c>
      <c r="AK10">
        <f>IFERROR(AK10-AK$10,"")</f>
        <v/>
      </c>
      <c r="AL10">
        <f>IFERROR(AL10-AL$10,"")</f>
        <v/>
      </c>
      <c r="AM10">
        <f>IFERROR(AM10-AM$10,"")</f>
        <v/>
      </c>
      <c r="AN10">
        <f>IFERROR(AN10-AN$10,"")</f>
        <v/>
      </c>
      <c r="AO10">
        <f>IFERROR(AO10-AO$10,"")</f>
        <v/>
      </c>
      <c r="AP10">
        <f>IFERROR(AP10-AP$10,"")</f>
        <v/>
      </c>
      <c r="AQ10">
        <f>IFERROR(AQ10-AQ$10,"")</f>
        <v/>
      </c>
      <c r="AR10">
        <f>IFERROR(AR10-AR$10,"")</f>
        <v/>
      </c>
      <c r="AS10">
        <f>IFERROR(AS10-AS$10,"")</f>
        <v/>
      </c>
      <c r="AT10">
        <f>IFERROR(AT10-AT$10,"")</f>
        <v/>
      </c>
      <c r="AU10">
        <f>IFERROR(AU10-AU$10,"")</f>
        <v/>
      </c>
      <c r="AV10">
        <f>IFERROR(AV10-AV$10,"")</f>
        <v/>
      </c>
      <c r="AW10">
        <f>IFERROR(AW10-AW$10,"")</f>
        <v/>
      </c>
      <c r="AX10">
        <f>IFERROR(AX10-AX$10,"")</f>
        <v/>
      </c>
      <c r="AY10">
        <f>IFERROR(AY10-AY$10,"")</f>
        <v/>
      </c>
      <c r="AZ10">
        <f>IFERROR(AZ10-AZ$10,"")</f>
        <v/>
      </c>
      <c r="BA10">
        <f>IFERROR(BA10-BA$10,"")</f>
        <v/>
      </c>
      <c r="BB10">
        <f>IFERROR(BB10-BB$10,"")</f>
        <v/>
      </c>
      <c r="BC10">
        <f>IFERROR(BC10-BC$10,"")</f>
        <v/>
      </c>
      <c r="BD10">
        <f>IFERROR(BD10-BD$10,"")</f>
        <v/>
      </c>
      <c r="BE10">
        <f>IFERROR(BE10-BE$10,"")</f>
        <v/>
      </c>
      <c r="BF10">
        <f>IFERROR(BF10-BF$10,"")</f>
        <v/>
      </c>
      <c r="BG10">
        <f>IFERROR(BG10-BG$10,"")</f>
        <v/>
      </c>
      <c r="BH10">
        <f>IFERROR(BH10-BH$10,"")</f>
        <v/>
      </c>
      <c r="BI10">
        <f>IFERROR(BI10-BI$10,"")</f>
        <v/>
      </c>
      <c r="BJ10">
        <f>IFERROR(BJ10-BJ$10,"")</f>
        <v/>
      </c>
    </row>
    <row r="11">
      <c r="C11">
        <f>'Résultats Projection'.C11-'Résultats Projection'.C$10</f>
        <v/>
      </c>
      <c r="D11">
        <f>'Résultats Projection'.D11-'Résultats Projection'.D$10</f>
        <v/>
      </c>
      <c r="E11">
        <f>'Résultats Projection'.E11-'Résultats Projection'.E$10</f>
        <v/>
      </c>
      <c r="F11">
        <f>'Résultats Projection'.F11-'Résultats Projection'.F$10</f>
        <v/>
      </c>
      <c r="G11">
        <f>'Résultats Projection'.G11-'Résultats Projection'.G$10</f>
        <v/>
      </c>
      <c r="H11">
        <f>'Résultats Projection'.H11-'Résultats Projection'.H$10</f>
        <v/>
      </c>
      <c r="I11">
        <f>'Résultats Projection'.I11-'Résultats Projection'.I$10</f>
        <v/>
      </c>
      <c r="J11">
        <f>'Résultats Projection'.J11-'Résultats Projection'.J$10</f>
        <v/>
      </c>
      <c r="K11">
        <f>'Résultats Projection'.K11-'Résultats Projection'.K$10</f>
        <v/>
      </c>
      <c r="L11">
        <f>'Résultats Projection'.L11-'Résultats Projection'.L$10</f>
        <v/>
      </c>
      <c r="M11">
        <f>'Résultats Projection'.M11-'Résultats Projection'.M$10</f>
        <v/>
      </c>
      <c r="N11">
        <f>'Résultats Projection'.N11-'Résultats Projection'.N$10</f>
        <v/>
      </c>
      <c r="O11">
        <f>'Résultats Projection'.O11-'Résultats Projection'.O$10</f>
        <v/>
      </c>
      <c r="P11">
        <f>'Résultats Projection'.P11-'Résultats Projection'.P$10</f>
        <v/>
      </c>
      <c r="Q11">
        <f>'Résultats Projection'.Q11-'Résultats Projection'.Q$10</f>
        <v/>
      </c>
      <c r="R11">
        <f>'Résultats Projection'.R11-'Résultats Projection'.R$10</f>
        <v/>
      </c>
      <c r="S11">
        <f>'Résultats Projection'.S11-'Résultats Projection'.S$10</f>
        <v/>
      </c>
      <c r="T11">
        <f>'Résultats Projection'.T11-'Résultats Projection'.T$10</f>
        <v/>
      </c>
      <c r="U11">
        <f>'Résultats Projection'.U11-'Résultats Projection'.U$10</f>
        <v/>
      </c>
      <c r="V11">
        <f>'Résultats Projection'.V11-'Résultats Projection'.V$10</f>
        <v/>
      </c>
      <c r="W11">
        <f>'Résultats Projection'.W11-'Résultats Projection'.W$10</f>
        <v/>
      </c>
      <c r="X11">
        <f>'Résultats Projection'.X11-'Résultats Projection'.X$10</f>
        <v/>
      </c>
      <c r="Y11">
        <f>'Résultats Projection'.Y11-'Résultats Projection'.Y$10</f>
        <v/>
      </c>
      <c r="Z11">
        <f>'Résultats Projection'.Z11-'Résultats Projection'.Z$10</f>
        <v/>
      </c>
      <c r="AA11">
        <f>'Résultats Projection'.AA11-'Résultats Projection'.AA$10</f>
        <v/>
      </c>
      <c r="AB11">
        <f>'Résultats Projection'.AB11-'Résultats Projection'.AB$10</f>
        <v/>
      </c>
      <c r="AC11">
        <f>'Résultats Projection'.AC11-'Résultats Projection'.AC$10</f>
        <v/>
      </c>
      <c r="AD11">
        <f>'Résultats Projection'.AD11-'Résultats Projection'.AD$10</f>
        <v/>
      </c>
      <c r="AE11">
        <f>'Résultats Projection'.AE11-'Résultats Projection'.AE$10</f>
        <v/>
      </c>
      <c r="AF11">
        <f>'Résultats Projection'.AF11-'Résultats Projection'.AF$10</f>
        <v/>
      </c>
      <c r="AG11">
        <f>'Résultats Projection'.AG11-'Résultats Projection'.AG$10</f>
        <v/>
      </c>
      <c r="AH11">
        <f>'Résultats Projection'.AH11-'Résultats Projection'.AH$10</f>
        <v/>
      </c>
      <c r="AI11">
        <f>'Résultats Projection'.AI11-'Résultats Projection'.AI$10</f>
        <v/>
      </c>
      <c r="AJ11">
        <f>'Résultats Projection'.AJ11-'Résultats Projection'.AJ$10</f>
        <v/>
      </c>
      <c r="AK11">
        <f>'Résultats Projection'.AK11-'Résultats Projection'.AK$10</f>
        <v/>
      </c>
      <c r="AL11">
        <f>'Résultats Projection'.AL11-'Résultats Projection'.AL$10</f>
        <v/>
      </c>
      <c r="AM11">
        <f>'Résultats Projection'.AM11-'Résultats Projection'.AM$10</f>
        <v/>
      </c>
      <c r="AN11">
        <f>'Résultats Projection'.AN11-'Résultats Projection'.AN$10</f>
        <v/>
      </c>
      <c r="AO11">
        <f>'Résultats Projection'.AO11-'Résultats Projection'.AO$10</f>
        <v/>
      </c>
      <c r="AP11">
        <f>'Résultats Projection'.AP11-'Résultats Projection'.AP$10</f>
        <v/>
      </c>
      <c r="AQ11">
        <f>'Résultats Projection'.AQ11-'Résultats Projection'.AQ$10</f>
        <v/>
      </c>
      <c r="AR11">
        <f>'Résultats Projection'.AR11-'Résultats Projection'.AR$10</f>
        <v/>
      </c>
      <c r="AS11">
        <f>'Résultats Projection'.AS11-'Résultats Projection'.AS$10</f>
        <v/>
      </c>
      <c r="AT11">
        <f>'Résultats Projection'.AT11-'Résultats Projection'.AT$10</f>
        <v/>
      </c>
      <c r="AU11">
        <f>'Résultats Projection'.AU11-'Résultats Projection'.AU$10</f>
        <v/>
      </c>
      <c r="AV11">
        <f>'Résultats Projection'.AV11-'Résultats Projection'.AV$10</f>
        <v/>
      </c>
      <c r="AW11">
        <f>'Résultats Projection'.AW11-'Résultats Projection'.AW$10</f>
        <v/>
      </c>
      <c r="AX11">
        <f>'Résultats Projection'.AX11-'Résultats Projection'.AX$10</f>
        <v/>
      </c>
      <c r="AY11">
        <f>'Résultats Projection'.AY11-'Résultats Projection'.AY$10</f>
        <v/>
      </c>
      <c r="AZ11">
        <f>'Résultats Projection'.AZ11-'Résultats Projection'.AZ$10</f>
        <v/>
      </c>
      <c r="BA11">
        <f>'Résultats Projection'.BA11-'Résultats Projection'.BA$10</f>
        <v/>
      </c>
      <c r="BB11">
        <f>'Résultats Projection'.BB11-'Résultats Projection'.BB$10</f>
        <v/>
      </c>
      <c r="BC11">
        <f>'Résultats Projection'.BC11-'Résultats Projection'.BC$10</f>
        <v/>
      </c>
      <c r="BD11">
        <f>'Résultats Projection'.BD11-'Résultats Projection'.BD$10</f>
        <v/>
      </c>
      <c r="BE11">
        <f>'Résultats Projection'.BE11-'Résultats Projection'.BE$10</f>
        <v/>
      </c>
      <c r="BF11">
        <f>'Résultats Projection'.BF11-'Résultats Projection'.BF$10</f>
        <v/>
      </c>
      <c r="BG11">
        <f>'Résultats Projection'.BG11-'Résultats Projection'.BG$10</f>
        <v/>
      </c>
      <c r="BH11">
        <f>'Résultats Projection'.BH11-'Résultats Projection'.BH$10</f>
        <v/>
      </c>
      <c r="BI11">
        <f>'Résultats Projection'.BI11-'Résultats Projection'.BI$10</f>
        <v/>
      </c>
      <c r="BJ11">
        <f>'Résultats Projection'.BJ11-'Résultats Projection'.BJ$10</f>
        <v/>
      </c>
    </row>
    <row r="12">
      <c r="C12">
        <f>'Résultats Projection'.C12-'Résultats Projection'.C$10</f>
        <v/>
      </c>
      <c r="D12">
        <f>'Résultats Projection'.D12-'Résultats Projection'.D$10</f>
        <v/>
      </c>
      <c r="E12">
        <f>'Résultats Projection'.E12-'Résultats Projection'.E$10</f>
        <v/>
      </c>
      <c r="F12">
        <f>'Résultats Projection'.F12-'Résultats Projection'.F$10</f>
        <v/>
      </c>
      <c r="G12">
        <f>'Résultats Projection'.G12-'Résultats Projection'.G$10</f>
        <v/>
      </c>
      <c r="H12">
        <f>'Résultats Projection'.H12-'Résultats Projection'.H$10</f>
        <v/>
      </c>
      <c r="I12">
        <f>'Résultats Projection'.I12-'Résultats Projection'.I$10</f>
        <v/>
      </c>
      <c r="J12">
        <f>'Résultats Projection'.J12-'Résultats Projection'.J$10</f>
        <v/>
      </c>
      <c r="K12">
        <f>'Résultats Projection'.K12-'Résultats Projection'.K$10</f>
        <v/>
      </c>
      <c r="L12">
        <f>'Résultats Projection'.L12-'Résultats Projection'.L$10</f>
        <v/>
      </c>
      <c r="M12">
        <f>'Résultats Projection'.M12-'Résultats Projection'.M$10</f>
        <v/>
      </c>
      <c r="N12">
        <f>'Résultats Projection'.N12-'Résultats Projection'.N$10</f>
        <v/>
      </c>
      <c r="O12">
        <f>'Résultats Projection'.O12-'Résultats Projection'.O$10</f>
        <v/>
      </c>
      <c r="P12">
        <f>'Résultats Projection'.P12-'Résultats Projection'.P$10</f>
        <v/>
      </c>
      <c r="Q12">
        <f>'Résultats Projection'.Q12-'Résultats Projection'.Q$10</f>
        <v/>
      </c>
      <c r="R12">
        <f>'Résultats Projection'.R12-'Résultats Projection'.R$10</f>
        <v/>
      </c>
      <c r="S12">
        <f>'Résultats Projection'.S12-'Résultats Projection'.S$10</f>
        <v/>
      </c>
      <c r="T12">
        <f>'Résultats Projection'.T12-'Résultats Projection'.T$10</f>
        <v/>
      </c>
      <c r="U12">
        <f>'Résultats Projection'.U12-'Résultats Projection'.U$10</f>
        <v/>
      </c>
      <c r="V12">
        <f>'Résultats Projection'.V12-'Résultats Projection'.V$10</f>
        <v/>
      </c>
      <c r="W12">
        <f>'Résultats Projection'.W12-'Résultats Projection'.W$10</f>
        <v/>
      </c>
      <c r="X12">
        <f>'Résultats Projection'.X12-'Résultats Projection'.X$10</f>
        <v/>
      </c>
      <c r="Y12">
        <f>'Résultats Projection'.Y12-'Résultats Projection'.Y$10</f>
        <v/>
      </c>
      <c r="Z12">
        <f>'Résultats Projection'.Z12-'Résultats Projection'.Z$10</f>
        <v/>
      </c>
      <c r="AA12">
        <f>'Résultats Projection'.AA12-'Résultats Projection'.AA$10</f>
        <v/>
      </c>
      <c r="AB12">
        <f>'Résultats Projection'.AB12-'Résultats Projection'.AB$10</f>
        <v/>
      </c>
      <c r="AC12">
        <f>'Résultats Projection'.AC12-'Résultats Projection'.AC$10</f>
        <v/>
      </c>
      <c r="AD12">
        <f>'Résultats Projection'.AD12-'Résultats Projection'.AD$10</f>
        <v/>
      </c>
      <c r="AE12">
        <f>'Résultats Projection'.AE12-'Résultats Projection'.AE$10</f>
        <v/>
      </c>
      <c r="AF12">
        <f>'Résultats Projection'.AF12-'Résultats Projection'.AF$10</f>
        <v/>
      </c>
      <c r="AG12">
        <f>'Résultats Projection'.AG12-'Résultats Projection'.AG$10</f>
        <v/>
      </c>
      <c r="AH12">
        <f>'Résultats Projection'.AH12-'Résultats Projection'.AH$10</f>
        <v/>
      </c>
      <c r="AI12">
        <f>'Résultats Projection'.AI12-'Résultats Projection'.AI$10</f>
        <v/>
      </c>
      <c r="AJ12">
        <f>'Résultats Projection'.AJ12-'Résultats Projection'.AJ$10</f>
        <v/>
      </c>
      <c r="AK12">
        <f>'Résultats Projection'.AK12-'Résultats Projection'.AK$10</f>
        <v/>
      </c>
      <c r="AL12">
        <f>'Résultats Projection'.AL12-'Résultats Projection'.AL$10</f>
        <v/>
      </c>
      <c r="AM12">
        <f>'Résultats Projection'.AM12-'Résultats Projection'.AM$10</f>
        <v/>
      </c>
      <c r="AN12">
        <f>'Résultats Projection'.AN12-'Résultats Projection'.AN$10</f>
        <v/>
      </c>
      <c r="AO12">
        <f>'Résultats Projection'.AO12-'Résultats Projection'.AO$10</f>
        <v/>
      </c>
      <c r="AP12">
        <f>'Résultats Projection'.AP12-'Résultats Projection'.AP$10</f>
        <v/>
      </c>
      <c r="AQ12">
        <f>'Résultats Projection'.AQ12-'Résultats Projection'.AQ$10</f>
        <v/>
      </c>
      <c r="AR12">
        <f>'Résultats Projection'.AR12-'Résultats Projection'.AR$10</f>
        <v/>
      </c>
      <c r="AS12">
        <f>'Résultats Projection'.AS12-'Résultats Projection'.AS$10</f>
        <v/>
      </c>
      <c r="AT12">
        <f>'Résultats Projection'.AT12-'Résultats Projection'.AT$10</f>
        <v/>
      </c>
      <c r="AU12">
        <f>'Résultats Projection'.AU12-'Résultats Projection'.AU$10</f>
        <v/>
      </c>
      <c r="AV12">
        <f>'Résultats Projection'.AV12-'Résultats Projection'.AV$10</f>
        <v/>
      </c>
      <c r="AW12">
        <f>'Résultats Projection'.AW12-'Résultats Projection'.AW$10</f>
        <v/>
      </c>
      <c r="AX12">
        <f>'Résultats Projection'.AX12-'Résultats Projection'.AX$10</f>
        <v/>
      </c>
      <c r="AY12">
        <f>'Résultats Projection'.AY12-'Résultats Projection'.AY$10</f>
        <v/>
      </c>
      <c r="AZ12">
        <f>'Résultats Projection'.AZ12-'Résultats Projection'.AZ$10</f>
        <v/>
      </c>
      <c r="BA12">
        <f>'Résultats Projection'.BA12-'Résultats Projection'.BA$10</f>
        <v/>
      </c>
      <c r="BB12">
        <f>'Résultats Projection'.BB12-'Résultats Projection'.BB$10</f>
        <v/>
      </c>
      <c r="BC12">
        <f>'Résultats Projection'.BC12-'Résultats Projection'.BC$10</f>
        <v/>
      </c>
      <c r="BD12">
        <f>'Résultats Projection'.BD12-'Résultats Projection'.BD$10</f>
        <v/>
      </c>
      <c r="BE12">
        <f>'Résultats Projection'.BE12-'Résultats Projection'.BE$10</f>
        <v/>
      </c>
      <c r="BF12">
        <f>'Résultats Projection'.BF12-'Résultats Projection'.BF$10</f>
        <v/>
      </c>
      <c r="BG12">
        <f>'Résultats Projection'.BG12-'Résultats Projection'.BG$10</f>
        <v/>
      </c>
      <c r="BH12">
        <f>'Résultats Projection'.BH12-'Résultats Projection'.BH$10</f>
        <v/>
      </c>
      <c r="BI12">
        <f>'Résultats Projection'.BI12-'Résultats Projection'.BI$10</f>
        <v/>
      </c>
      <c r="BJ12">
        <f>'Résultats Projection'.BJ12-'Résultats Projection'.BJ$10</f>
        <v/>
      </c>
    </row>
    <row r="13">
      <c r="C13">
        <f>'Résultats Projection'.C13-'Résultats Projection'.C$10</f>
        <v/>
      </c>
      <c r="D13">
        <f>'Résultats Projection'.D13-'Résultats Projection'.D$10</f>
        <v/>
      </c>
      <c r="E13">
        <f>'Résultats Projection'.E13-'Résultats Projection'.E$10</f>
        <v/>
      </c>
      <c r="F13">
        <f>'Résultats Projection'.F13-'Résultats Projection'.F$10</f>
        <v/>
      </c>
      <c r="G13">
        <f>'Résultats Projection'.G13-'Résultats Projection'.G$10</f>
        <v/>
      </c>
      <c r="H13">
        <f>'Résultats Projection'.H13-'Résultats Projection'.H$10</f>
        <v/>
      </c>
      <c r="I13">
        <f>'Résultats Projection'.I13-'Résultats Projection'.I$10</f>
        <v/>
      </c>
      <c r="J13">
        <f>'Résultats Projection'.J13-'Résultats Projection'.J$10</f>
        <v/>
      </c>
      <c r="K13">
        <f>'Résultats Projection'.K13-'Résultats Projection'.K$10</f>
        <v/>
      </c>
      <c r="L13">
        <f>'Résultats Projection'.L13-'Résultats Projection'.L$10</f>
        <v/>
      </c>
      <c r="M13">
        <f>'Résultats Projection'.M13-'Résultats Projection'.M$10</f>
        <v/>
      </c>
      <c r="N13">
        <f>'Résultats Projection'.N13-'Résultats Projection'.N$10</f>
        <v/>
      </c>
      <c r="O13">
        <f>'Résultats Projection'.O13-'Résultats Projection'.O$10</f>
        <v/>
      </c>
      <c r="P13">
        <f>'Résultats Projection'.P13-'Résultats Projection'.P$10</f>
        <v/>
      </c>
      <c r="Q13">
        <f>'Résultats Projection'.Q13-'Résultats Projection'.Q$10</f>
        <v/>
      </c>
      <c r="R13">
        <f>'Résultats Projection'.R13-'Résultats Projection'.R$10</f>
        <v/>
      </c>
      <c r="S13">
        <f>'Résultats Projection'.S13-'Résultats Projection'.S$10</f>
        <v/>
      </c>
      <c r="T13">
        <f>'Résultats Projection'.T13-'Résultats Projection'.T$10</f>
        <v/>
      </c>
      <c r="U13">
        <f>'Résultats Projection'.U13-'Résultats Projection'.U$10</f>
        <v/>
      </c>
      <c r="V13">
        <f>'Résultats Projection'.V13-'Résultats Projection'.V$10</f>
        <v/>
      </c>
      <c r="W13">
        <f>'Résultats Projection'.W13-'Résultats Projection'.W$10</f>
        <v/>
      </c>
      <c r="X13">
        <f>'Résultats Projection'.X13-'Résultats Projection'.X$10</f>
        <v/>
      </c>
      <c r="Y13">
        <f>'Résultats Projection'.Y13-'Résultats Projection'.Y$10</f>
        <v/>
      </c>
      <c r="Z13">
        <f>'Résultats Projection'.Z13-'Résultats Projection'.Z$10</f>
        <v/>
      </c>
      <c r="AA13">
        <f>'Résultats Projection'.AA13-'Résultats Projection'.AA$10</f>
        <v/>
      </c>
      <c r="AB13">
        <f>'Résultats Projection'.AB13-'Résultats Projection'.AB$10</f>
        <v/>
      </c>
      <c r="AC13">
        <f>'Résultats Projection'.AC13-'Résultats Projection'.AC$10</f>
        <v/>
      </c>
      <c r="AD13">
        <f>'Résultats Projection'.AD13-'Résultats Projection'.AD$10</f>
        <v/>
      </c>
      <c r="AE13">
        <f>'Résultats Projection'.AE13-'Résultats Projection'.AE$10</f>
        <v/>
      </c>
      <c r="AF13">
        <f>'Résultats Projection'.AF13-'Résultats Projection'.AF$10</f>
        <v/>
      </c>
      <c r="AG13">
        <f>'Résultats Projection'.AG13-'Résultats Projection'.AG$10</f>
        <v/>
      </c>
      <c r="AH13">
        <f>'Résultats Projection'.AH13-'Résultats Projection'.AH$10</f>
        <v/>
      </c>
      <c r="AI13">
        <f>'Résultats Projection'.AI13-'Résultats Projection'.AI$10</f>
        <v/>
      </c>
      <c r="AJ13">
        <f>'Résultats Projection'.AJ13-'Résultats Projection'.AJ$10</f>
        <v/>
      </c>
      <c r="AK13">
        <f>'Résultats Projection'.AK13-'Résultats Projection'.AK$10</f>
        <v/>
      </c>
      <c r="AL13">
        <f>'Résultats Projection'.AL13-'Résultats Projection'.AL$10</f>
        <v/>
      </c>
      <c r="AM13">
        <f>'Résultats Projection'.AM13-'Résultats Projection'.AM$10</f>
        <v/>
      </c>
      <c r="AN13">
        <f>'Résultats Projection'.AN13-'Résultats Projection'.AN$10</f>
        <v/>
      </c>
      <c r="AO13">
        <f>'Résultats Projection'.AO13-'Résultats Projection'.AO$10</f>
        <v/>
      </c>
      <c r="AP13">
        <f>'Résultats Projection'.AP13-'Résultats Projection'.AP$10</f>
        <v/>
      </c>
      <c r="AQ13">
        <f>'Résultats Projection'.AQ13-'Résultats Projection'.AQ$10</f>
        <v/>
      </c>
      <c r="AR13">
        <f>'Résultats Projection'.AR13-'Résultats Projection'.AR$10</f>
        <v/>
      </c>
      <c r="AS13">
        <f>'Résultats Projection'.AS13-'Résultats Projection'.AS$10</f>
        <v/>
      </c>
      <c r="AT13">
        <f>'Résultats Projection'.AT13-'Résultats Projection'.AT$10</f>
        <v/>
      </c>
      <c r="AU13">
        <f>'Résultats Projection'.AU13-'Résultats Projection'.AU$10</f>
        <v/>
      </c>
      <c r="AV13">
        <f>'Résultats Projection'.AV13-'Résultats Projection'.AV$10</f>
        <v/>
      </c>
      <c r="AW13">
        <f>'Résultats Projection'.AW13-'Résultats Projection'.AW$10</f>
        <v/>
      </c>
      <c r="AX13">
        <f>'Résultats Projection'.AX13-'Résultats Projection'.AX$10</f>
        <v/>
      </c>
      <c r="AY13">
        <f>'Résultats Projection'.AY13-'Résultats Projection'.AY$10</f>
        <v/>
      </c>
      <c r="AZ13">
        <f>'Résultats Projection'.AZ13-'Résultats Projection'.AZ$10</f>
        <v/>
      </c>
      <c r="BA13">
        <f>'Résultats Projection'.BA13-'Résultats Projection'.BA$10</f>
        <v/>
      </c>
      <c r="BB13">
        <f>'Résultats Projection'.BB13-'Résultats Projection'.BB$10</f>
        <v/>
      </c>
      <c r="BC13">
        <f>'Résultats Projection'.BC13-'Résultats Projection'.BC$10</f>
        <v/>
      </c>
      <c r="BD13">
        <f>'Résultats Projection'.BD13-'Résultats Projection'.BD$10</f>
        <v/>
      </c>
      <c r="BE13">
        <f>'Résultats Projection'.BE13-'Résultats Projection'.BE$10</f>
        <v/>
      </c>
      <c r="BF13">
        <f>'Résultats Projection'.BF13-'Résultats Projection'.BF$10</f>
        <v/>
      </c>
      <c r="BG13">
        <f>'Résultats Projection'.BG13-'Résultats Projection'.BG$10</f>
        <v/>
      </c>
      <c r="BH13">
        <f>'Résultats Projection'.BH13-'Résultats Projection'.BH$10</f>
        <v/>
      </c>
      <c r="BI13">
        <f>'Résultats Projection'.BI13-'Résultats Projection'.BI$10</f>
        <v/>
      </c>
      <c r="BJ13">
        <f>'Résultats Projection'.BJ13-'Résultats Projection'.BJ$10</f>
        <v/>
      </c>
    </row>
    <row r="14">
      <c r="C14">
        <f>'Résultats Projection'.C14-'Résultats Projection'.C$10</f>
        <v/>
      </c>
      <c r="D14">
        <f>'Résultats Projection'.D14-'Résultats Projection'.D$10</f>
        <v/>
      </c>
      <c r="E14">
        <f>'Résultats Projection'.E14-'Résultats Projection'.E$10</f>
        <v/>
      </c>
      <c r="F14">
        <f>'Résultats Projection'.F14-'Résultats Projection'.F$10</f>
        <v/>
      </c>
      <c r="G14">
        <f>'Résultats Projection'.G14-'Résultats Projection'.G$10</f>
        <v/>
      </c>
      <c r="H14">
        <f>'Résultats Projection'.H14-'Résultats Projection'.H$10</f>
        <v/>
      </c>
      <c r="I14">
        <f>'Résultats Projection'.I14-'Résultats Projection'.I$10</f>
        <v/>
      </c>
      <c r="J14">
        <f>'Résultats Projection'.J14-'Résultats Projection'.J$10</f>
        <v/>
      </c>
      <c r="K14">
        <f>'Résultats Projection'.K14-'Résultats Projection'.K$10</f>
        <v/>
      </c>
      <c r="L14">
        <f>'Résultats Projection'.L14-'Résultats Projection'.L$10</f>
        <v/>
      </c>
      <c r="M14">
        <f>'Résultats Projection'.M14-'Résultats Projection'.M$10</f>
        <v/>
      </c>
      <c r="N14">
        <f>'Résultats Projection'.N14-'Résultats Projection'.N$10</f>
        <v/>
      </c>
      <c r="O14">
        <f>'Résultats Projection'.O14-'Résultats Projection'.O$10</f>
        <v/>
      </c>
      <c r="P14">
        <f>'Résultats Projection'.P14-'Résultats Projection'.P$10</f>
        <v/>
      </c>
      <c r="Q14">
        <f>'Résultats Projection'.Q14-'Résultats Projection'.Q$10</f>
        <v/>
      </c>
      <c r="R14">
        <f>'Résultats Projection'.R14-'Résultats Projection'.R$10</f>
        <v/>
      </c>
      <c r="S14">
        <f>'Résultats Projection'.S14-'Résultats Projection'.S$10</f>
        <v/>
      </c>
      <c r="T14">
        <f>'Résultats Projection'.T14-'Résultats Projection'.T$10</f>
        <v/>
      </c>
      <c r="U14">
        <f>'Résultats Projection'.U14-'Résultats Projection'.U$10</f>
        <v/>
      </c>
      <c r="V14">
        <f>'Résultats Projection'.V14-'Résultats Projection'.V$10</f>
        <v/>
      </c>
      <c r="W14">
        <f>'Résultats Projection'.W14-'Résultats Projection'.W$10</f>
        <v/>
      </c>
      <c r="X14">
        <f>'Résultats Projection'.X14-'Résultats Projection'.X$10</f>
        <v/>
      </c>
      <c r="Y14">
        <f>'Résultats Projection'.Y14-'Résultats Projection'.Y$10</f>
        <v/>
      </c>
      <c r="Z14">
        <f>'Résultats Projection'.Z14-'Résultats Projection'.Z$10</f>
        <v/>
      </c>
      <c r="AA14">
        <f>'Résultats Projection'.AA14-'Résultats Projection'.AA$10</f>
        <v/>
      </c>
      <c r="AB14">
        <f>'Résultats Projection'.AB14-'Résultats Projection'.AB$10</f>
        <v/>
      </c>
      <c r="AC14">
        <f>'Résultats Projection'.AC14-'Résultats Projection'.AC$10</f>
        <v/>
      </c>
      <c r="AD14">
        <f>'Résultats Projection'.AD14-'Résultats Projection'.AD$10</f>
        <v/>
      </c>
      <c r="AE14">
        <f>'Résultats Projection'.AE14-'Résultats Projection'.AE$10</f>
        <v/>
      </c>
      <c r="AF14">
        <f>'Résultats Projection'.AF14-'Résultats Projection'.AF$10</f>
        <v/>
      </c>
      <c r="AG14">
        <f>'Résultats Projection'.AG14-'Résultats Projection'.AG$10</f>
        <v/>
      </c>
      <c r="AH14">
        <f>'Résultats Projection'.AH14-'Résultats Projection'.AH$10</f>
        <v/>
      </c>
      <c r="AI14">
        <f>'Résultats Projection'.AI14-'Résultats Projection'.AI$10</f>
        <v/>
      </c>
      <c r="AJ14">
        <f>'Résultats Projection'.AJ14-'Résultats Projection'.AJ$10</f>
        <v/>
      </c>
      <c r="AK14">
        <f>'Résultats Projection'.AK14-'Résultats Projection'.AK$10</f>
        <v/>
      </c>
      <c r="AL14">
        <f>'Résultats Projection'.AL14-'Résultats Projection'.AL$10</f>
        <v/>
      </c>
      <c r="AM14">
        <f>'Résultats Projection'.AM14-'Résultats Projection'.AM$10</f>
        <v/>
      </c>
      <c r="AN14">
        <f>'Résultats Projection'.AN14-'Résultats Projection'.AN$10</f>
        <v/>
      </c>
      <c r="AO14">
        <f>'Résultats Projection'.AO14-'Résultats Projection'.AO$10</f>
        <v/>
      </c>
      <c r="AP14">
        <f>'Résultats Projection'.AP14-'Résultats Projection'.AP$10</f>
        <v/>
      </c>
      <c r="AQ14">
        <f>'Résultats Projection'.AQ14-'Résultats Projection'.AQ$10</f>
        <v/>
      </c>
      <c r="AR14">
        <f>'Résultats Projection'.AR14-'Résultats Projection'.AR$10</f>
        <v/>
      </c>
      <c r="AS14">
        <f>'Résultats Projection'.AS14-'Résultats Projection'.AS$10</f>
        <v/>
      </c>
      <c r="AT14">
        <f>'Résultats Projection'.AT14-'Résultats Projection'.AT$10</f>
        <v/>
      </c>
      <c r="AU14">
        <f>'Résultats Projection'.AU14-'Résultats Projection'.AU$10</f>
        <v/>
      </c>
      <c r="AV14">
        <f>'Résultats Projection'.AV14-'Résultats Projection'.AV$10</f>
        <v/>
      </c>
      <c r="AW14">
        <f>'Résultats Projection'.AW14-'Résultats Projection'.AW$10</f>
        <v/>
      </c>
      <c r="AX14">
        <f>'Résultats Projection'.AX14-'Résultats Projection'.AX$10</f>
        <v/>
      </c>
      <c r="AY14">
        <f>'Résultats Projection'.AY14-'Résultats Projection'.AY$10</f>
        <v/>
      </c>
      <c r="AZ14">
        <f>'Résultats Projection'.AZ14-'Résultats Projection'.AZ$10</f>
        <v/>
      </c>
      <c r="BA14">
        <f>'Résultats Projection'.BA14-'Résultats Projection'.BA$10</f>
        <v/>
      </c>
      <c r="BB14">
        <f>'Résultats Projection'.BB14-'Résultats Projection'.BB$10</f>
        <v/>
      </c>
      <c r="BC14">
        <f>'Résultats Projection'.BC14-'Résultats Projection'.BC$10</f>
        <v/>
      </c>
      <c r="BD14">
        <f>'Résultats Projection'.BD14-'Résultats Projection'.BD$10</f>
        <v/>
      </c>
      <c r="BE14">
        <f>'Résultats Projection'.BE14-'Résultats Projection'.BE$10</f>
        <v/>
      </c>
      <c r="BF14">
        <f>'Résultats Projection'.BF14-'Résultats Projection'.BF$10</f>
        <v/>
      </c>
      <c r="BG14">
        <f>'Résultats Projection'.BG14-'Résultats Projection'.BG$10</f>
        <v/>
      </c>
      <c r="BH14">
        <f>'Résultats Projection'.BH14-'Résultats Projection'.BH$10</f>
        <v/>
      </c>
      <c r="BI14">
        <f>'Résultats Projection'.BI14-'Résultats Projection'.BI$10</f>
        <v/>
      </c>
      <c r="BJ14">
        <f>'Résultats Projection'.BJ14-'Résultats Projection'.BJ$10</f>
        <v/>
      </c>
    </row>
    <row r="15">
      <c r="C15">
        <f>'Résultats Projection'.C15-'Résultats Projection'.C$10</f>
        <v/>
      </c>
      <c r="D15">
        <f>'Résultats Projection'.D15-'Résultats Projection'.D$10</f>
        <v/>
      </c>
      <c r="E15">
        <f>'Résultats Projection'.E15-'Résultats Projection'.E$10</f>
        <v/>
      </c>
      <c r="F15">
        <f>'Résultats Projection'.F15-'Résultats Projection'.F$10</f>
        <v/>
      </c>
      <c r="G15">
        <f>'Résultats Projection'.G15-'Résultats Projection'.G$10</f>
        <v/>
      </c>
      <c r="H15">
        <f>'Résultats Projection'.H15-'Résultats Projection'.H$10</f>
        <v/>
      </c>
      <c r="I15">
        <f>'Résultats Projection'.I15-'Résultats Projection'.I$10</f>
        <v/>
      </c>
      <c r="J15">
        <f>'Résultats Projection'.J15-'Résultats Projection'.J$10</f>
        <v/>
      </c>
      <c r="K15">
        <f>'Résultats Projection'.K15-'Résultats Projection'.K$10</f>
        <v/>
      </c>
      <c r="L15">
        <f>'Résultats Projection'.L15-'Résultats Projection'.L$10</f>
        <v/>
      </c>
      <c r="M15">
        <f>'Résultats Projection'.M15-'Résultats Projection'.M$10</f>
        <v/>
      </c>
      <c r="N15">
        <f>'Résultats Projection'.N15-'Résultats Projection'.N$10</f>
        <v/>
      </c>
      <c r="O15">
        <f>'Résultats Projection'.O15-'Résultats Projection'.O$10</f>
        <v/>
      </c>
      <c r="P15">
        <f>'Résultats Projection'.P15-'Résultats Projection'.P$10</f>
        <v/>
      </c>
      <c r="Q15">
        <f>'Résultats Projection'.Q15-'Résultats Projection'.Q$10</f>
        <v/>
      </c>
      <c r="R15">
        <f>'Résultats Projection'.R15-'Résultats Projection'.R$10</f>
        <v/>
      </c>
      <c r="S15">
        <f>'Résultats Projection'.S15-'Résultats Projection'.S$10</f>
        <v/>
      </c>
      <c r="T15">
        <f>'Résultats Projection'.T15-'Résultats Projection'.T$10</f>
        <v/>
      </c>
      <c r="U15">
        <f>'Résultats Projection'.U15-'Résultats Projection'.U$10</f>
        <v/>
      </c>
      <c r="V15">
        <f>'Résultats Projection'.V15-'Résultats Projection'.V$10</f>
        <v/>
      </c>
      <c r="W15">
        <f>'Résultats Projection'.W15-'Résultats Projection'.W$10</f>
        <v/>
      </c>
      <c r="X15">
        <f>'Résultats Projection'.X15-'Résultats Projection'.X$10</f>
        <v/>
      </c>
      <c r="Y15">
        <f>'Résultats Projection'.Y15-'Résultats Projection'.Y$10</f>
        <v/>
      </c>
      <c r="Z15">
        <f>'Résultats Projection'.Z15-'Résultats Projection'.Z$10</f>
        <v/>
      </c>
      <c r="AA15">
        <f>'Résultats Projection'.AA15-'Résultats Projection'.AA$10</f>
        <v/>
      </c>
      <c r="AB15">
        <f>'Résultats Projection'.AB15-'Résultats Projection'.AB$10</f>
        <v/>
      </c>
      <c r="AC15">
        <f>'Résultats Projection'.AC15-'Résultats Projection'.AC$10</f>
        <v/>
      </c>
      <c r="AD15">
        <f>'Résultats Projection'.AD15-'Résultats Projection'.AD$10</f>
        <v/>
      </c>
      <c r="AE15">
        <f>'Résultats Projection'.AE15-'Résultats Projection'.AE$10</f>
        <v/>
      </c>
      <c r="AF15">
        <f>'Résultats Projection'.AF15-'Résultats Projection'.AF$10</f>
        <v/>
      </c>
      <c r="AG15">
        <f>'Résultats Projection'.AG15-'Résultats Projection'.AG$10</f>
        <v/>
      </c>
      <c r="AH15">
        <f>'Résultats Projection'.AH15-'Résultats Projection'.AH$10</f>
        <v/>
      </c>
      <c r="AI15">
        <f>'Résultats Projection'.AI15-'Résultats Projection'.AI$10</f>
        <v/>
      </c>
      <c r="AJ15">
        <f>'Résultats Projection'.AJ15-'Résultats Projection'.AJ$10</f>
        <v/>
      </c>
      <c r="AK15">
        <f>'Résultats Projection'.AK15-'Résultats Projection'.AK$10</f>
        <v/>
      </c>
      <c r="AL15">
        <f>'Résultats Projection'.AL15-'Résultats Projection'.AL$10</f>
        <v/>
      </c>
      <c r="AM15">
        <f>'Résultats Projection'.AM15-'Résultats Projection'.AM$10</f>
        <v/>
      </c>
      <c r="AN15">
        <f>'Résultats Projection'.AN15-'Résultats Projection'.AN$10</f>
        <v/>
      </c>
      <c r="AO15">
        <f>'Résultats Projection'.AO15-'Résultats Projection'.AO$10</f>
        <v/>
      </c>
      <c r="AP15">
        <f>'Résultats Projection'.AP15-'Résultats Projection'.AP$10</f>
        <v/>
      </c>
      <c r="AQ15">
        <f>'Résultats Projection'.AQ15-'Résultats Projection'.AQ$10</f>
        <v/>
      </c>
      <c r="AR15">
        <f>'Résultats Projection'.AR15-'Résultats Projection'.AR$10</f>
        <v/>
      </c>
      <c r="AS15">
        <f>'Résultats Projection'.AS15-'Résultats Projection'.AS$10</f>
        <v/>
      </c>
      <c r="AT15">
        <f>'Résultats Projection'.AT15-'Résultats Projection'.AT$10</f>
        <v/>
      </c>
      <c r="AU15">
        <f>'Résultats Projection'.AU15-'Résultats Projection'.AU$10</f>
        <v/>
      </c>
      <c r="AV15">
        <f>'Résultats Projection'.AV15-'Résultats Projection'.AV$10</f>
        <v/>
      </c>
      <c r="AW15">
        <f>'Résultats Projection'.AW15-'Résultats Projection'.AW$10</f>
        <v/>
      </c>
      <c r="AX15">
        <f>'Résultats Projection'.AX15-'Résultats Projection'.AX$10</f>
        <v/>
      </c>
      <c r="AY15">
        <f>'Résultats Projection'.AY15-'Résultats Projection'.AY$10</f>
        <v/>
      </c>
      <c r="AZ15">
        <f>'Résultats Projection'.AZ15-'Résultats Projection'.AZ$10</f>
        <v/>
      </c>
      <c r="BA15">
        <f>'Résultats Projection'.BA15-'Résultats Projection'.BA$10</f>
        <v/>
      </c>
      <c r="BB15">
        <f>'Résultats Projection'.BB15-'Résultats Projection'.BB$10</f>
        <v/>
      </c>
      <c r="BC15">
        <f>'Résultats Projection'.BC15-'Résultats Projection'.BC$10</f>
        <v/>
      </c>
      <c r="BD15">
        <f>'Résultats Projection'.BD15-'Résultats Projection'.BD$10</f>
        <v/>
      </c>
      <c r="BE15">
        <f>'Résultats Projection'.BE15-'Résultats Projection'.BE$10</f>
        <v/>
      </c>
      <c r="BF15">
        <f>'Résultats Projection'.BF15-'Résultats Projection'.BF$10</f>
        <v/>
      </c>
      <c r="BG15">
        <f>'Résultats Projection'.BG15-'Résultats Projection'.BG$10</f>
        <v/>
      </c>
      <c r="BH15">
        <f>'Résultats Projection'.BH15-'Résultats Projection'.BH$10</f>
        <v/>
      </c>
      <c r="BI15">
        <f>'Résultats Projection'.BI15-'Résultats Projection'.BI$10</f>
        <v/>
      </c>
      <c r="BJ15">
        <f>'Résultats Projection'.BJ15-'Résultats Projection'.BJ$10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7:BJ15"/>
  <sheetViews>
    <sheetView workbookViewId="0">
      <selection activeCell="A1" sqref="A1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V1_X</t>
        </is>
      </c>
      <c r="D9" t="inlineStr">
        <is>
          <t>V1_Y</t>
        </is>
      </c>
      <c r="E9" t="inlineStr">
        <is>
          <t>V1_Z</t>
        </is>
      </c>
      <c r="F9" t="inlineStr">
        <is>
          <t>V2_X</t>
        </is>
      </c>
      <c r="G9" t="inlineStr">
        <is>
          <t>V2_Y</t>
        </is>
      </c>
      <c r="H9" t="inlineStr">
        <is>
          <t>V2_Z</t>
        </is>
      </c>
      <c r="I9" t="inlineStr">
        <is>
          <t>V3_X</t>
        </is>
      </c>
      <c r="J9" t="inlineStr">
        <is>
          <t>V3_Y</t>
        </is>
      </c>
      <c r="K9" t="inlineStr">
        <is>
          <t>V3_Z</t>
        </is>
      </c>
      <c r="L9" t="inlineStr">
        <is>
          <t>H1_X</t>
        </is>
      </c>
      <c r="M9" t="inlineStr">
        <is>
          <t>H1_Y</t>
        </is>
      </c>
      <c r="N9" t="inlineStr">
        <is>
          <t>H1_Z</t>
        </is>
      </c>
      <c r="O9" t="inlineStr">
        <is>
          <t>H2_X</t>
        </is>
      </c>
      <c r="P9" t="inlineStr">
        <is>
          <t>H2_Y</t>
        </is>
      </c>
      <c r="Q9" t="inlineStr">
        <is>
          <t>H2_Z</t>
        </is>
      </c>
      <c r="R9" t="inlineStr">
        <is>
          <t>H3_X</t>
        </is>
      </c>
      <c r="S9" t="inlineStr">
        <is>
          <t>H3_Y</t>
        </is>
      </c>
      <c r="T9" t="inlineStr">
        <is>
          <t>H3_Z</t>
        </is>
      </c>
      <c r="U9" t="inlineStr">
        <is>
          <t>H4_X</t>
        </is>
      </c>
      <c r="V9" t="inlineStr">
        <is>
          <t>H4_Y</t>
        </is>
      </c>
      <c r="W9" t="inlineStr">
        <is>
          <t>H4_Z</t>
        </is>
      </c>
      <c r="X9" t="inlineStr">
        <is>
          <t>H5_X</t>
        </is>
      </c>
      <c r="Y9" t="inlineStr">
        <is>
          <t>H5_Y</t>
        </is>
      </c>
      <c r="Z9" t="inlineStr">
        <is>
          <t>H5_Z</t>
        </is>
      </c>
      <c r="AA9" t="inlineStr">
        <is>
          <t>B1_X</t>
        </is>
      </c>
      <c r="AB9" t="inlineStr">
        <is>
          <t>B1_Y</t>
        </is>
      </c>
      <c r="AC9" t="inlineStr">
        <is>
          <t>B1_Z</t>
        </is>
      </c>
      <c r="AD9" t="inlineStr">
        <is>
          <t>B2_X</t>
        </is>
      </c>
      <c r="AE9" t="inlineStr">
        <is>
          <t>B2_Y</t>
        </is>
      </c>
      <c r="AF9" t="inlineStr">
        <is>
          <t>B2_Z</t>
        </is>
      </c>
      <c r="AG9" t="inlineStr">
        <is>
          <t>B3_X</t>
        </is>
      </c>
      <c r="AH9" t="inlineStr">
        <is>
          <t>B3_Y</t>
        </is>
      </c>
      <c r="AI9" t="inlineStr">
        <is>
          <t>B3_Z</t>
        </is>
      </c>
      <c r="AJ9" t="inlineStr">
        <is>
          <t>B4_X</t>
        </is>
      </c>
      <c r="AK9" t="inlineStr">
        <is>
          <t>B4_Y</t>
        </is>
      </c>
      <c r="AL9" t="inlineStr">
        <is>
          <t>B4_Z</t>
        </is>
      </c>
      <c r="AM9" t="inlineStr">
        <is>
          <t>B5_X</t>
        </is>
      </c>
      <c r="AN9" t="inlineStr">
        <is>
          <t>B5_Y</t>
        </is>
      </c>
      <c r="AO9" t="inlineStr">
        <is>
          <t>B5_Z</t>
        </is>
      </c>
      <c r="AP9" t="inlineStr">
        <is>
          <t>M1_X</t>
        </is>
      </c>
      <c r="AQ9" t="inlineStr">
        <is>
          <t>M1_Y</t>
        </is>
      </c>
      <c r="AR9" t="inlineStr">
        <is>
          <t>M1_Z</t>
        </is>
      </c>
      <c r="AS9" t="inlineStr">
        <is>
          <t>M2_X</t>
        </is>
      </c>
      <c r="AT9" t="inlineStr">
        <is>
          <t>M2_Y</t>
        </is>
      </c>
      <c r="AU9" t="inlineStr">
        <is>
          <t>M2_Z</t>
        </is>
      </c>
      <c r="AV9" t="inlineStr">
        <is>
          <t>M3_X</t>
        </is>
      </c>
      <c r="AW9" t="inlineStr">
        <is>
          <t>M3_Y</t>
        </is>
      </c>
      <c r="AX9" t="inlineStr">
        <is>
          <t>M3_Z</t>
        </is>
      </c>
      <c r="AY9" t="inlineStr">
        <is>
          <t>M4_X</t>
        </is>
      </c>
      <c r="AZ9" t="inlineStr">
        <is>
          <t>M4_Y</t>
        </is>
      </c>
      <c r="BA9" t="inlineStr">
        <is>
          <t>M4_Z</t>
        </is>
      </c>
      <c r="BB9" t="inlineStr">
        <is>
          <t>M5_X</t>
        </is>
      </c>
      <c r="BC9" t="inlineStr">
        <is>
          <t>M5_Y</t>
        </is>
      </c>
      <c r="BD9" t="inlineStr">
        <is>
          <t>M5_Z</t>
        </is>
      </c>
      <c r="BE9" t="inlineStr">
        <is>
          <t>REF1_X</t>
        </is>
      </c>
      <c r="BF9" t="inlineStr">
        <is>
          <t>REF1_Y</t>
        </is>
      </c>
      <c r="BG9" t="inlineStr">
        <is>
          <t>REF1_Z</t>
        </is>
      </c>
      <c r="BH9" t="inlineStr">
        <is>
          <t>REF2_X</t>
        </is>
      </c>
      <c r="BI9" t="inlineStr">
        <is>
          <t>REF2_Y</t>
        </is>
      </c>
      <c r="BJ9" t="inlineStr">
        <is>
          <t>REF2_Z</t>
        </is>
      </c>
    </row>
    <row r="10">
      <c r="C10">
        <f>IFERROR(C10-C$10,"")</f>
        <v/>
      </c>
      <c r="D10">
        <f>IFERROR(D10-D$10,"")</f>
        <v/>
      </c>
      <c r="E10">
        <f>IFERROR(E10-E$10,"")</f>
        <v/>
      </c>
      <c r="F10">
        <f>IFERROR(F10-F$10,"")</f>
        <v/>
      </c>
      <c r="G10">
        <f>IFERROR(G10-G$10,"")</f>
        <v/>
      </c>
      <c r="H10">
        <f>IFERROR(H10-H$10,"")</f>
        <v/>
      </c>
      <c r="I10">
        <f>IFERROR(I10-I$10,"")</f>
        <v/>
      </c>
      <c r="J10">
        <f>IFERROR(J10-J$10,"")</f>
        <v/>
      </c>
      <c r="K10">
        <f>IFERROR(K10-K$10,"")</f>
        <v/>
      </c>
      <c r="L10">
        <f>IFERROR(L10-L$10,"")</f>
        <v/>
      </c>
      <c r="M10">
        <f>IFERROR(M10-M$10,"")</f>
        <v/>
      </c>
      <c r="N10">
        <f>IFERROR(N10-N$10,"")</f>
        <v/>
      </c>
      <c r="O10">
        <f>IFERROR(O10-O$10,"")</f>
        <v/>
      </c>
      <c r="P10">
        <f>IFERROR(P10-P$10,"")</f>
        <v/>
      </c>
      <c r="Q10">
        <f>IFERROR(Q10-Q$10,"")</f>
        <v/>
      </c>
      <c r="R10">
        <f>IFERROR(R10-R$10,"")</f>
        <v/>
      </c>
      <c r="S10">
        <f>IFERROR(S10-S$10,"")</f>
        <v/>
      </c>
      <c r="T10">
        <f>IFERROR(T10-T$10,"")</f>
        <v/>
      </c>
      <c r="U10">
        <f>IFERROR(U10-U$10,"")</f>
        <v/>
      </c>
      <c r="V10">
        <f>IFERROR(V10-V$10,"")</f>
        <v/>
      </c>
      <c r="W10">
        <f>IFERROR(W10-W$10,"")</f>
        <v/>
      </c>
      <c r="X10">
        <f>IFERROR(X10-X$10,"")</f>
        <v/>
      </c>
      <c r="Y10">
        <f>IFERROR(Y10-Y$10,"")</f>
        <v/>
      </c>
      <c r="Z10">
        <f>IFERROR(Z10-Z$10,"")</f>
        <v/>
      </c>
      <c r="AA10">
        <f>IFERROR(AA10-AA$10,"")</f>
        <v/>
      </c>
      <c r="AB10">
        <f>IFERROR(AB10-AB$10,"")</f>
        <v/>
      </c>
      <c r="AC10">
        <f>IFERROR(AC10-AC$10,"")</f>
        <v/>
      </c>
      <c r="AD10">
        <f>IFERROR(AD10-AD$10,"")</f>
        <v/>
      </c>
      <c r="AE10">
        <f>IFERROR(AE10-AE$10,"")</f>
        <v/>
      </c>
      <c r="AF10">
        <f>IFERROR(AF10-AF$10,"")</f>
        <v/>
      </c>
      <c r="AG10">
        <f>IFERROR(AG10-AG$10,"")</f>
        <v/>
      </c>
      <c r="AH10">
        <f>IFERROR(AH10-AH$10,"")</f>
        <v/>
      </c>
      <c r="AI10">
        <f>IFERROR(AI10-AI$10,"")</f>
        <v/>
      </c>
      <c r="AJ10">
        <f>IFERROR(AJ10-AJ$10,"")</f>
        <v/>
      </c>
      <c r="AK10">
        <f>IFERROR(AK10-AK$10,"")</f>
        <v/>
      </c>
      <c r="AL10">
        <f>IFERROR(AL10-AL$10,"")</f>
        <v/>
      </c>
      <c r="AM10">
        <f>IFERROR(AM10-AM$10,"")</f>
        <v/>
      </c>
      <c r="AN10">
        <f>IFERROR(AN10-AN$10,"")</f>
        <v/>
      </c>
      <c r="AO10">
        <f>IFERROR(AO10-AO$10,"")</f>
        <v/>
      </c>
      <c r="AP10">
        <f>IFERROR(AP10-AP$10,"")</f>
        <v/>
      </c>
      <c r="AQ10">
        <f>IFERROR(AQ10-AQ$10,"")</f>
        <v/>
      </c>
      <c r="AR10">
        <f>IFERROR(AR10-AR$10,"")</f>
        <v/>
      </c>
      <c r="AS10">
        <f>IFERROR(AS10-AS$10,"")</f>
        <v/>
      </c>
      <c r="AT10">
        <f>IFERROR(AT10-AT$10,"")</f>
        <v/>
      </c>
      <c r="AU10">
        <f>IFERROR(AU10-AU$10,"")</f>
        <v/>
      </c>
      <c r="AV10">
        <f>IFERROR(AV10-AV$10,"")</f>
        <v/>
      </c>
      <c r="AW10">
        <f>IFERROR(AW10-AW$10,"")</f>
        <v/>
      </c>
      <c r="AX10">
        <f>IFERROR(AX10-AX$10,"")</f>
        <v/>
      </c>
      <c r="AY10">
        <f>IFERROR(AY10-AY$10,"")</f>
        <v/>
      </c>
      <c r="AZ10">
        <f>IFERROR(AZ10-AZ$10,"")</f>
        <v/>
      </c>
      <c r="BA10">
        <f>IFERROR(BA10-BA$10,"")</f>
        <v/>
      </c>
      <c r="BB10">
        <f>IFERROR(BB10-BB$10,"")</f>
        <v/>
      </c>
      <c r="BC10">
        <f>IFERROR(BC10-BC$10,"")</f>
        <v/>
      </c>
      <c r="BD10">
        <f>IFERROR(BD10-BD$10,"")</f>
        <v/>
      </c>
      <c r="BE10">
        <f>IFERROR(BE10-BE$10,"")</f>
        <v/>
      </c>
      <c r="BF10">
        <f>IFERROR(BF10-BF$10,"")</f>
        <v/>
      </c>
      <c r="BG10">
        <f>IFERROR(BG10-BG$10,"")</f>
        <v/>
      </c>
      <c r="BH10">
        <f>IFERROR(BH10-BH$10,"")</f>
        <v/>
      </c>
      <c r="BI10">
        <f>IFERROR(BI10-BI$10,"")</f>
        <v/>
      </c>
      <c r="BJ10">
        <f>IFERROR(BJ10-BJ$10,"")</f>
        <v/>
      </c>
    </row>
    <row r="11">
      <c r="C11">
        <f>'Résultats observations'.C11-'Résultats observations'.C$10</f>
        <v/>
      </c>
      <c r="D11">
        <f>'Résultats observations'.D11-'Résultats observations'.D$10</f>
        <v/>
      </c>
      <c r="E11">
        <f>'Résultats observations'.E11-'Résultats observations'.E$10</f>
        <v/>
      </c>
      <c r="F11">
        <f>'Résultats observations'.F11-'Résultats observations'.F$10</f>
        <v/>
      </c>
      <c r="G11">
        <f>'Résultats observations'.G11-'Résultats observations'.G$10</f>
        <v/>
      </c>
      <c r="H11">
        <f>'Résultats observations'.H11-'Résultats observations'.H$10</f>
        <v/>
      </c>
      <c r="I11">
        <f>'Résultats observations'.I11-'Résultats observations'.I$10</f>
        <v/>
      </c>
      <c r="J11">
        <f>'Résultats observations'.J11-'Résultats observations'.J$10</f>
        <v/>
      </c>
      <c r="K11">
        <f>'Résultats observations'.K11-'Résultats observations'.K$10</f>
        <v/>
      </c>
      <c r="L11">
        <f>'Résultats observations'.L11-'Résultats observations'.L$10</f>
        <v/>
      </c>
      <c r="M11">
        <f>'Résultats observations'.M11-'Résultats observations'.M$10</f>
        <v/>
      </c>
      <c r="N11">
        <f>'Résultats observations'.N11-'Résultats observations'.N$10</f>
        <v/>
      </c>
      <c r="O11">
        <f>'Résultats observations'.O11-'Résultats observations'.O$10</f>
        <v/>
      </c>
      <c r="P11">
        <f>'Résultats observations'.P11-'Résultats observations'.P$10</f>
        <v/>
      </c>
      <c r="Q11">
        <f>'Résultats observations'.Q11-'Résultats observations'.Q$10</f>
        <v/>
      </c>
      <c r="R11">
        <f>'Résultats observations'.R11-'Résultats observations'.R$10</f>
        <v/>
      </c>
      <c r="S11">
        <f>'Résultats observations'.S11-'Résultats observations'.S$10</f>
        <v/>
      </c>
      <c r="T11">
        <f>'Résultats observations'.T11-'Résultats observations'.T$10</f>
        <v/>
      </c>
      <c r="U11">
        <f>'Résultats observations'.U11-'Résultats observations'.U$10</f>
        <v/>
      </c>
      <c r="V11">
        <f>'Résultats observations'.V11-'Résultats observations'.V$10</f>
        <v/>
      </c>
      <c r="W11">
        <f>'Résultats observations'.W11-'Résultats observations'.W$10</f>
        <v/>
      </c>
      <c r="X11">
        <f>'Résultats observations'.X11-'Résultats observations'.X$10</f>
        <v/>
      </c>
      <c r="Y11">
        <f>'Résultats observations'.Y11-'Résultats observations'.Y$10</f>
        <v/>
      </c>
      <c r="Z11">
        <f>'Résultats observations'.Z11-'Résultats observations'.Z$10</f>
        <v/>
      </c>
      <c r="AA11">
        <f>'Résultats observations'.AA11-'Résultats observations'.AA$10</f>
        <v/>
      </c>
      <c r="AB11">
        <f>'Résultats observations'.AB11-'Résultats observations'.AB$10</f>
        <v/>
      </c>
      <c r="AC11">
        <f>'Résultats observations'.AC11-'Résultats observations'.AC$10</f>
        <v/>
      </c>
      <c r="AD11">
        <f>'Résultats observations'.AD11-'Résultats observations'.AD$10</f>
        <v/>
      </c>
      <c r="AE11">
        <f>'Résultats observations'.AE11-'Résultats observations'.AE$10</f>
        <v/>
      </c>
      <c r="AF11">
        <f>'Résultats observations'.AF11-'Résultats observations'.AF$10</f>
        <v/>
      </c>
      <c r="AG11">
        <f>'Résultats observations'.AG11-'Résultats observations'.AG$10</f>
        <v/>
      </c>
      <c r="AH11">
        <f>'Résultats observations'.AH11-'Résultats observations'.AH$10</f>
        <v/>
      </c>
      <c r="AI11">
        <f>'Résultats observations'.AI11-'Résultats observations'.AI$10</f>
        <v/>
      </c>
      <c r="AJ11">
        <f>'Résultats observations'.AJ11-'Résultats observations'.AJ$10</f>
        <v/>
      </c>
      <c r="AK11">
        <f>'Résultats observations'.AK11-'Résultats observations'.AK$10</f>
        <v/>
      </c>
      <c r="AL11">
        <f>'Résultats observations'.AL11-'Résultats observations'.AL$10</f>
        <v/>
      </c>
      <c r="AM11">
        <f>'Résultats observations'.AM11-'Résultats observations'.AM$10</f>
        <v/>
      </c>
      <c r="AN11">
        <f>'Résultats observations'.AN11-'Résultats observations'.AN$10</f>
        <v/>
      </c>
      <c r="AO11">
        <f>'Résultats observations'.AO11-'Résultats observations'.AO$10</f>
        <v/>
      </c>
      <c r="AP11">
        <f>'Résultats observations'.AP11-'Résultats observations'.AP$10</f>
        <v/>
      </c>
      <c r="AQ11">
        <f>'Résultats observations'.AQ11-'Résultats observations'.AQ$10</f>
        <v/>
      </c>
      <c r="AR11">
        <f>'Résultats observations'.AR11-'Résultats observations'.AR$10</f>
        <v/>
      </c>
      <c r="AS11">
        <f>'Résultats observations'.AS11-'Résultats observations'.AS$10</f>
        <v/>
      </c>
      <c r="AT11">
        <f>'Résultats observations'.AT11-'Résultats observations'.AT$10</f>
        <v/>
      </c>
      <c r="AU11">
        <f>'Résultats observations'.AU11-'Résultats observations'.AU$10</f>
        <v/>
      </c>
      <c r="AV11">
        <f>'Résultats observations'.AV11-'Résultats observations'.AV$10</f>
        <v/>
      </c>
      <c r="AW11">
        <f>'Résultats observations'.AW11-'Résultats observations'.AW$10</f>
        <v/>
      </c>
      <c r="AX11">
        <f>'Résultats observations'.AX11-'Résultats observations'.AX$10</f>
        <v/>
      </c>
      <c r="AY11">
        <f>'Résultats observations'.AY11-'Résultats observations'.AY$10</f>
        <v/>
      </c>
      <c r="AZ11">
        <f>'Résultats observations'.AZ11-'Résultats observations'.AZ$10</f>
        <v/>
      </c>
      <c r="BA11">
        <f>'Résultats observations'.BA11-'Résultats observations'.BA$10</f>
        <v/>
      </c>
      <c r="BB11">
        <f>'Résultats observations'.BB11-'Résultats observations'.BB$10</f>
        <v/>
      </c>
      <c r="BC11">
        <f>'Résultats observations'.BC11-'Résultats observations'.BC$10</f>
        <v/>
      </c>
      <c r="BD11">
        <f>'Résultats observations'.BD11-'Résultats observations'.BD$10</f>
        <v/>
      </c>
      <c r="BE11">
        <f>'Résultats observations'.BE11-'Résultats observations'.BE$10</f>
        <v/>
      </c>
      <c r="BF11">
        <f>'Résultats observations'.BF11-'Résultats observations'.BF$10</f>
        <v/>
      </c>
      <c r="BG11">
        <f>'Résultats observations'.BG11-'Résultats observations'.BG$10</f>
        <v/>
      </c>
      <c r="BH11">
        <f>'Résultats observations'.BH11-'Résultats observations'.BH$10</f>
        <v/>
      </c>
      <c r="BI11">
        <f>'Résultats observations'.BI11-'Résultats observations'.BI$10</f>
        <v/>
      </c>
      <c r="BJ11">
        <f>'Résultats observations'.BJ11-'Résultats observations'.BJ$10</f>
        <v/>
      </c>
    </row>
    <row r="12">
      <c r="C12">
        <f>'Résultats observations'.C12-'Résultats observations'.C$10</f>
        <v/>
      </c>
      <c r="D12">
        <f>'Résultats observations'.D12-'Résultats observations'.D$10</f>
        <v/>
      </c>
      <c r="E12">
        <f>'Résultats observations'.E12-'Résultats observations'.E$10</f>
        <v/>
      </c>
      <c r="F12">
        <f>'Résultats observations'.F12-'Résultats observations'.F$10</f>
        <v/>
      </c>
      <c r="G12">
        <f>'Résultats observations'.G12-'Résultats observations'.G$10</f>
        <v/>
      </c>
      <c r="H12">
        <f>'Résultats observations'.H12-'Résultats observations'.H$10</f>
        <v/>
      </c>
      <c r="I12">
        <f>'Résultats observations'.I12-'Résultats observations'.I$10</f>
        <v/>
      </c>
      <c r="J12">
        <f>'Résultats observations'.J12-'Résultats observations'.J$10</f>
        <v/>
      </c>
      <c r="K12">
        <f>'Résultats observations'.K12-'Résultats observations'.K$10</f>
        <v/>
      </c>
      <c r="L12">
        <f>'Résultats observations'.L12-'Résultats observations'.L$10</f>
        <v/>
      </c>
      <c r="M12">
        <f>'Résultats observations'.M12-'Résultats observations'.M$10</f>
        <v/>
      </c>
      <c r="N12">
        <f>'Résultats observations'.N12-'Résultats observations'.N$10</f>
        <v/>
      </c>
      <c r="O12">
        <f>'Résultats observations'.O12-'Résultats observations'.O$10</f>
        <v/>
      </c>
      <c r="P12">
        <f>'Résultats observations'.P12-'Résultats observations'.P$10</f>
        <v/>
      </c>
      <c r="Q12">
        <f>'Résultats observations'.Q12-'Résultats observations'.Q$10</f>
        <v/>
      </c>
      <c r="R12">
        <f>'Résultats observations'.R12-'Résultats observations'.R$10</f>
        <v/>
      </c>
      <c r="S12">
        <f>'Résultats observations'.S12-'Résultats observations'.S$10</f>
        <v/>
      </c>
      <c r="T12">
        <f>'Résultats observations'.T12-'Résultats observations'.T$10</f>
        <v/>
      </c>
      <c r="U12">
        <f>'Résultats observations'.U12-'Résultats observations'.U$10</f>
        <v/>
      </c>
      <c r="V12">
        <f>'Résultats observations'.V12-'Résultats observations'.V$10</f>
        <v/>
      </c>
      <c r="W12">
        <f>'Résultats observations'.W12-'Résultats observations'.W$10</f>
        <v/>
      </c>
      <c r="X12">
        <f>'Résultats observations'.X12-'Résultats observations'.X$10</f>
        <v/>
      </c>
      <c r="Y12">
        <f>'Résultats observations'.Y12-'Résultats observations'.Y$10</f>
        <v/>
      </c>
      <c r="Z12">
        <f>'Résultats observations'.Z12-'Résultats observations'.Z$10</f>
        <v/>
      </c>
      <c r="AA12">
        <f>'Résultats observations'.AA12-'Résultats observations'.AA$10</f>
        <v/>
      </c>
      <c r="AB12">
        <f>'Résultats observations'.AB12-'Résultats observations'.AB$10</f>
        <v/>
      </c>
      <c r="AC12">
        <f>'Résultats observations'.AC12-'Résultats observations'.AC$10</f>
        <v/>
      </c>
      <c r="AD12">
        <f>'Résultats observations'.AD12-'Résultats observations'.AD$10</f>
        <v/>
      </c>
      <c r="AE12">
        <f>'Résultats observations'.AE12-'Résultats observations'.AE$10</f>
        <v/>
      </c>
      <c r="AF12">
        <f>'Résultats observations'.AF12-'Résultats observations'.AF$10</f>
        <v/>
      </c>
      <c r="AG12">
        <f>'Résultats observations'.AG12-'Résultats observations'.AG$10</f>
        <v/>
      </c>
      <c r="AH12">
        <f>'Résultats observations'.AH12-'Résultats observations'.AH$10</f>
        <v/>
      </c>
      <c r="AI12">
        <f>'Résultats observations'.AI12-'Résultats observations'.AI$10</f>
        <v/>
      </c>
      <c r="AJ12">
        <f>'Résultats observations'.AJ12-'Résultats observations'.AJ$10</f>
        <v/>
      </c>
      <c r="AK12">
        <f>'Résultats observations'.AK12-'Résultats observations'.AK$10</f>
        <v/>
      </c>
      <c r="AL12">
        <f>'Résultats observations'.AL12-'Résultats observations'.AL$10</f>
        <v/>
      </c>
      <c r="AM12">
        <f>'Résultats observations'.AM12-'Résultats observations'.AM$10</f>
        <v/>
      </c>
      <c r="AN12">
        <f>'Résultats observations'.AN12-'Résultats observations'.AN$10</f>
        <v/>
      </c>
      <c r="AO12">
        <f>'Résultats observations'.AO12-'Résultats observations'.AO$10</f>
        <v/>
      </c>
      <c r="AP12">
        <f>'Résultats observations'.AP12-'Résultats observations'.AP$10</f>
        <v/>
      </c>
      <c r="AQ12">
        <f>'Résultats observations'.AQ12-'Résultats observations'.AQ$10</f>
        <v/>
      </c>
      <c r="AR12">
        <f>'Résultats observations'.AR12-'Résultats observations'.AR$10</f>
        <v/>
      </c>
      <c r="AS12">
        <f>'Résultats observations'.AS12-'Résultats observations'.AS$10</f>
        <v/>
      </c>
      <c r="AT12">
        <f>'Résultats observations'.AT12-'Résultats observations'.AT$10</f>
        <v/>
      </c>
      <c r="AU12">
        <f>'Résultats observations'.AU12-'Résultats observations'.AU$10</f>
        <v/>
      </c>
      <c r="AV12">
        <f>'Résultats observations'.AV12-'Résultats observations'.AV$10</f>
        <v/>
      </c>
      <c r="AW12">
        <f>'Résultats observations'.AW12-'Résultats observations'.AW$10</f>
        <v/>
      </c>
      <c r="AX12">
        <f>'Résultats observations'.AX12-'Résultats observations'.AX$10</f>
        <v/>
      </c>
      <c r="AY12">
        <f>'Résultats observations'.AY12-'Résultats observations'.AY$10</f>
        <v/>
      </c>
      <c r="AZ12">
        <f>'Résultats observations'.AZ12-'Résultats observations'.AZ$10</f>
        <v/>
      </c>
      <c r="BA12">
        <f>'Résultats observations'.BA12-'Résultats observations'.BA$10</f>
        <v/>
      </c>
      <c r="BB12">
        <f>'Résultats observations'.BB12-'Résultats observations'.BB$10</f>
        <v/>
      </c>
      <c r="BC12">
        <f>'Résultats observations'.BC12-'Résultats observations'.BC$10</f>
        <v/>
      </c>
      <c r="BD12">
        <f>'Résultats observations'.BD12-'Résultats observations'.BD$10</f>
        <v/>
      </c>
      <c r="BE12">
        <f>'Résultats observations'.BE12-'Résultats observations'.BE$10</f>
        <v/>
      </c>
      <c r="BF12">
        <f>'Résultats observations'.BF12-'Résultats observations'.BF$10</f>
        <v/>
      </c>
      <c r="BG12">
        <f>'Résultats observations'.BG12-'Résultats observations'.BG$10</f>
        <v/>
      </c>
      <c r="BH12">
        <f>'Résultats observations'.BH12-'Résultats observations'.BH$10</f>
        <v/>
      </c>
      <c r="BI12">
        <f>'Résultats observations'.BI12-'Résultats observations'.BI$10</f>
        <v/>
      </c>
      <c r="BJ12">
        <f>'Résultats observations'.BJ12-'Résultats observations'.BJ$10</f>
        <v/>
      </c>
    </row>
    <row r="13">
      <c r="C13">
        <f>'Résultats observations'.C13-'Résultats observations'.C$10</f>
        <v/>
      </c>
      <c r="D13">
        <f>'Résultats observations'.D13-'Résultats observations'.D$10</f>
        <v/>
      </c>
      <c r="E13">
        <f>'Résultats observations'.E13-'Résultats observations'.E$10</f>
        <v/>
      </c>
      <c r="F13">
        <f>'Résultats observations'.F13-'Résultats observations'.F$10</f>
        <v/>
      </c>
      <c r="G13">
        <f>'Résultats observations'.G13-'Résultats observations'.G$10</f>
        <v/>
      </c>
      <c r="H13">
        <f>'Résultats observations'.H13-'Résultats observations'.H$10</f>
        <v/>
      </c>
      <c r="I13">
        <f>'Résultats observations'.I13-'Résultats observations'.I$10</f>
        <v/>
      </c>
      <c r="J13">
        <f>'Résultats observations'.J13-'Résultats observations'.J$10</f>
        <v/>
      </c>
      <c r="K13">
        <f>'Résultats observations'.K13-'Résultats observations'.K$10</f>
        <v/>
      </c>
      <c r="L13">
        <f>'Résultats observations'.L13-'Résultats observations'.L$10</f>
        <v/>
      </c>
      <c r="M13">
        <f>'Résultats observations'.M13-'Résultats observations'.M$10</f>
        <v/>
      </c>
      <c r="N13">
        <f>'Résultats observations'.N13-'Résultats observations'.N$10</f>
        <v/>
      </c>
      <c r="O13">
        <f>'Résultats observations'.O13-'Résultats observations'.O$10</f>
        <v/>
      </c>
      <c r="P13">
        <f>'Résultats observations'.P13-'Résultats observations'.P$10</f>
        <v/>
      </c>
      <c r="Q13">
        <f>'Résultats observations'.Q13-'Résultats observations'.Q$10</f>
        <v/>
      </c>
      <c r="R13">
        <f>'Résultats observations'.R13-'Résultats observations'.R$10</f>
        <v/>
      </c>
      <c r="S13">
        <f>'Résultats observations'.S13-'Résultats observations'.S$10</f>
        <v/>
      </c>
      <c r="T13">
        <f>'Résultats observations'.T13-'Résultats observations'.T$10</f>
        <v/>
      </c>
      <c r="U13">
        <f>'Résultats observations'.U13-'Résultats observations'.U$10</f>
        <v/>
      </c>
      <c r="V13">
        <f>'Résultats observations'.V13-'Résultats observations'.V$10</f>
        <v/>
      </c>
      <c r="W13">
        <f>'Résultats observations'.W13-'Résultats observations'.W$10</f>
        <v/>
      </c>
      <c r="X13">
        <f>'Résultats observations'.X13-'Résultats observations'.X$10</f>
        <v/>
      </c>
      <c r="Y13">
        <f>'Résultats observations'.Y13-'Résultats observations'.Y$10</f>
        <v/>
      </c>
      <c r="Z13">
        <f>'Résultats observations'.Z13-'Résultats observations'.Z$10</f>
        <v/>
      </c>
      <c r="AA13">
        <f>'Résultats observations'.AA13-'Résultats observations'.AA$10</f>
        <v/>
      </c>
      <c r="AB13">
        <f>'Résultats observations'.AB13-'Résultats observations'.AB$10</f>
        <v/>
      </c>
      <c r="AC13">
        <f>'Résultats observations'.AC13-'Résultats observations'.AC$10</f>
        <v/>
      </c>
      <c r="AD13">
        <f>'Résultats observations'.AD13-'Résultats observations'.AD$10</f>
        <v/>
      </c>
      <c r="AE13">
        <f>'Résultats observations'.AE13-'Résultats observations'.AE$10</f>
        <v/>
      </c>
      <c r="AF13">
        <f>'Résultats observations'.AF13-'Résultats observations'.AF$10</f>
        <v/>
      </c>
      <c r="AG13">
        <f>'Résultats observations'.AG13-'Résultats observations'.AG$10</f>
        <v/>
      </c>
      <c r="AH13">
        <f>'Résultats observations'.AH13-'Résultats observations'.AH$10</f>
        <v/>
      </c>
      <c r="AI13">
        <f>'Résultats observations'.AI13-'Résultats observations'.AI$10</f>
        <v/>
      </c>
      <c r="AJ13">
        <f>'Résultats observations'.AJ13-'Résultats observations'.AJ$10</f>
        <v/>
      </c>
      <c r="AK13">
        <f>'Résultats observations'.AK13-'Résultats observations'.AK$10</f>
        <v/>
      </c>
      <c r="AL13">
        <f>'Résultats observations'.AL13-'Résultats observations'.AL$10</f>
        <v/>
      </c>
      <c r="AM13">
        <f>'Résultats observations'.AM13-'Résultats observations'.AM$10</f>
        <v/>
      </c>
      <c r="AN13">
        <f>'Résultats observations'.AN13-'Résultats observations'.AN$10</f>
        <v/>
      </c>
      <c r="AO13">
        <f>'Résultats observations'.AO13-'Résultats observations'.AO$10</f>
        <v/>
      </c>
      <c r="AP13">
        <f>'Résultats observations'.AP13-'Résultats observations'.AP$10</f>
        <v/>
      </c>
      <c r="AQ13">
        <f>'Résultats observations'.AQ13-'Résultats observations'.AQ$10</f>
        <v/>
      </c>
      <c r="AR13">
        <f>'Résultats observations'.AR13-'Résultats observations'.AR$10</f>
        <v/>
      </c>
      <c r="AS13">
        <f>'Résultats observations'.AS13-'Résultats observations'.AS$10</f>
        <v/>
      </c>
      <c r="AT13">
        <f>'Résultats observations'.AT13-'Résultats observations'.AT$10</f>
        <v/>
      </c>
      <c r="AU13">
        <f>'Résultats observations'.AU13-'Résultats observations'.AU$10</f>
        <v/>
      </c>
      <c r="AV13">
        <f>'Résultats observations'.AV13-'Résultats observations'.AV$10</f>
        <v/>
      </c>
      <c r="AW13">
        <f>'Résultats observations'.AW13-'Résultats observations'.AW$10</f>
        <v/>
      </c>
      <c r="AX13">
        <f>'Résultats observations'.AX13-'Résultats observations'.AX$10</f>
        <v/>
      </c>
      <c r="AY13">
        <f>'Résultats observations'.AY13-'Résultats observations'.AY$10</f>
        <v/>
      </c>
      <c r="AZ13">
        <f>'Résultats observations'.AZ13-'Résultats observations'.AZ$10</f>
        <v/>
      </c>
      <c r="BA13">
        <f>'Résultats observations'.BA13-'Résultats observations'.BA$10</f>
        <v/>
      </c>
      <c r="BB13">
        <f>'Résultats observations'.BB13-'Résultats observations'.BB$10</f>
        <v/>
      </c>
      <c r="BC13">
        <f>'Résultats observations'.BC13-'Résultats observations'.BC$10</f>
        <v/>
      </c>
      <c r="BD13">
        <f>'Résultats observations'.BD13-'Résultats observations'.BD$10</f>
        <v/>
      </c>
      <c r="BE13">
        <f>'Résultats observations'.BE13-'Résultats observations'.BE$10</f>
        <v/>
      </c>
      <c r="BF13">
        <f>'Résultats observations'.BF13-'Résultats observations'.BF$10</f>
        <v/>
      </c>
      <c r="BG13">
        <f>'Résultats observations'.BG13-'Résultats observations'.BG$10</f>
        <v/>
      </c>
      <c r="BH13">
        <f>'Résultats observations'.BH13-'Résultats observations'.BH$10</f>
        <v/>
      </c>
      <c r="BI13">
        <f>'Résultats observations'.BI13-'Résultats observations'.BI$10</f>
        <v/>
      </c>
      <c r="BJ13">
        <f>'Résultats observations'.BJ13-'Résultats observations'.BJ$10</f>
        <v/>
      </c>
    </row>
    <row r="14">
      <c r="C14">
        <f>'Résultats observations'.C14-'Résultats observations'.C$10</f>
        <v/>
      </c>
      <c r="D14">
        <f>'Résultats observations'.D14-'Résultats observations'.D$10</f>
        <v/>
      </c>
      <c r="E14">
        <f>'Résultats observations'.E14-'Résultats observations'.E$10</f>
        <v/>
      </c>
      <c r="F14">
        <f>'Résultats observations'.F14-'Résultats observations'.F$10</f>
        <v/>
      </c>
      <c r="G14">
        <f>'Résultats observations'.G14-'Résultats observations'.G$10</f>
        <v/>
      </c>
      <c r="H14">
        <f>'Résultats observations'.H14-'Résultats observations'.H$10</f>
        <v/>
      </c>
      <c r="I14">
        <f>'Résultats observations'.I14-'Résultats observations'.I$10</f>
        <v/>
      </c>
      <c r="J14">
        <f>'Résultats observations'.J14-'Résultats observations'.J$10</f>
        <v/>
      </c>
      <c r="K14">
        <f>'Résultats observations'.K14-'Résultats observations'.K$10</f>
        <v/>
      </c>
      <c r="L14">
        <f>'Résultats observations'.L14-'Résultats observations'.L$10</f>
        <v/>
      </c>
      <c r="M14">
        <f>'Résultats observations'.M14-'Résultats observations'.M$10</f>
        <v/>
      </c>
      <c r="N14">
        <f>'Résultats observations'.N14-'Résultats observations'.N$10</f>
        <v/>
      </c>
      <c r="O14">
        <f>'Résultats observations'.O14-'Résultats observations'.O$10</f>
        <v/>
      </c>
      <c r="P14">
        <f>'Résultats observations'.P14-'Résultats observations'.P$10</f>
        <v/>
      </c>
      <c r="Q14">
        <f>'Résultats observations'.Q14-'Résultats observations'.Q$10</f>
        <v/>
      </c>
      <c r="R14">
        <f>'Résultats observations'.R14-'Résultats observations'.R$10</f>
        <v/>
      </c>
      <c r="S14">
        <f>'Résultats observations'.S14-'Résultats observations'.S$10</f>
        <v/>
      </c>
      <c r="T14">
        <f>'Résultats observations'.T14-'Résultats observations'.T$10</f>
        <v/>
      </c>
      <c r="U14">
        <f>'Résultats observations'.U14-'Résultats observations'.U$10</f>
        <v/>
      </c>
      <c r="V14">
        <f>'Résultats observations'.V14-'Résultats observations'.V$10</f>
        <v/>
      </c>
      <c r="W14">
        <f>'Résultats observations'.W14-'Résultats observations'.W$10</f>
        <v/>
      </c>
      <c r="X14">
        <f>'Résultats observations'.X14-'Résultats observations'.X$10</f>
        <v/>
      </c>
      <c r="Y14">
        <f>'Résultats observations'.Y14-'Résultats observations'.Y$10</f>
        <v/>
      </c>
      <c r="Z14">
        <f>'Résultats observations'.Z14-'Résultats observations'.Z$10</f>
        <v/>
      </c>
      <c r="AA14">
        <f>'Résultats observations'.AA14-'Résultats observations'.AA$10</f>
        <v/>
      </c>
      <c r="AB14">
        <f>'Résultats observations'.AB14-'Résultats observations'.AB$10</f>
        <v/>
      </c>
      <c r="AC14">
        <f>'Résultats observations'.AC14-'Résultats observations'.AC$10</f>
        <v/>
      </c>
      <c r="AD14">
        <f>'Résultats observations'.AD14-'Résultats observations'.AD$10</f>
        <v/>
      </c>
      <c r="AE14">
        <f>'Résultats observations'.AE14-'Résultats observations'.AE$10</f>
        <v/>
      </c>
      <c r="AF14">
        <f>'Résultats observations'.AF14-'Résultats observations'.AF$10</f>
        <v/>
      </c>
      <c r="AG14">
        <f>'Résultats observations'.AG14-'Résultats observations'.AG$10</f>
        <v/>
      </c>
      <c r="AH14">
        <f>'Résultats observations'.AH14-'Résultats observations'.AH$10</f>
        <v/>
      </c>
      <c r="AI14">
        <f>'Résultats observations'.AI14-'Résultats observations'.AI$10</f>
        <v/>
      </c>
      <c r="AJ14">
        <f>'Résultats observations'.AJ14-'Résultats observations'.AJ$10</f>
        <v/>
      </c>
      <c r="AK14">
        <f>'Résultats observations'.AK14-'Résultats observations'.AK$10</f>
        <v/>
      </c>
      <c r="AL14">
        <f>'Résultats observations'.AL14-'Résultats observations'.AL$10</f>
        <v/>
      </c>
      <c r="AM14">
        <f>'Résultats observations'.AM14-'Résultats observations'.AM$10</f>
        <v/>
      </c>
      <c r="AN14">
        <f>'Résultats observations'.AN14-'Résultats observations'.AN$10</f>
        <v/>
      </c>
      <c r="AO14">
        <f>'Résultats observations'.AO14-'Résultats observations'.AO$10</f>
        <v/>
      </c>
      <c r="AP14">
        <f>'Résultats observations'.AP14-'Résultats observations'.AP$10</f>
        <v/>
      </c>
      <c r="AQ14">
        <f>'Résultats observations'.AQ14-'Résultats observations'.AQ$10</f>
        <v/>
      </c>
      <c r="AR14">
        <f>'Résultats observations'.AR14-'Résultats observations'.AR$10</f>
        <v/>
      </c>
      <c r="AS14">
        <f>'Résultats observations'.AS14-'Résultats observations'.AS$10</f>
        <v/>
      </c>
      <c r="AT14">
        <f>'Résultats observations'.AT14-'Résultats observations'.AT$10</f>
        <v/>
      </c>
      <c r="AU14">
        <f>'Résultats observations'.AU14-'Résultats observations'.AU$10</f>
        <v/>
      </c>
      <c r="AV14">
        <f>'Résultats observations'.AV14-'Résultats observations'.AV$10</f>
        <v/>
      </c>
      <c r="AW14">
        <f>'Résultats observations'.AW14-'Résultats observations'.AW$10</f>
        <v/>
      </c>
      <c r="AX14">
        <f>'Résultats observations'.AX14-'Résultats observations'.AX$10</f>
        <v/>
      </c>
      <c r="AY14">
        <f>'Résultats observations'.AY14-'Résultats observations'.AY$10</f>
        <v/>
      </c>
      <c r="AZ14">
        <f>'Résultats observations'.AZ14-'Résultats observations'.AZ$10</f>
        <v/>
      </c>
      <c r="BA14">
        <f>'Résultats observations'.BA14-'Résultats observations'.BA$10</f>
        <v/>
      </c>
      <c r="BB14">
        <f>'Résultats observations'.BB14-'Résultats observations'.BB$10</f>
        <v/>
      </c>
      <c r="BC14">
        <f>'Résultats observations'.BC14-'Résultats observations'.BC$10</f>
        <v/>
      </c>
      <c r="BD14">
        <f>'Résultats observations'.BD14-'Résultats observations'.BD$10</f>
        <v/>
      </c>
      <c r="BE14">
        <f>'Résultats observations'.BE14-'Résultats observations'.BE$10</f>
        <v/>
      </c>
      <c r="BF14">
        <f>'Résultats observations'.BF14-'Résultats observations'.BF$10</f>
        <v/>
      </c>
      <c r="BG14">
        <f>'Résultats observations'.BG14-'Résultats observations'.BG$10</f>
        <v/>
      </c>
      <c r="BH14">
        <f>'Résultats observations'.BH14-'Résultats observations'.BH$10</f>
        <v/>
      </c>
      <c r="BI14">
        <f>'Résultats observations'.BI14-'Résultats observations'.BI$10</f>
        <v/>
      </c>
      <c r="BJ14">
        <f>'Résultats observations'.BJ14-'Résultats observations'.BJ$10</f>
        <v/>
      </c>
    </row>
    <row r="15">
      <c r="C15">
        <f>'Résultats observations'.C15-'Résultats observations'.C$10</f>
        <v/>
      </c>
      <c r="D15">
        <f>'Résultats observations'.D15-'Résultats observations'.D$10</f>
        <v/>
      </c>
      <c r="E15">
        <f>'Résultats observations'.E15-'Résultats observations'.E$10</f>
        <v/>
      </c>
      <c r="F15">
        <f>'Résultats observations'.F15-'Résultats observations'.F$10</f>
        <v/>
      </c>
      <c r="G15">
        <f>'Résultats observations'.G15-'Résultats observations'.G$10</f>
        <v/>
      </c>
      <c r="H15">
        <f>'Résultats observations'.H15-'Résultats observations'.H$10</f>
        <v/>
      </c>
      <c r="I15">
        <f>'Résultats observations'.I15-'Résultats observations'.I$10</f>
        <v/>
      </c>
      <c r="J15">
        <f>'Résultats observations'.J15-'Résultats observations'.J$10</f>
        <v/>
      </c>
      <c r="K15">
        <f>'Résultats observations'.K15-'Résultats observations'.K$10</f>
        <v/>
      </c>
      <c r="L15">
        <f>'Résultats observations'.L15-'Résultats observations'.L$10</f>
        <v/>
      </c>
      <c r="M15">
        <f>'Résultats observations'.M15-'Résultats observations'.M$10</f>
        <v/>
      </c>
      <c r="N15">
        <f>'Résultats observations'.N15-'Résultats observations'.N$10</f>
        <v/>
      </c>
      <c r="O15">
        <f>'Résultats observations'.O15-'Résultats observations'.O$10</f>
        <v/>
      </c>
      <c r="P15">
        <f>'Résultats observations'.P15-'Résultats observations'.P$10</f>
        <v/>
      </c>
      <c r="Q15">
        <f>'Résultats observations'.Q15-'Résultats observations'.Q$10</f>
        <v/>
      </c>
      <c r="R15">
        <f>'Résultats observations'.R15-'Résultats observations'.R$10</f>
        <v/>
      </c>
      <c r="S15">
        <f>'Résultats observations'.S15-'Résultats observations'.S$10</f>
        <v/>
      </c>
      <c r="T15">
        <f>'Résultats observations'.T15-'Résultats observations'.T$10</f>
        <v/>
      </c>
      <c r="U15">
        <f>'Résultats observations'.U15-'Résultats observations'.U$10</f>
        <v/>
      </c>
      <c r="V15">
        <f>'Résultats observations'.V15-'Résultats observations'.V$10</f>
        <v/>
      </c>
      <c r="W15">
        <f>'Résultats observations'.W15-'Résultats observations'.W$10</f>
        <v/>
      </c>
      <c r="X15">
        <f>'Résultats observations'.X15-'Résultats observations'.X$10</f>
        <v/>
      </c>
      <c r="Y15">
        <f>'Résultats observations'.Y15-'Résultats observations'.Y$10</f>
        <v/>
      </c>
      <c r="Z15">
        <f>'Résultats observations'.Z15-'Résultats observations'.Z$10</f>
        <v/>
      </c>
      <c r="AA15">
        <f>'Résultats observations'.AA15-'Résultats observations'.AA$10</f>
        <v/>
      </c>
      <c r="AB15">
        <f>'Résultats observations'.AB15-'Résultats observations'.AB$10</f>
        <v/>
      </c>
      <c r="AC15">
        <f>'Résultats observations'.AC15-'Résultats observations'.AC$10</f>
        <v/>
      </c>
      <c r="AD15">
        <f>'Résultats observations'.AD15-'Résultats observations'.AD$10</f>
        <v/>
      </c>
      <c r="AE15">
        <f>'Résultats observations'.AE15-'Résultats observations'.AE$10</f>
        <v/>
      </c>
      <c r="AF15">
        <f>'Résultats observations'.AF15-'Résultats observations'.AF$10</f>
        <v/>
      </c>
      <c r="AG15">
        <f>'Résultats observations'.AG15-'Résultats observations'.AG$10</f>
        <v/>
      </c>
      <c r="AH15">
        <f>'Résultats observations'.AH15-'Résultats observations'.AH$10</f>
        <v/>
      </c>
      <c r="AI15">
        <f>'Résultats observations'.AI15-'Résultats observations'.AI$10</f>
        <v/>
      </c>
      <c r="AJ15">
        <f>'Résultats observations'.AJ15-'Résultats observations'.AJ$10</f>
        <v/>
      </c>
      <c r="AK15">
        <f>'Résultats observations'.AK15-'Résultats observations'.AK$10</f>
        <v/>
      </c>
      <c r="AL15">
        <f>'Résultats observations'.AL15-'Résultats observations'.AL$10</f>
        <v/>
      </c>
      <c r="AM15">
        <f>'Résultats observations'.AM15-'Résultats observations'.AM$10</f>
        <v/>
      </c>
      <c r="AN15">
        <f>'Résultats observations'.AN15-'Résultats observations'.AN$10</f>
        <v/>
      </c>
      <c r="AO15">
        <f>'Résultats observations'.AO15-'Résultats observations'.AO$10</f>
        <v/>
      </c>
      <c r="AP15">
        <f>'Résultats observations'.AP15-'Résultats observations'.AP$10</f>
        <v/>
      </c>
      <c r="AQ15">
        <f>'Résultats observations'.AQ15-'Résultats observations'.AQ$10</f>
        <v/>
      </c>
      <c r="AR15">
        <f>'Résultats observations'.AR15-'Résultats observations'.AR$10</f>
        <v/>
      </c>
      <c r="AS15">
        <f>'Résultats observations'.AS15-'Résultats observations'.AS$10</f>
        <v/>
      </c>
      <c r="AT15">
        <f>'Résultats observations'.AT15-'Résultats observations'.AT$10</f>
        <v/>
      </c>
      <c r="AU15">
        <f>'Résultats observations'.AU15-'Résultats observations'.AU$10</f>
        <v/>
      </c>
      <c r="AV15">
        <f>'Résultats observations'.AV15-'Résultats observations'.AV$10</f>
        <v/>
      </c>
      <c r="AW15">
        <f>'Résultats observations'.AW15-'Résultats observations'.AW$10</f>
        <v/>
      </c>
      <c r="AX15">
        <f>'Résultats observations'.AX15-'Résultats observations'.AX$10</f>
        <v/>
      </c>
      <c r="AY15">
        <f>'Résultats observations'.AY15-'Résultats observations'.AY$10</f>
        <v/>
      </c>
      <c r="AZ15">
        <f>'Résultats observations'.AZ15-'Résultats observations'.AZ$10</f>
        <v/>
      </c>
      <c r="BA15">
        <f>'Résultats observations'.BA15-'Résultats observations'.BA$10</f>
        <v/>
      </c>
      <c r="BB15">
        <f>'Résultats observations'.BB15-'Résultats observations'.BB$10</f>
        <v/>
      </c>
      <c r="BC15">
        <f>'Résultats observations'.BC15-'Résultats observations'.BC$10</f>
        <v/>
      </c>
      <c r="BD15">
        <f>'Résultats observations'.BD15-'Résultats observations'.BD$10</f>
        <v/>
      </c>
      <c r="BE15">
        <f>'Résultats observations'.BE15-'Résultats observations'.BE$10</f>
        <v/>
      </c>
      <c r="BF15">
        <f>'Résultats observations'.BF15-'Résultats observations'.BF$10</f>
        <v/>
      </c>
      <c r="BG15">
        <f>'Résultats observations'.BG15-'Résultats observations'.BG$10</f>
        <v/>
      </c>
      <c r="BH15">
        <f>'Résultats observations'.BH15-'Résultats observations'.BH$10</f>
        <v/>
      </c>
      <c r="BI15">
        <f>'Résultats observations'.BI15-'Résultats observations'.BI$10</f>
        <v/>
      </c>
      <c r="BJ15">
        <f>'Résultats observations'.BJ15-'Résultats observations'.BJ$10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utilisateur</dc:creator>
  <dcterms:created xsi:type="dcterms:W3CDTF">2008-07-29T13:58:19Z</dcterms:created>
  <dcterms:modified xsi:type="dcterms:W3CDTF">2025-10-17T11:23:02Z</dcterms:modified>
  <cp:lastModifiedBy>olivier boissard</cp:lastModifiedBy>
  <cp:lastPrinted>2022-03-31T10:18:23Z</cp:lastPrinted>
</cp:coreProperties>
</file>