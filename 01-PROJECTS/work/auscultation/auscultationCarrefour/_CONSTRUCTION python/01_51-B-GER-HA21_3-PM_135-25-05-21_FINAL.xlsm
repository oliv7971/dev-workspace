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B1F1328-AC06-4FA4-8F4C-865E725AF8D8}" xr6:coauthVersionLast="47" xr6:coauthVersionMax="47" xr10:uidLastSave="{00000000-0000-0000-0000-000000000000}"/>
  <bookViews>
    <workbookView xWindow="28680" yWindow="-120" windowWidth="29040" windowHeight="15840" tabRatio="847" xr2:uid="{00000000-000D-0000-FFFF-FFFF00000000}"/>
  </bookViews>
  <sheets>
    <sheet name="Résultats observations" sheetId="1" r:id="rId1"/>
    <sheet name="DATABASE" sheetId="8" r:id="rId2"/>
    <sheet name="Cordes" sheetId="2" r:id="rId3"/>
    <sheet name="Déplacements" sheetId="3" r:id="rId4"/>
    <sheet name="Graphiques" sheetId="4" r:id="rId5"/>
    <sheet name="commentaires" sheetId="6" r:id="rId6"/>
  </sheets>
  <definedNames>
    <definedName name="cintre">'Résultats observations'!#REF!</definedName>
    <definedName name="date">'Résultats observations'!$A:$A</definedName>
    <definedName name="DH_BD">'Résultats observations'!#REF!</definedName>
    <definedName name="DH_BG">'Résultats observations'!$AW:$AW</definedName>
    <definedName name="DH_HD">'Résultats observations'!#REF!</definedName>
    <definedName name="DH_HG">'Résultats observations'!$BC:$BC</definedName>
    <definedName name="DH_ID">'Résultats observations'!#REF!</definedName>
    <definedName name="DH_IG">'Résultats observations'!$AZ:$AZ</definedName>
    <definedName name="DHhaut">'Résultats observations'!$BF:$BF</definedName>
    <definedName name="dist">'Résultats observations'!#REF!</definedName>
    <definedName name="DPM_BD">'Résultats observations'!#REF!</definedName>
    <definedName name="DPM_BG">'Résultats observations'!$AV:$AV</definedName>
    <definedName name="DPM_HD">'Résultats observations'!#REF!</definedName>
    <definedName name="DPM_HG">'Résultats observations'!$BB:$BB</definedName>
    <definedName name="DPM_ID">'Résultats observations'!#REF!</definedName>
    <definedName name="DPM_IG">'Résultats observations'!$AY:$AY</definedName>
    <definedName name="DPMhaut">'Résultats observations'!$BE:$BE</definedName>
    <definedName name="DZ_BD">'Résultats observations'!#REF!</definedName>
    <definedName name="DZ_BG">'Résultats observations'!$X:$X</definedName>
    <definedName name="DZ_HD">'Résultats observations'!#REF!</definedName>
    <definedName name="DZ_HG">'Résultats observations'!$AD:$AD</definedName>
    <definedName name="DZ_ID">'Résultats observations'!#REF!</definedName>
    <definedName name="DZ_IG">'Résultats observations'!$AA:$AA</definedName>
    <definedName name="DZhaut">'Résultats observations'!$AG:$AG</definedName>
    <definedName name="Ecart_BD">'Résultats observations'!#REF!</definedName>
    <definedName name="Ecart_BG">'Résultats observations'!$R:$R</definedName>
    <definedName name="Ecart_HD">'Résultats observations'!#REF!</definedName>
    <definedName name="Ecart_HG">'Résultats observations'!$T:$T</definedName>
    <definedName name="Ecart_ID">'Résultats observations'!#REF!</definedName>
    <definedName name="Ecart_IG">'Résultats observations'!$S:$S</definedName>
    <definedName name="Ecart_LB">'Résultats observations'!#REF!</definedName>
    <definedName name="Ecart_LH">'Résultats observations'!#REF!</definedName>
    <definedName name="Ecart_LI">'Résultats observations'!#REF!</definedName>
    <definedName name="excav">'Résultats observations'!$A$7</definedName>
    <definedName name="front">'Résultats observations'!#REF!</definedName>
    <definedName name="galerie">'Résultats observations'!$E$4</definedName>
    <definedName name="_xlnm.Print_Titles" localSheetId="2">Cordes!$1:$9</definedName>
    <definedName name="_xlnm.Print_Titles" localSheetId="3">Déplacements!$1:$9</definedName>
    <definedName name="_xlnm.Print_Titles" localSheetId="0">'Résultats observations'!$1:$9</definedName>
    <definedName name="jours">'Résultats observations'!$B:$B</definedName>
    <definedName name="PM">'Résultats observations'!#REF!</definedName>
    <definedName name="Xbasdroit">'Résultats observations'!#REF!</definedName>
    <definedName name="Xbasgauche">'Résultats observations'!$C:$C</definedName>
    <definedName name="Xhaut">'Résultats observations'!$L:$L</definedName>
    <definedName name="Xhautdroit">'Résultats observations'!#REF!</definedName>
    <definedName name="Xhautgauche">'Résultats observations'!$I:$I</definedName>
    <definedName name="Xinterdroit">'Résultats observations'!#REF!</definedName>
    <definedName name="Xintergauche">'Résultats observations'!$F:$F</definedName>
    <definedName name="Ybasdroit">'Résultats observations'!#REF!</definedName>
    <definedName name="Ybasgauche">'Résultats observations'!$D:$D</definedName>
    <definedName name="Yhaut">'Résultats observations'!$M:$M</definedName>
    <definedName name="Yhautdroit">'Résultats observations'!#REF!</definedName>
    <definedName name="Yhautgauche">'Résultats observations'!$J:$J</definedName>
    <definedName name="Yinterdroit">'Résultats observations'!#REF!</definedName>
    <definedName name="Yintergauche">'Résultats observations'!$G:$G</definedName>
    <definedName name="Zbasdroit">'Résultats observations'!#REF!</definedName>
    <definedName name="Zbasgauche">'Résultats observations'!$E:$E</definedName>
    <definedName name="Zhaut">'Résultats observations'!$N:$N</definedName>
    <definedName name="Zhautdroit">'Résultats observations'!#REF!</definedName>
    <definedName name="Zhautgauche">'Résultats observations'!$K:$K</definedName>
    <definedName name="Zinterdroit">'Résultats observations'!#REF!</definedName>
    <definedName name="Zintergauche">'Résultats observations'!$H:$H</definedName>
    <definedName name="_xlnm.Print_Area" localSheetId="2">Cordes!$A$1:$M$40</definedName>
    <definedName name="_xlnm.Print_Area" localSheetId="3">Déplacements!$A$1:$N$40</definedName>
    <definedName name="_xlnm.Print_Area" localSheetId="4">Graphiques!$B$2:$L$33,Graphiques!$N$2:$X$33,Graphiques!$B$35:$L$66,Graphiques!$N$35:$X$66,Graphiques!#REF!,Graphiques!#REF!</definedName>
    <definedName name="_xlnm.Print_Area" localSheetId="0">'Résultats observations'!$A$1:$Q$10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0" i="3" l="1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E50" i="2"/>
  <c r="M50" i="2" s="1"/>
  <c r="D50" i="2"/>
  <c r="L50" i="2" s="1"/>
  <c r="C50" i="2"/>
  <c r="K50" i="2" s="1"/>
  <c r="B50" i="2"/>
  <c r="A50" i="2"/>
  <c r="AT50" i="1" a="1"/>
  <c r="AT50" i="1" s="1"/>
  <c r="BG50" i="1" s="1"/>
  <c r="AS50" i="1" a="1"/>
  <c r="AS50" i="1" s="1"/>
  <c r="BF50" i="1" s="1"/>
  <c r="AR50" i="1" a="1"/>
  <c r="AR50" i="1" s="1"/>
  <c r="BE50" i="1" s="1"/>
  <c r="AQ50" i="1" a="1"/>
  <c r="AQ50" i="1" s="1"/>
  <c r="BD50" i="1" s="1"/>
  <c r="AP50" i="1" a="1"/>
  <c r="AP50" i="1" s="1"/>
  <c r="BC50" i="1" s="1"/>
  <c r="AO50" i="1" a="1"/>
  <c r="AO50" i="1" s="1"/>
  <c r="BB50" i="1" s="1"/>
  <c r="AN50" i="1" a="1"/>
  <c r="AN50" i="1" s="1"/>
  <c r="BA50" i="1" s="1"/>
  <c r="AM50" i="1" a="1"/>
  <c r="AM50" i="1" s="1"/>
  <c r="AZ50" i="1" s="1"/>
  <c r="AL50" i="1" a="1"/>
  <c r="AL50" i="1" s="1"/>
  <c r="AY50" i="1" s="1"/>
  <c r="AK50" i="1" a="1"/>
  <c r="AK50" i="1" s="1"/>
  <c r="AX50" i="1" s="1"/>
  <c r="AJ50" i="1" a="1"/>
  <c r="AJ50" i="1" s="1"/>
  <c r="AW50" i="1" s="1"/>
  <c r="AI50" i="1" a="1"/>
  <c r="AI50" i="1" s="1"/>
  <c r="AV50" i="1" s="1"/>
  <c r="N50" i="1" a="1"/>
  <c r="N50" i="1" s="1"/>
  <c r="AG50" i="1" s="1"/>
  <c r="M50" i="1" a="1"/>
  <c r="M50" i="1" s="1"/>
  <c r="AF50" i="1" s="1"/>
  <c r="L50" i="1" a="1"/>
  <c r="L50" i="1" s="1"/>
  <c r="K50" i="1" a="1"/>
  <c r="K50" i="1" s="1"/>
  <c r="AD50" i="1" s="1"/>
  <c r="J50" i="1" a="1"/>
  <c r="J50" i="1" s="1"/>
  <c r="AC50" i="1" s="1"/>
  <c r="I50" i="1" a="1"/>
  <c r="I50" i="1" s="1"/>
  <c r="AB50" i="1" s="1"/>
  <c r="H50" i="1" a="1"/>
  <c r="H50" i="1" s="1"/>
  <c r="AA50" i="1" s="1"/>
  <c r="G50" i="1" a="1"/>
  <c r="G50" i="1" s="1"/>
  <c r="Z50" i="1" s="1"/>
  <c r="F50" i="1" a="1"/>
  <c r="F50" i="1" s="1"/>
  <c r="Y50" i="1" s="1"/>
  <c r="E50" i="1" a="1"/>
  <c r="E50" i="1" s="1"/>
  <c r="X50" i="1" s="1"/>
  <c r="D50" i="1" a="1"/>
  <c r="D50" i="1" s="1"/>
  <c r="W50" i="1" s="1"/>
  <c r="C50" i="1" a="1"/>
  <c r="C50" i="1" s="1"/>
  <c r="V50" i="1" s="1"/>
  <c r="B50" i="1"/>
  <c r="AZ172" i="8"/>
  <c r="AY172" i="8"/>
  <c r="AX172" i="8"/>
  <c r="AW172" i="8"/>
  <c r="AV172" i="8"/>
  <c r="AM172" i="8"/>
  <c r="BB172" i="8" s="1"/>
  <c r="AL172" i="8"/>
  <c r="BA172" i="8" s="1"/>
  <c r="AZ171" i="8"/>
  <c r="AY171" i="8"/>
  <c r="AX171" i="8"/>
  <c r="AW171" i="8"/>
  <c r="AV171" i="8"/>
  <c r="AM171" i="8"/>
  <c r="BB171" i="8" s="1"/>
  <c r="AL171" i="8"/>
  <c r="BA171" i="8" s="1"/>
  <c r="AZ170" i="8"/>
  <c r="AY170" i="8"/>
  <c r="AX170" i="8"/>
  <c r="AW170" i="8"/>
  <c r="AV170" i="8"/>
  <c r="AM170" i="8"/>
  <c r="BB170" i="8" s="1"/>
  <c r="AL170" i="8"/>
  <c r="BA170" i="8" s="1"/>
  <c r="AZ169" i="8"/>
  <c r="AY169" i="8"/>
  <c r="AX169" i="8"/>
  <c r="AW169" i="8"/>
  <c r="AV169" i="8"/>
  <c r="AM169" i="8"/>
  <c r="BB169" i="8" s="1"/>
  <c r="AL169" i="8"/>
  <c r="BA169" i="8" s="1"/>
  <c r="O49" i="3"/>
  <c r="B49" i="3"/>
  <c r="A49" i="3"/>
  <c r="B49" i="2"/>
  <c r="A49" i="2"/>
  <c r="G49" i="1" a="1"/>
  <c r="G49" i="1" s="1"/>
  <c r="F49" i="1" a="1"/>
  <c r="F49" i="1" s="1"/>
  <c r="E49" i="1" a="1"/>
  <c r="E49" i="1" s="1"/>
  <c r="D49" i="1" a="1"/>
  <c r="D49" i="1" s="1"/>
  <c r="C49" i="1" a="1"/>
  <c r="C49" i="1" s="1"/>
  <c r="B49" i="1"/>
  <c r="AZ168" i="8"/>
  <c r="AY168" i="8"/>
  <c r="AX168" i="8"/>
  <c r="AW168" i="8"/>
  <c r="AV168" i="8"/>
  <c r="AM168" i="8"/>
  <c r="BB168" i="8" s="1"/>
  <c r="AL168" i="8"/>
  <c r="BA168" i="8" s="1"/>
  <c r="AZ167" i="8"/>
  <c r="AY167" i="8"/>
  <c r="AX167" i="8"/>
  <c r="AW167" i="8"/>
  <c r="AV167" i="8"/>
  <c r="AM167" i="8"/>
  <c r="BB167" i="8" s="1"/>
  <c r="AL167" i="8"/>
  <c r="BA167" i="8" s="1"/>
  <c r="AZ166" i="8"/>
  <c r="AY166" i="8"/>
  <c r="AX166" i="8"/>
  <c r="AW166" i="8"/>
  <c r="AV166" i="8"/>
  <c r="AM166" i="8"/>
  <c r="BB166" i="8" s="1"/>
  <c r="AL166" i="8"/>
  <c r="BA166" i="8" s="1"/>
  <c r="AZ165" i="8"/>
  <c r="AY165" i="8"/>
  <c r="AX165" i="8"/>
  <c r="AW165" i="8"/>
  <c r="AV165" i="8"/>
  <c r="AM165" i="8"/>
  <c r="BB165" i="8" s="1"/>
  <c r="AL165" i="8"/>
  <c r="BA165" i="8" s="1"/>
  <c r="O48" i="3"/>
  <c r="B48" i="3"/>
  <c r="A48" i="3"/>
  <c r="B48" i="2"/>
  <c r="A48" i="2"/>
  <c r="G48" i="1" a="1"/>
  <c r="G48" i="1" s="1"/>
  <c r="F48" i="1" a="1"/>
  <c r="F48" i="1" s="1"/>
  <c r="E48" i="1" a="1"/>
  <c r="E48" i="1" s="1"/>
  <c r="D48" i="1" a="1"/>
  <c r="D48" i="1" s="1"/>
  <c r="C48" i="1" a="1"/>
  <c r="C48" i="1" s="1"/>
  <c r="B48" i="1"/>
  <c r="AZ164" i="8"/>
  <c r="AY164" i="8"/>
  <c r="AX164" i="8"/>
  <c r="AW164" i="8"/>
  <c r="AV164" i="8"/>
  <c r="AM164" i="8"/>
  <c r="BB164" i="8" s="1"/>
  <c r="AL164" i="8"/>
  <c r="BA164" i="8" s="1"/>
  <c r="AZ163" i="8"/>
  <c r="AY163" i="8"/>
  <c r="AX163" i="8"/>
  <c r="AW163" i="8"/>
  <c r="AV163" i="8"/>
  <c r="AM163" i="8"/>
  <c r="BB163" i="8" s="1"/>
  <c r="AL163" i="8"/>
  <c r="BA163" i="8" s="1"/>
  <c r="AZ162" i="8"/>
  <c r="AY162" i="8"/>
  <c r="AX162" i="8"/>
  <c r="AW162" i="8"/>
  <c r="AV162" i="8"/>
  <c r="AM162" i="8"/>
  <c r="BB162" i="8" s="1"/>
  <c r="AL162" i="8"/>
  <c r="BA162" i="8" s="1"/>
  <c r="AZ161" i="8"/>
  <c r="AY161" i="8"/>
  <c r="AX161" i="8"/>
  <c r="AW161" i="8"/>
  <c r="AV161" i="8"/>
  <c r="AM161" i="8"/>
  <c r="BB161" i="8" s="1"/>
  <c r="AL161" i="8"/>
  <c r="BA161" i="8" s="1"/>
  <c r="O47" i="3"/>
  <c r="B47" i="3"/>
  <c r="A47" i="3"/>
  <c r="B47" i="2"/>
  <c r="A47" i="2"/>
  <c r="D47" i="1" a="1"/>
  <c r="D47" i="1" s="1"/>
  <c r="C47" i="1" a="1"/>
  <c r="C47" i="1" s="1"/>
  <c r="B47" i="1"/>
  <c r="AZ160" i="8"/>
  <c r="AY160" i="8"/>
  <c r="AX160" i="8"/>
  <c r="AW160" i="8"/>
  <c r="AV160" i="8"/>
  <c r="AM160" i="8"/>
  <c r="BB160" i="8" s="1"/>
  <c r="AL160" i="8"/>
  <c r="BA160" i="8" s="1"/>
  <c r="AZ159" i="8"/>
  <c r="AY159" i="8"/>
  <c r="AX159" i="8"/>
  <c r="AW159" i="8"/>
  <c r="AV159" i="8"/>
  <c r="AM159" i="8"/>
  <c r="BB159" i="8" s="1"/>
  <c r="AL159" i="8"/>
  <c r="BA159" i="8" s="1"/>
  <c r="AZ158" i="8"/>
  <c r="AY158" i="8"/>
  <c r="AX158" i="8"/>
  <c r="AW158" i="8"/>
  <c r="AV158" i="8"/>
  <c r="AM158" i="8"/>
  <c r="BB158" i="8" s="1"/>
  <c r="AL158" i="8"/>
  <c r="BA158" i="8" s="1"/>
  <c r="AZ157" i="8"/>
  <c r="AY157" i="8"/>
  <c r="AX157" i="8"/>
  <c r="AW157" i="8"/>
  <c r="AV157" i="8"/>
  <c r="C36" i="1" s="1" a="1"/>
  <c r="C36" i="1" s="1"/>
  <c r="AM157" i="8"/>
  <c r="BB157" i="8" s="1"/>
  <c r="AL157" i="8"/>
  <c r="BA157" i="8" s="1"/>
  <c r="A37" i="6"/>
  <c r="A38" i="6"/>
  <c r="A39" i="6"/>
  <c r="A35" i="6"/>
  <c r="A36" i="6"/>
  <c r="O46" i="3"/>
  <c r="B46" i="3"/>
  <c r="A46" i="3"/>
  <c r="B46" i="2"/>
  <c r="A46" i="2"/>
  <c r="B46" i="1"/>
  <c r="AZ156" i="8"/>
  <c r="AY156" i="8"/>
  <c r="AX156" i="8"/>
  <c r="AW156" i="8"/>
  <c r="AV156" i="8"/>
  <c r="AM156" i="8"/>
  <c r="BB156" i="8" s="1"/>
  <c r="AL156" i="8"/>
  <c r="BA156" i="8" s="1"/>
  <c r="AZ155" i="8"/>
  <c r="AY155" i="8"/>
  <c r="AX155" i="8"/>
  <c r="AW155" i="8"/>
  <c r="AV155" i="8"/>
  <c r="AM155" i="8"/>
  <c r="BB155" i="8" s="1"/>
  <c r="AL155" i="8"/>
  <c r="BA155" i="8" s="1"/>
  <c r="AZ154" i="8"/>
  <c r="AY154" i="8"/>
  <c r="AX154" i="8"/>
  <c r="AW154" i="8"/>
  <c r="AV154" i="8"/>
  <c r="AM154" i="8"/>
  <c r="BB154" i="8" s="1"/>
  <c r="AL154" i="8"/>
  <c r="BA154" i="8" s="1"/>
  <c r="AZ153" i="8"/>
  <c r="AY153" i="8"/>
  <c r="AX153" i="8"/>
  <c r="AW153" i="8"/>
  <c r="AV153" i="8"/>
  <c r="AM153" i="8"/>
  <c r="BB153" i="8" s="1"/>
  <c r="AL153" i="8"/>
  <c r="BA153" i="8" s="1"/>
  <c r="O45" i="3"/>
  <c r="B45" i="3"/>
  <c r="A45" i="3"/>
  <c r="B45" i="2"/>
  <c r="A45" i="2"/>
  <c r="B45" i="1"/>
  <c r="AZ152" i="8"/>
  <c r="AY152" i="8"/>
  <c r="AX152" i="8"/>
  <c r="AW152" i="8"/>
  <c r="AV152" i="8"/>
  <c r="AM152" i="8"/>
  <c r="BB152" i="8" s="1"/>
  <c r="AL152" i="8"/>
  <c r="BA152" i="8" s="1"/>
  <c r="AZ151" i="8"/>
  <c r="AY151" i="8"/>
  <c r="AX151" i="8"/>
  <c r="AW151" i="8"/>
  <c r="AV151" i="8"/>
  <c r="AM151" i="8"/>
  <c r="BB151" i="8" s="1"/>
  <c r="AL151" i="8"/>
  <c r="BA151" i="8" s="1"/>
  <c r="AZ150" i="8"/>
  <c r="AY150" i="8"/>
  <c r="AX150" i="8"/>
  <c r="AW150" i="8"/>
  <c r="AV150" i="8"/>
  <c r="AM150" i="8"/>
  <c r="BB150" i="8" s="1"/>
  <c r="AL150" i="8"/>
  <c r="BA150" i="8" s="1"/>
  <c r="AZ149" i="8"/>
  <c r="AY149" i="8"/>
  <c r="AX149" i="8"/>
  <c r="AW149" i="8"/>
  <c r="AV149" i="8"/>
  <c r="AM149" i="8"/>
  <c r="BB149" i="8" s="1"/>
  <c r="AL149" i="8"/>
  <c r="BA149" i="8" s="1"/>
  <c r="O44" i="3"/>
  <c r="B44" i="3"/>
  <c r="A44" i="3"/>
  <c r="B44" i="2"/>
  <c r="A44" i="2"/>
  <c r="B44" i="1"/>
  <c r="AZ148" i="8"/>
  <c r="AY148" i="8"/>
  <c r="AX148" i="8"/>
  <c r="AW148" i="8"/>
  <c r="AV148" i="8"/>
  <c r="AM148" i="8"/>
  <c r="BB148" i="8" s="1"/>
  <c r="AL148" i="8"/>
  <c r="BA148" i="8" s="1"/>
  <c r="AZ147" i="8"/>
  <c r="AY147" i="8"/>
  <c r="AX147" i="8"/>
  <c r="AW147" i="8"/>
  <c r="AV147" i="8"/>
  <c r="AM147" i="8"/>
  <c r="BB147" i="8" s="1"/>
  <c r="AL147" i="8"/>
  <c r="BA147" i="8" s="1"/>
  <c r="AZ146" i="8"/>
  <c r="AY146" i="8"/>
  <c r="AX146" i="8"/>
  <c r="AW146" i="8"/>
  <c r="AV146" i="8"/>
  <c r="AM146" i="8"/>
  <c r="BB146" i="8" s="1"/>
  <c r="AL146" i="8"/>
  <c r="BA146" i="8" s="1"/>
  <c r="AZ145" i="8"/>
  <c r="AY145" i="8"/>
  <c r="AX145" i="8"/>
  <c r="AW145" i="8"/>
  <c r="AV145" i="8"/>
  <c r="AM145" i="8"/>
  <c r="BB145" i="8" s="1"/>
  <c r="AL145" i="8"/>
  <c r="BA145" i="8" s="1"/>
  <c r="O43" i="3"/>
  <c r="B43" i="3"/>
  <c r="A43" i="3"/>
  <c r="B43" i="2"/>
  <c r="A43" i="2"/>
  <c r="B43" i="1"/>
  <c r="AZ144" i="8"/>
  <c r="AY144" i="8"/>
  <c r="AX144" i="8"/>
  <c r="AW144" i="8"/>
  <c r="AV144" i="8"/>
  <c r="AM144" i="8"/>
  <c r="BB144" i="8" s="1"/>
  <c r="AL144" i="8"/>
  <c r="BA144" i="8" s="1"/>
  <c r="AZ143" i="8"/>
  <c r="AY143" i="8"/>
  <c r="AX143" i="8"/>
  <c r="AW143" i="8"/>
  <c r="AV143" i="8"/>
  <c r="AM143" i="8"/>
  <c r="BB143" i="8" s="1"/>
  <c r="AL143" i="8"/>
  <c r="BA143" i="8" s="1"/>
  <c r="AZ142" i="8"/>
  <c r="AY142" i="8"/>
  <c r="AX142" i="8"/>
  <c r="AW142" i="8"/>
  <c r="AV142" i="8"/>
  <c r="AM142" i="8"/>
  <c r="BB142" i="8" s="1"/>
  <c r="AL142" i="8"/>
  <c r="BA142" i="8" s="1"/>
  <c r="AZ141" i="8"/>
  <c r="AY141" i="8"/>
  <c r="AX141" i="8"/>
  <c r="AW141" i="8"/>
  <c r="AV141" i="8"/>
  <c r="AM141" i="8"/>
  <c r="BB141" i="8" s="1"/>
  <c r="AL141" i="8"/>
  <c r="BA141" i="8" s="1"/>
  <c r="O42" i="3"/>
  <c r="B42" i="3"/>
  <c r="A42" i="3"/>
  <c r="B42" i="2"/>
  <c r="A42" i="2"/>
  <c r="B42" i="1"/>
  <c r="AZ140" i="8"/>
  <c r="AY140" i="8"/>
  <c r="AX140" i="8"/>
  <c r="AW140" i="8"/>
  <c r="AV140" i="8"/>
  <c r="AM140" i="8"/>
  <c r="BB140" i="8" s="1"/>
  <c r="AL140" i="8"/>
  <c r="BA140" i="8" s="1"/>
  <c r="AZ139" i="8"/>
  <c r="AY139" i="8"/>
  <c r="AX139" i="8"/>
  <c r="AW139" i="8"/>
  <c r="AV139" i="8"/>
  <c r="AM139" i="8"/>
  <c r="BB139" i="8" s="1"/>
  <c r="AL139" i="8"/>
  <c r="BA139" i="8" s="1"/>
  <c r="AZ138" i="8"/>
  <c r="AY138" i="8"/>
  <c r="AX138" i="8"/>
  <c r="AW138" i="8"/>
  <c r="AV138" i="8"/>
  <c r="AM138" i="8"/>
  <c r="BB138" i="8" s="1"/>
  <c r="AL138" i="8"/>
  <c r="BA138" i="8" s="1"/>
  <c r="AZ137" i="8"/>
  <c r="AY137" i="8"/>
  <c r="AX137" i="8"/>
  <c r="AW137" i="8"/>
  <c r="AV137" i="8"/>
  <c r="AM137" i="8"/>
  <c r="BB137" i="8" s="1"/>
  <c r="AL137" i="8"/>
  <c r="BA137" i="8" s="1"/>
  <c r="A31" i="6"/>
  <c r="A32" i="6"/>
  <c r="A33" i="6"/>
  <c r="A34" i="6"/>
  <c r="O41" i="3"/>
  <c r="B41" i="3"/>
  <c r="A41" i="3"/>
  <c r="B41" i="2"/>
  <c r="A41" i="2"/>
  <c r="B41" i="1"/>
  <c r="AZ136" i="8"/>
  <c r="AY136" i="8"/>
  <c r="AX136" i="8"/>
  <c r="AW136" i="8"/>
  <c r="AV136" i="8"/>
  <c r="AM136" i="8"/>
  <c r="BB136" i="8" s="1"/>
  <c r="AL136" i="8"/>
  <c r="BA136" i="8" s="1"/>
  <c r="AZ135" i="8"/>
  <c r="AY135" i="8"/>
  <c r="AX135" i="8"/>
  <c r="AW135" i="8"/>
  <c r="AV135" i="8"/>
  <c r="AM135" i="8"/>
  <c r="BB135" i="8" s="1"/>
  <c r="AL135" i="8"/>
  <c r="BA135" i="8" s="1"/>
  <c r="AZ134" i="8"/>
  <c r="AY134" i="8"/>
  <c r="AX134" i="8"/>
  <c r="AW134" i="8"/>
  <c r="AV134" i="8"/>
  <c r="AM134" i="8"/>
  <c r="BB134" i="8" s="1"/>
  <c r="AL134" i="8"/>
  <c r="BA134" i="8" s="1"/>
  <c r="AZ133" i="8"/>
  <c r="AY133" i="8"/>
  <c r="AX133" i="8"/>
  <c r="AW133" i="8"/>
  <c r="AV133" i="8"/>
  <c r="AM133" i="8"/>
  <c r="BB133" i="8" s="1"/>
  <c r="AL133" i="8"/>
  <c r="BA133" i="8" s="1"/>
  <c r="O40" i="3"/>
  <c r="B40" i="3"/>
  <c r="A40" i="3"/>
  <c r="B40" i="2"/>
  <c r="A40" i="2"/>
  <c r="B40" i="1"/>
  <c r="AZ132" i="8"/>
  <c r="AY132" i="8"/>
  <c r="AX132" i="8"/>
  <c r="AW132" i="8"/>
  <c r="AV132" i="8"/>
  <c r="AM132" i="8"/>
  <c r="BB132" i="8" s="1"/>
  <c r="AL132" i="8"/>
  <c r="BA132" i="8" s="1"/>
  <c r="AZ131" i="8"/>
  <c r="AY131" i="8"/>
  <c r="AX131" i="8"/>
  <c r="AW131" i="8"/>
  <c r="AV131" i="8"/>
  <c r="AM131" i="8"/>
  <c r="BB131" i="8" s="1"/>
  <c r="AL131" i="8"/>
  <c r="BA131" i="8" s="1"/>
  <c r="AZ130" i="8"/>
  <c r="AY130" i="8"/>
  <c r="AX130" i="8"/>
  <c r="AW130" i="8"/>
  <c r="AV130" i="8"/>
  <c r="AM130" i="8"/>
  <c r="BB130" i="8" s="1"/>
  <c r="AL130" i="8"/>
  <c r="BA130" i="8" s="1"/>
  <c r="AZ129" i="8"/>
  <c r="AY129" i="8"/>
  <c r="AX129" i="8"/>
  <c r="AW129" i="8"/>
  <c r="AV129" i="8"/>
  <c r="AM129" i="8"/>
  <c r="BB129" i="8" s="1"/>
  <c r="AL129" i="8"/>
  <c r="BA129" i="8" s="1"/>
  <c r="O39" i="3"/>
  <c r="B39" i="3"/>
  <c r="A39" i="3"/>
  <c r="B39" i="2"/>
  <c r="A39" i="2"/>
  <c r="B39" i="1"/>
  <c r="AZ128" i="8"/>
  <c r="AY128" i="8"/>
  <c r="AX128" i="8"/>
  <c r="AW128" i="8"/>
  <c r="AV128" i="8"/>
  <c r="AM128" i="8"/>
  <c r="BB128" i="8" s="1"/>
  <c r="AL128" i="8"/>
  <c r="BA128" i="8" s="1"/>
  <c r="AZ127" i="8"/>
  <c r="AY127" i="8"/>
  <c r="AX127" i="8"/>
  <c r="AW127" i="8"/>
  <c r="AV127" i="8"/>
  <c r="AM127" i="8"/>
  <c r="BB127" i="8" s="1"/>
  <c r="AL127" i="8"/>
  <c r="BA127" i="8" s="1"/>
  <c r="AZ126" i="8"/>
  <c r="AY126" i="8"/>
  <c r="AX126" i="8"/>
  <c r="AW126" i="8"/>
  <c r="AV126" i="8"/>
  <c r="AM126" i="8"/>
  <c r="BB126" i="8" s="1"/>
  <c r="AL126" i="8"/>
  <c r="BA126" i="8" s="1"/>
  <c r="AZ125" i="8"/>
  <c r="AY125" i="8"/>
  <c r="AX125" i="8"/>
  <c r="AW125" i="8"/>
  <c r="AV125" i="8"/>
  <c r="AM125" i="8"/>
  <c r="BB125" i="8" s="1"/>
  <c r="AL125" i="8"/>
  <c r="BA125" i="8" s="1"/>
  <c r="B38" i="1"/>
  <c r="A38" i="3" s="1"/>
  <c r="O38" i="3"/>
  <c r="B38" i="3"/>
  <c r="B38" i="2"/>
  <c r="A38" i="2"/>
  <c r="AZ124" i="8"/>
  <c r="AY124" i="8"/>
  <c r="AX124" i="8"/>
  <c r="AW124" i="8"/>
  <c r="AV124" i="8"/>
  <c r="AM124" i="8"/>
  <c r="BB124" i="8" s="1"/>
  <c r="AL124" i="8"/>
  <c r="BA124" i="8" s="1"/>
  <c r="AZ123" i="8"/>
  <c r="AY123" i="8"/>
  <c r="AX123" i="8"/>
  <c r="AW123" i="8"/>
  <c r="AV123" i="8"/>
  <c r="AM123" i="8"/>
  <c r="BB123" i="8" s="1"/>
  <c r="AL123" i="8"/>
  <c r="BA123" i="8" s="1"/>
  <c r="AZ122" i="8"/>
  <c r="AY122" i="8"/>
  <c r="AX122" i="8"/>
  <c r="AW122" i="8"/>
  <c r="AV122" i="8"/>
  <c r="AM122" i="8"/>
  <c r="BB122" i="8" s="1"/>
  <c r="AL122" i="8"/>
  <c r="BA122" i="8" s="1"/>
  <c r="AZ121" i="8"/>
  <c r="AY121" i="8"/>
  <c r="AX121" i="8"/>
  <c r="AW121" i="8"/>
  <c r="AV121" i="8"/>
  <c r="AM121" i="8"/>
  <c r="BB121" i="8" s="1"/>
  <c r="AL121" i="8"/>
  <c r="BA121" i="8" s="1"/>
  <c r="A27" i="6"/>
  <c r="A28" i="6"/>
  <c r="A29" i="6"/>
  <c r="A30" i="6"/>
  <c r="O37" i="3"/>
  <c r="B37" i="3"/>
  <c r="A37" i="3"/>
  <c r="B37" i="2"/>
  <c r="A37" i="2"/>
  <c r="B37" i="1"/>
  <c r="AZ120" i="8"/>
  <c r="AY120" i="8"/>
  <c r="AX120" i="8"/>
  <c r="AW120" i="8"/>
  <c r="AV120" i="8"/>
  <c r="AM120" i="8"/>
  <c r="BB120" i="8" s="1"/>
  <c r="AL120" i="8"/>
  <c r="BA120" i="8" s="1"/>
  <c r="AZ119" i="8"/>
  <c r="AY119" i="8"/>
  <c r="AX119" i="8"/>
  <c r="AW119" i="8"/>
  <c r="AV119" i="8"/>
  <c r="AM119" i="8"/>
  <c r="BB119" i="8" s="1"/>
  <c r="AL119" i="8"/>
  <c r="BA119" i="8" s="1"/>
  <c r="AZ118" i="8"/>
  <c r="AY118" i="8"/>
  <c r="AX118" i="8"/>
  <c r="AW118" i="8"/>
  <c r="AV118" i="8"/>
  <c r="AM118" i="8"/>
  <c r="BB118" i="8" s="1"/>
  <c r="AL118" i="8"/>
  <c r="BA118" i="8" s="1"/>
  <c r="AZ117" i="8"/>
  <c r="AY117" i="8"/>
  <c r="AX117" i="8"/>
  <c r="AW117" i="8"/>
  <c r="AV117" i="8"/>
  <c r="AM117" i="8"/>
  <c r="BB117" i="8" s="1"/>
  <c r="AL117" i="8"/>
  <c r="BA117" i="8" s="1"/>
  <c r="O36" i="3"/>
  <c r="B36" i="3"/>
  <c r="A36" i="3"/>
  <c r="B36" i="2"/>
  <c r="A36" i="2"/>
  <c r="B36" i="1"/>
  <c r="AZ116" i="8"/>
  <c r="AY116" i="8"/>
  <c r="AX116" i="8"/>
  <c r="AW116" i="8"/>
  <c r="AV116" i="8"/>
  <c r="AM116" i="8"/>
  <c r="BB116" i="8" s="1"/>
  <c r="AL116" i="8"/>
  <c r="BA116" i="8" s="1"/>
  <c r="AZ115" i="8"/>
  <c r="AY115" i="8"/>
  <c r="AX115" i="8"/>
  <c r="AW115" i="8"/>
  <c r="AV115" i="8"/>
  <c r="AM115" i="8"/>
  <c r="BB115" i="8" s="1"/>
  <c r="AL115" i="8"/>
  <c r="BA115" i="8" s="1"/>
  <c r="AZ114" i="8"/>
  <c r="AY114" i="8"/>
  <c r="AX114" i="8"/>
  <c r="AW114" i="8"/>
  <c r="AV114" i="8"/>
  <c r="AM114" i="8"/>
  <c r="BB114" i="8" s="1"/>
  <c r="AL114" i="8"/>
  <c r="BA114" i="8" s="1"/>
  <c r="AZ113" i="8"/>
  <c r="AY113" i="8"/>
  <c r="AX113" i="8"/>
  <c r="AW113" i="8"/>
  <c r="AV113" i="8"/>
  <c r="AM113" i="8"/>
  <c r="BB113" i="8" s="1"/>
  <c r="AL113" i="8"/>
  <c r="BA113" i="8" s="1"/>
  <c r="O35" i="3"/>
  <c r="B35" i="3"/>
  <c r="A35" i="3"/>
  <c r="B35" i="2"/>
  <c r="A35" i="2"/>
  <c r="B35" i="1"/>
  <c r="AZ112" i="8"/>
  <c r="AY112" i="8"/>
  <c r="AX112" i="8"/>
  <c r="AW112" i="8"/>
  <c r="AV112" i="8"/>
  <c r="AM112" i="8"/>
  <c r="BB112" i="8" s="1"/>
  <c r="AL112" i="8"/>
  <c r="BA112" i="8" s="1"/>
  <c r="AZ111" i="8"/>
  <c r="AY111" i="8"/>
  <c r="AX111" i="8"/>
  <c r="AW111" i="8"/>
  <c r="AV111" i="8"/>
  <c r="AM111" i="8"/>
  <c r="BB111" i="8" s="1"/>
  <c r="AL111" i="8"/>
  <c r="BA111" i="8" s="1"/>
  <c r="AZ110" i="8"/>
  <c r="AY110" i="8"/>
  <c r="AX110" i="8"/>
  <c r="AW110" i="8"/>
  <c r="AV110" i="8"/>
  <c r="AM110" i="8"/>
  <c r="BB110" i="8" s="1"/>
  <c r="AL110" i="8"/>
  <c r="BA110" i="8" s="1"/>
  <c r="AZ109" i="8"/>
  <c r="AY109" i="8"/>
  <c r="AX109" i="8"/>
  <c r="AW109" i="8"/>
  <c r="AV109" i="8"/>
  <c r="AM109" i="8"/>
  <c r="BB109" i="8" s="1"/>
  <c r="AL109" i="8"/>
  <c r="BA109" i="8" s="1"/>
  <c r="O34" i="3"/>
  <c r="B34" i="3"/>
  <c r="A34" i="3"/>
  <c r="B34" i="2"/>
  <c r="A34" i="2"/>
  <c r="B34" i="1"/>
  <c r="AZ108" i="8"/>
  <c r="AY108" i="8"/>
  <c r="AX108" i="8"/>
  <c r="AW108" i="8"/>
  <c r="AV108" i="8"/>
  <c r="AM108" i="8"/>
  <c r="BB108" i="8" s="1"/>
  <c r="AL108" i="8"/>
  <c r="BA108" i="8" s="1"/>
  <c r="AZ107" i="8"/>
  <c r="AY107" i="8"/>
  <c r="AX107" i="8"/>
  <c r="AW107" i="8"/>
  <c r="AV107" i="8"/>
  <c r="AM107" i="8"/>
  <c r="BB107" i="8" s="1"/>
  <c r="AL107" i="8"/>
  <c r="BA107" i="8" s="1"/>
  <c r="AZ106" i="8"/>
  <c r="AY106" i="8"/>
  <c r="AX106" i="8"/>
  <c r="AW106" i="8"/>
  <c r="AV106" i="8"/>
  <c r="AM106" i="8"/>
  <c r="BB106" i="8" s="1"/>
  <c r="AL106" i="8"/>
  <c r="BA106" i="8" s="1"/>
  <c r="AZ105" i="8"/>
  <c r="AY105" i="8"/>
  <c r="AX105" i="8"/>
  <c r="AW105" i="8"/>
  <c r="AV105" i="8"/>
  <c r="AM105" i="8"/>
  <c r="BB105" i="8" s="1"/>
  <c r="AL105" i="8"/>
  <c r="BA105" i="8" s="1"/>
  <c r="A26" i="6"/>
  <c r="O33" i="3"/>
  <c r="B33" i="3"/>
  <c r="A33" i="3"/>
  <c r="B33" i="2"/>
  <c r="A33" i="2"/>
  <c r="B33" i="1"/>
  <c r="AZ104" i="8"/>
  <c r="AY104" i="8"/>
  <c r="AX104" i="8"/>
  <c r="AW104" i="8"/>
  <c r="AV104" i="8"/>
  <c r="AM104" i="8"/>
  <c r="BB104" i="8" s="1"/>
  <c r="AL104" i="8"/>
  <c r="BA104" i="8" s="1"/>
  <c r="AZ103" i="8"/>
  <c r="AY103" i="8"/>
  <c r="AX103" i="8"/>
  <c r="AW103" i="8"/>
  <c r="AV103" i="8"/>
  <c r="AM103" i="8"/>
  <c r="BB103" i="8" s="1"/>
  <c r="AL103" i="8"/>
  <c r="BA103" i="8" s="1"/>
  <c r="AZ102" i="8"/>
  <c r="AY102" i="8"/>
  <c r="AX102" i="8"/>
  <c r="AW102" i="8"/>
  <c r="AV102" i="8"/>
  <c r="AM102" i="8"/>
  <c r="BB102" i="8" s="1"/>
  <c r="AL102" i="8"/>
  <c r="BA102" i="8" s="1"/>
  <c r="AZ101" i="8"/>
  <c r="AY101" i="8"/>
  <c r="AX101" i="8"/>
  <c r="AW101" i="8"/>
  <c r="AV101" i="8"/>
  <c r="AM101" i="8"/>
  <c r="BB101" i="8" s="1"/>
  <c r="AL101" i="8"/>
  <c r="BA101" i="8" s="1"/>
  <c r="A25" i="6"/>
  <c r="O32" i="3"/>
  <c r="B32" i="3"/>
  <c r="A32" i="3"/>
  <c r="B32" i="2"/>
  <c r="A32" i="2"/>
  <c r="B32" i="1"/>
  <c r="AZ100" i="8"/>
  <c r="AY100" i="8"/>
  <c r="AX100" i="8"/>
  <c r="AW100" i="8"/>
  <c r="AV100" i="8"/>
  <c r="AM100" i="8"/>
  <c r="BB100" i="8" s="1"/>
  <c r="AL100" i="8"/>
  <c r="BA100" i="8" s="1"/>
  <c r="AZ99" i="8"/>
  <c r="AY99" i="8"/>
  <c r="AX99" i="8"/>
  <c r="AW99" i="8"/>
  <c r="AV99" i="8"/>
  <c r="AO99" i="8"/>
  <c r="AM99" i="8"/>
  <c r="BB99" i="8" s="1"/>
  <c r="AL99" i="8"/>
  <c r="BA99" i="8" s="1"/>
  <c r="AZ98" i="8"/>
  <c r="AY98" i="8"/>
  <c r="AX98" i="8"/>
  <c r="AW98" i="8"/>
  <c r="AV98" i="8"/>
  <c r="AM98" i="8"/>
  <c r="BB98" i="8" s="1"/>
  <c r="AL98" i="8"/>
  <c r="BA98" i="8" s="1"/>
  <c r="AZ97" i="8"/>
  <c r="AY97" i="8"/>
  <c r="AX97" i="8"/>
  <c r="AW97" i="8"/>
  <c r="AV97" i="8"/>
  <c r="AM97" i="8"/>
  <c r="BB97" i="8" s="1"/>
  <c r="AL97" i="8"/>
  <c r="BA97" i="8" s="1"/>
  <c r="A17" i="6"/>
  <c r="A18" i="6"/>
  <c r="A19" i="6"/>
  <c r="A20" i="6"/>
  <c r="A21" i="6"/>
  <c r="A22" i="6"/>
  <c r="A23" i="6"/>
  <c r="A24" i="6"/>
  <c r="O31" i="3"/>
  <c r="B31" i="3"/>
  <c r="A31" i="3"/>
  <c r="B31" i="2"/>
  <c r="A31" i="2"/>
  <c r="B31" i="1"/>
  <c r="AZ96" i="8"/>
  <c r="AY96" i="8"/>
  <c r="AX96" i="8"/>
  <c r="AW96" i="8"/>
  <c r="AV96" i="8"/>
  <c r="AM96" i="8"/>
  <c r="BB96" i="8" s="1"/>
  <c r="AL96" i="8"/>
  <c r="BA96" i="8" s="1"/>
  <c r="AZ95" i="8"/>
  <c r="AY95" i="8"/>
  <c r="AX95" i="8"/>
  <c r="AW95" i="8"/>
  <c r="AV95" i="8"/>
  <c r="AM95" i="8"/>
  <c r="BB95" i="8" s="1"/>
  <c r="AL95" i="8"/>
  <c r="BA95" i="8" s="1"/>
  <c r="AZ94" i="8"/>
  <c r="AY94" i="8"/>
  <c r="AX94" i="8"/>
  <c r="AW94" i="8"/>
  <c r="AV94" i="8"/>
  <c r="AM94" i="8"/>
  <c r="BB94" i="8" s="1"/>
  <c r="AL94" i="8"/>
  <c r="BA94" i="8" s="1"/>
  <c r="AZ93" i="8"/>
  <c r="AY93" i="8"/>
  <c r="AX93" i="8"/>
  <c r="AW93" i="8"/>
  <c r="AV93" i="8"/>
  <c r="AM93" i="8"/>
  <c r="BB93" i="8" s="1"/>
  <c r="AL93" i="8"/>
  <c r="BA93" i="8" s="1"/>
  <c r="O30" i="3"/>
  <c r="B30" i="3"/>
  <c r="A30" i="3"/>
  <c r="B30" i="2"/>
  <c r="A30" i="2"/>
  <c r="B30" i="1"/>
  <c r="AZ92" i="8"/>
  <c r="AY92" i="8"/>
  <c r="AX92" i="8"/>
  <c r="AW92" i="8"/>
  <c r="AV92" i="8"/>
  <c r="AM92" i="8"/>
  <c r="BB92" i="8" s="1"/>
  <c r="AL92" i="8"/>
  <c r="BA92" i="8" s="1"/>
  <c r="AZ91" i="8"/>
  <c r="AY91" i="8"/>
  <c r="AX91" i="8"/>
  <c r="AW91" i="8"/>
  <c r="AV91" i="8"/>
  <c r="AM91" i="8"/>
  <c r="BB91" i="8" s="1"/>
  <c r="AL91" i="8"/>
  <c r="BA91" i="8" s="1"/>
  <c r="AZ90" i="8"/>
  <c r="AY90" i="8"/>
  <c r="AX90" i="8"/>
  <c r="AW90" i="8"/>
  <c r="AV90" i="8"/>
  <c r="AM90" i="8"/>
  <c r="BB90" i="8" s="1"/>
  <c r="AL90" i="8"/>
  <c r="BA90" i="8" s="1"/>
  <c r="AZ89" i="8"/>
  <c r="AY89" i="8"/>
  <c r="AX89" i="8"/>
  <c r="AW89" i="8"/>
  <c r="AV89" i="8"/>
  <c r="AM89" i="8"/>
  <c r="BB89" i="8" s="1"/>
  <c r="AL89" i="8"/>
  <c r="BA89" i="8" s="1"/>
  <c r="O29" i="3"/>
  <c r="B29" i="3"/>
  <c r="A29" i="3"/>
  <c r="B29" i="2"/>
  <c r="A29" i="2"/>
  <c r="B29" i="1"/>
  <c r="AZ88" i="8"/>
  <c r="AY88" i="8"/>
  <c r="AX88" i="8"/>
  <c r="AW88" i="8"/>
  <c r="AV88" i="8"/>
  <c r="AM88" i="8"/>
  <c r="BB88" i="8" s="1"/>
  <c r="AL88" i="8"/>
  <c r="BA88" i="8" s="1"/>
  <c r="AZ87" i="8"/>
  <c r="AY87" i="8"/>
  <c r="AX87" i="8"/>
  <c r="AW87" i="8"/>
  <c r="AV87" i="8"/>
  <c r="AM87" i="8"/>
  <c r="BB87" i="8" s="1"/>
  <c r="AL87" i="8"/>
  <c r="BA87" i="8" s="1"/>
  <c r="AZ86" i="8"/>
  <c r="AY86" i="8"/>
  <c r="AX86" i="8"/>
  <c r="AW86" i="8"/>
  <c r="AV86" i="8"/>
  <c r="AM86" i="8"/>
  <c r="BB86" i="8" s="1"/>
  <c r="AL86" i="8"/>
  <c r="BA86" i="8" s="1"/>
  <c r="AZ85" i="8"/>
  <c r="AY85" i="8"/>
  <c r="AX85" i="8"/>
  <c r="AW85" i="8"/>
  <c r="AV85" i="8"/>
  <c r="AM85" i="8"/>
  <c r="BB85" i="8" s="1"/>
  <c r="AL85" i="8"/>
  <c r="BA85" i="8" s="1"/>
  <c r="O28" i="3"/>
  <c r="B28" i="3"/>
  <c r="A28" i="3"/>
  <c r="B28" i="2"/>
  <c r="B28" i="1"/>
  <c r="A28" i="2" s="1"/>
  <c r="AZ84" i="8"/>
  <c r="AY84" i="8"/>
  <c r="AX84" i="8"/>
  <c r="AW84" i="8"/>
  <c r="AV84" i="8"/>
  <c r="AM84" i="8"/>
  <c r="BB84" i="8" s="1"/>
  <c r="AL84" i="8"/>
  <c r="BA84" i="8" s="1"/>
  <c r="AZ83" i="8"/>
  <c r="AY83" i="8"/>
  <c r="AX83" i="8"/>
  <c r="AW83" i="8"/>
  <c r="AV83" i="8"/>
  <c r="AM83" i="8"/>
  <c r="BB83" i="8" s="1"/>
  <c r="AL83" i="8"/>
  <c r="BA83" i="8" s="1"/>
  <c r="AZ82" i="8"/>
  <c r="AY82" i="8"/>
  <c r="AX82" i="8"/>
  <c r="AW82" i="8"/>
  <c r="AV82" i="8"/>
  <c r="AM82" i="8"/>
  <c r="BB82" i="8" s="1"/>
  <c r="AL82" i="8"/>
  <c r="BA82" i="8" s="1"/>
  <c r="AZ81" i="8"/>
  <c r="AY81" i="8"/>
  <c r="AX81" i="8"/>
  <c r="AW81" i="8"/>
  <c r="AV81" i="8"/>
  <c r="AM81" i="8"/>
  <c r="BB81" i="8" s="1"/>
  <c r="AL81" i="8"/>
  <c r="BA81" i="8" s="1"/>
  <c r="O27" i="3"/>
  <c r="B27" i="3"/>
  <c r="B27" i="2"/>
  <c r="B27" i="1"/>
  <c r="A27" i="2" s="1"/>
  <c r="AZ80" i="8"/>
  <c r="AY80" i="8"/>
  <c r="AX80" i="8"/>
  <c r="AW80" i="8"/>
  <c r="AV80" i="8"/>
  <c r="AM80" i="8"/>
  <c r="BB80" i="8" s="1"/>
  <c r="AL80" i="8"/>
  <c r="BA80" i="8" s="1"/>
  <c r="AZ79" i="8"/>
  <c r="AY79" i="8"/>
  <c r="AX79" i="8"/>
  <c r="AW79" i="8"/>
  <c r="AV79" i="8"/>
  <c r="AM79" i="8"/>
  <c r="BB79" i="8" s="1"/>
  <c r="AL79" i="8"/>
  <c r="BA79" i="8" s="1"/>
  <c r="AZ78" i="8"/>
  <c r="AY78" i="8"/>
  <c r="AX78" i="8"/>
  <c r="AW78" i="8"/>
  <c r="AV78" i="8"/>
  <c r="AM78" i="8"/>
  <c r="BB78" i="8" s="1"/>
  <c r="AL78" i="8"/>
  <c r="BA78" i="8" s="1"/>
  <c r="AZ77" i="8"/>
  <c r="AY77" i="8"/>
  <c r="AX77" i="8"/>
  <c r="AW77" i="8"/>
  <c r="AV77" i="8"/>
  <c r="AM77" i="8"/>
  <c r="BB77" i="8" s="1"/>
  <c r="AL77" i="8"/>
  <c r="BA77" i="8" s="1"/>
  <c r="O26" i="3"/>
  <c r="B26" i="3"/>
  <c r="A26" i="3"/>
  <c r="B26" i="2"/>
  <c r="A26" i="2"/>
  <c r="B26" i="1"/>
  <c r="AZ76" i="8"/>
  <c r="AY76" i="8"/>
  <c r="AX76" i="8"/>
  <c r="AW76" i="8"/>
  <c r="AV76" i="8"/>
  <c r="AM76" i="8"/>
  <c r="BB76" i="8" s="1"/>
  <c r="AL76" i="8"/>
  <c r="BA76" i="8" s="1"/>
  <c r="AZ75" i="8"/>
  <c r="AY75" i="8"/>
  <c r="AX75" i="8"/>
  <c r="AW75" i="8"/>
  <c r="AV75" i="8"/>
  <c r="AM75" i="8"/>
  <c r="BB75" i="8" s="1"/>
  <c r="AL75" i="8"/>
  <c r="BA75" i="8" s="1"/>
  <c r="AZ74" i="8"/>
  <c r="AY74" i="8"/>
  <c r="AX74" i="8"/>
  <c r="AW74" i="8"/>
  <c r="AV74" i="8"/>
  <c r="AM74" i="8"/>
  <c r="BB74" i="8" s="1"/>
  <c r="AL74" i="8"/>
  <c r="BA74" i="8" s="1"/>
  <c r="AZ73" i="8"/>
  <c r="AY73" i="8"/>
  <c r="AX73" i="8"/>
  <c r="AW73" i="8"/>
  <c r="AV73" i="8"/>
  <c r="AM73" i="8"/>
  <c r="BB73" i="8" s="1"/>
  <c r="AL73" i="8"/>
  <c r="BA73" i="8" s="1"/>
  <c r="O25" i="3"/>
  <c r="B25" i="3"/>
  <c r="B25" i="2"/>
  <c r="B25" i="1"/>
  <c r="A25" i="2" s="1"/>
  <c r="AZ72" i="8"/>
  <c r="AY72" i="8"/>
  <c r="AX72" i="8"/>
  <c r="AW72" i="8"/>
  <c r="AV72" i="8"/>
  <c r="AM72" i="8"/>
  <c r="BB72" i="8" s="1"/>
  <c r="AL72" i="8"/>
  <c r="BA72" i="8" s="1"/>
  <c r="AZ71" i="8"/>
  <c r="AY71" i="8"/>
  <c r="AX71" i="8"/>
  <c r="AW71" i="8"/>
  <c r="AV71" i="8"/>
  <c r="AM71" i="8"/>
  <c r="BB71" i="8" s="1"/>
  <c r="AL71" i="8"/>
  <c r="BA71" i="8" s="1"/>
  <c r="AZ70" i="8"/>
  <c r="AY70" i="8"/>
  <c r="AX70" i="8"/>
  <c r="AW70" i="8"/>
  <c r="AV70" i="8"/>
  <c r="AM70" i="8"/>
  <c r="BB70" i="8" s="1"/>
  <c r="AL70" i="8"/>
  <c r="BA70" i="8" s="1"/>
  <c r="AZ69" i="8"/>
  <c r="AY69" i="8"/>
  <c r="AX69" i="8"/>
  <c r="AW69" i="8"/>
  <c r="AV69" i="8"/>
  <c r="AM69" i="8"/>
  <c r="BB69" i="8" s="1"/>
  <c r="AL69" i="8"/>
  <c r="BA69" i="8" s="1"/>
  <c r="O24" i="3"/>
  <c r="B24" i="3"/>
  <c r="A24" i="3"/>
  <c r="B24" i="2"/>
  <c r="B24" i="1"/>
  <c r="A24" i="2" s="1"/>
  <c r="AZ68" i="8"/>
  <c r="AY68" i="8"/>
  <c r="AX68" i="8"/>
  <c r="AW68" i="8"/>
  <c r="AV68" i="8"/>
  <c r="AM68" i="8"/>
  <c r="BB68" i="8" s="1"/>
  <c r="AL68" i="8"/>
  <c r="BA68" i="8" s="1"/>
  <c r="AZ67" i="8"/>
  <c r="AY67" i="8"/>
  <c r="AX67" i="8"/>
  <c r="AW67" i="8"/>
  <c r="AV67" i="8"/>
  <c r="AM67" i="8"/>
  <c r="BB67" i="8" s="1"/>
  <c r="AL67" i="8"/>
  <c r="BA67" i="8" s="1"/>
  <c r="AZ66" i="8"/>
  <c r="AY66" i="8"/>
  <c r="AX66" i="8"/>
  <c r="AW66" i="8"/>
  <c r="AV66" i="8"/>
  <c r="AM66" i="8"/>
  <c r="BB66" i="8" s="1"/>
  <c r="AL66" i="8"/>
  <c r="BA66" i="8" s="1"/>
  <c r="AZ65" i="8"/>
  <c r="AY65" i="8"/>
  <c r="AX65" i="8"/>
  <c r="AW65" i="8"/>
  <c r="AV65" i="8"/>
  <c r="AM65" i="8"/>
  <c r="BB65" i="8" s="1"/>
  <c r="AL65" i="8"/>
  <c r="BA65" i="8" s="1"/>
  <c r="A14" i="6"/>
  <c r="A15" i="6"/>
  <c r="A16" i="6"/>
  <c r="O23" i="3"/>
  <c r="B23" i="3"/>
  <c r="A23" i="3"/>
  <c r="B23" i="2"/>
  <c r="B23" i="1"/>
  <c r="A23" i="2" s="1"/>
  <c r="AZ64" i="8"/>
  <c r="AY64" i="8"/>
  <c r="AX64" i="8"/>
  <c r="AW64" i="8"/>
  <c r="AV64" i="8"/>
  <c r="AM64" i="8"/>
  <c r="BB64" i="8" s="1"/>
  <c r="AL64" i="8"/>
  <c r="BA64" i="8" s="1"/>
  <c r="AZ63" i="8"/>
  <c r="AY63" i="8"/>
  <c r="AX63" i="8"/>
  <c r="AW63" i="8"/>
  <c r="AV63" i="8"/>
  <c r="AM63" i="8"/>
  <c r="BB63" i="8" s="1"/>
  <c r="AL63" i="8"/>
  <c r="BA63" i="8" s="1"/>
  <c r="AZ62" i="8"/>
  <c r="AY62" i="8"/>
  <c r="AX62" i="8"/>
  <c r="AW62" i="8"/>
  <c r="AV62" i="8"/>
  <c r="AM62" i="8"/>
  <c r="BB62" i="8" s="1"/>
  <c r="AL62" i="8"/>
  <c r="BA62" i="8" s="1"/>
  <c r="AZ61" i="8"/>
  <c r="AY61" i="8"/>
  <c r="AX61" i="8"/>
  <c r="AW61" i="8"/>
  <c r="AV61" i="8"/>
  <c r="AM61" i="8"/>
  <c r="BB61" i="8" s="1"/>
  <c r="AL61" i="8"/>
  <c r="BA61" i="8" s="1"/>
  <c r="O22" i="3"/>
  <c r="B22" i="3"/>
  <c r="A22" i="3"/>
  <c r="B22" i="2"/>
  <c r="B22" i="1"/>
  <c r="A22" i="2" s="1"/>
  <c r="AZ60" i="8"/>
  <c r="AY60" i="8"/>
  <c r="AX60" i="8"/>
  <c r="AW60" i="8"/>
  <c r="AV60" i="8"/>
  <c r="AM60" i="8"/>
  <c r="BB60" i="8" s="1"/>
  <c r="AL60" i="8"/>
  <c r="BA60" i="8" s="1"/>
  <c r="AZ59" i="8"/>
  <c r="AY59" i="8"/>
  <c r="AX59" i="8"/>
  <c r="AW59" i="8"/>
  <c r="AV59" i="8"/>
  <c r="AM59" i="8"/>
  <c r="BB59" i="8" s="1"/>
  <c r="AL59" i="8"/>
  <c r="BA59" i="8" s="1"/>
  <c r="AZ58" i="8"/>
  <c r="AY58" i="8"/>
  <c r="AX58" i="8"/>
  <c r="AW58" i="8"/>
  <c r="AV58" i="8"/>
  <c r="AM58" i="8"/>
  <c r="BB58" i="8" s="1"/>
  <c r="AL58" i="8"/>
  <c r="BA58" i="8" s="1"/>
  <c r="AZ57" i="8"/>
  <c r="AY57" i="8"/>
  <c r="AX57" i="8"/>
  <c r="AW57" i="8"/>
  <c r="AV57" i="8"/>
  <c r="AO57" i="8"/>
  <c r="AM57" i="8"/>
  <c r="BB57" i="8" s="1"/>
  <c r="AL57" i="8"/>
  <c r="BA57" i="8" s="1"/>
  <c r="O21" i="3"/>
  <c r="B21" i="3"/>
  <c r="B21" i="2"/>
  <c r="B21" i="1"/>
  <c r="A21" i="2" s="1"/>
  <c r="AZ56" i="8"/>
  <c r="AY56" i="8"/>
  <c r="AX56" i="8"/>
  <c r="AW56" i="8"/>
  <c r="AV56" i="8"/>
  <c r="AM56" i="8"/>
  <c r="BB56" i="8" s="1"/>
  <c r="AL56" i="8"/>
  <c r="BA56" i="8" s="1"/>
  <c r="AZ55" i="8"/>
  <c r="AY55" i="8"/>
  <c r="AX55" i="8"/>
  <c r="AW55" i="8"/>
  <c r="AV55" i="8"/>
  <c r="AM55" i="8"/>
  <c r="BB55" i="8" s="1"/>
  <c r="AL55" i="8"/>
  <c r="BA55" i="8" s="1"/>
  <c r="AZ54" i="8"/>
  <c r="AY54" i="8"/>
  <c r="AX54" i="8"/>
  <c r="AW54" i="8"/>
  <c r="AV54" i="8"/>
  <c r="AM54" i="8"/>
  <c r="BB54" i="8" s="1"/>
  <c r="AL54" i="8"/>
  <c r="BA54" i="8" s="1"/>
  <c r="AZ53" i="8"/>
  <c r="AY53" i="8"/>
  <c r="AX53" i="8"/>
  <c r="AW53" i="8"/>
  <c r="AV53" i="8"/>
  <c r="AM53" i="8"/>
  <c r="BB53" i="8" s="1"/>
  <c r="AL53" i="8"/>
  <c r="BA53" i="8" s="1"/>
  <c r="A12" i="6"/>
  <c r="A13" i="6"/>
  <c r="O20" i="3"/>
  <c r="B20" i="3"/>
  <c r="A20" i="3"/>
  <c r="O19" i="3"/>
  <c r="B19" i="3"/>
  <c r="A19" i="3"/>
  <c r="B20" i="2"/>
  <c r="A20" i="2"/>
  <c r="B19" i="2"/>
  <c r="A19" i="2"/>
  <c r="B20" i="1"/>
  <c r="B19" i="1"/>
  <c r="AL45" i="8"/>
  <c r="AM45" i="8"/>
  <c r="BB45" i="8" s="1"/>
  <c r="AV45" i="8"/>
  <c r="AW45" i="8"/>
  <c r="AX45" i="8"/>
  <c r="AY45" i="8"/>
  <c r="AZ45" i="8"/>
  <c r="AL46" i="8"/>
  <c r="BA46" i="8" s="1"/>
  <c r="AM46" i="8"/>
  <c r="BB46" i="8" s="1"/>
  <c r="AV46" i="8"/>
  <c r="AW46" i="8"/>
  <c r="AX46" i="8"/>
  <c r="AY46" i="8"/>
  <c r="AZ46" i="8"/>
  <c r="AL47" i="8"/>
  <c r="AM47" i="8"/>
  <c r="BB47" i="8" s="1"/>
  <c r="AV47" i="8"/>
  <c r="AW47" i="8"/>
  <c r="AX47" i="8"/>
  <c r="AY47" i="8"/>
  <c r="AZ47" i="8"/>
  <c r="BA47" i="8"/>
  <c r="AL48" i="8"/>
  <c r="AM48" i="8"/>
  <c r="AV48" i="8"/>
  <c r="AW48" i="8"/>
  <c r="AX48" i="8"/>
  <c r="AY48" i="8"/>
  <c r="AZ48" i="8"/>
  <c r="BA48" i="8"/>
  <c r="BB48" i="8"/>
  <c r="AL49" i="8"/>
  <c r="BA49" i="8" s="1"/>
  <c r="AM49" i="8"/>
  <c r="BB49" i="8" s="1"/>
  <c r="AV49" i="8"/>
  <c r="AW49" i="8"/>
  <c r="AX49" i="8"/>
  <c r="AY49" i="8"/>
  <c r="AZ49" i="8"/>
  <c r="AL50" i="8"/>
  <c r="BA50" i="8" s="1"/>
  <c r="AM50" i="8"/>
  <c r="BB50" i="8" s="1"/>
  <c r="AV50" i="8"/>
  <c r="AW50" i="8"/>
  <c r="AX50" i="8"/>
  <c r="AY50" i="8"/>
  <c r="AZ50" i="8"/>
  <c r="AL51" i="8"/>
  <c r="AM51" i="8"/>
  <c r="BB51" i="8" s="1"/>
  <c r="AV51" i="8"/>
  <c r="AW51" i="8"/>
  <c r="AX51" i="8"/>
  <c r="AY51" i="8"/>
  <c r="AZ51" i="8"/>
  <c r="BA51" i="8"/>
  <c r="AL52" i="8"/>
  <c r="BA52" i="8" s="1"/>
  <c r="AM52" i="8"/>
  <c r="BB52" i="8" s="1"/>
  <c r="AV52" i="8"/>
  <c r="AW52" i="8"/>
  <c r="AX52" i="8"/>
  <c r="AY52" i="8"/>
  <c r="AZ52" i="8"/>
  <c r="A11" i="6"/>
  <c r="B18" i="1"/>
  <c r="AZ44" i="8"/>
  <c r="AY44" i="8"/>
  <c r="AX44" i="8"/>
  <c r="AW44" i="8"/>
  <c r="AV44" i="8"/>
  <c r="AM44" i="8"/>
  <c r="BB44" i="8" s="1"/>
  <c r="AL44" i="8"/>
  <c r="AO44" i="8" s="1"/>
  <c r="AZ43" i="8"/>
  <c r="AY43" i="8"/>
  <c r="AX43" i="8"/>
  <c r="AW43" i="8"/>
  <c r="AV43" i="8"/>
  <c r="AM43" i="8"/>
  <c r="BB43" i="8" s="1"/>
  <c r="AL43" i="8"/>
  <c r="BA43" i="8" s="1"/>
  <c r="AZ42" i="8"/>
  <c r="AY42" i="8"/>
  <c r="AX42" i="8"/>
  <c r="AW42" i="8"/>
  <c r="AV42" i="8"/>
  <c r="AM42" i="8"/>
  <c r="BB42" i="8" s="1"/>
  <c r="AL42" i="8"/>
  <c r="AO42" i="8" s="1"/>
  <c r="AZ41" i="8"/>
  <c r="AY41" i="8"/>
  <c r="AX41" i="8"/>
  <c r="AW41" i="8"/>
  <c r="AV41" i="8"/>
  <c r="AM41" i="8"/>
  <c r="BB41" i="8" s="1"/>
  <c r="AL41" i="8"/>
  <c r="BA41" i="8" s="1"/>
  <c r="O18" i="3"/>
  <c r="B18" i="3"/>
  <c r="B18" i="2"/>
  <c r="A18" i="2"/>
  <c r="A8" i="6"/>
  <c r="A9" i="6"/>
  <c r="A10" i="6"/>
  <c r="O17" i="3"/>
  <c r="B17" i="3"/>
  <c r="B17" i="2"/>
  <c r="B17" i="1"/>
  <c r="A17" i="3" s="1"/>
  <c r="AZ40" i="8"/>
  <c r="AY40" i="8"/>
  <c r="AX40" i="8"/>
  <c r="AW40" i="8"/>
  <c r="AV40" i="8"/>
  <c r="AZ39" i="8"/>
  <c r="AY39" i="8"/>
  <c r="AX39" i="8"/>
  <c r="AW39" i="8"/>
  <c r="AV39" i="8"/>
  <c r="AZ38" i="8"/>
  <c r="AY38" i="8"/>
  <c r="AX38" i="8"/>
  <c r="AW38" i="8"/>
  <c r="AV38" i="8"/>
  <c r="AZ37" i="8"/>
  <c r="AY37" i="8"/>
  <c r="AX37" i="8"/>
  <c r="AW37" i="8"/>
  <c r="AV37" i="8"/>
  <c r="A7" i="1"/>
  <c r="O16" i="3"/>
  <c r="B16" i="3"/>
  <c r="B16" i="2"/>
  <c r="B16" i="1"/>
  <c r="A16" i="2" s="1"/>
  <c r="AZ36" i="8"/>
  <c r="AY36" i="8"/>
  <c r="AX36" i="8"/>
  <c r="AW36" i="8"/>
  <c r="AV36" i="8"/>
  <c r="AZ35" i="8"/>
  <c r="AY35" i="8"/>
  <c r="AX35" i="8"/>
  <c r="AW35" i="8"/>
  <c r="AV35" i="8"/>
  <c r="AZ34" i="8"/>
  <c r="AY34" i="8"/>
  <c r="AX34" i="8"/>
  <c r="AW34" i="8"/>
  <c r="AV34" i="8"/>
  <c r="D12" i="2"/>
  <c r="E14" i="2"/>
  <c r="O15" i="3"/>
  <c r="B15" i="3"/>
  <c r="B15" i="2"/>
  <c r="B15" i="1"/>
  <c r="A15" i="2" s="1"/>
  <c r="AZ33" i="8"/>
  <c r="AY33" i="8"/>
  <c r="AX33" i="8"/>
  <c r="AW33" i="8"/>
  <c r="AV33" i="8"/>
  <c r="AZ32" i="8"/>
  <c r="AY32" i="8"/>
  <c r="AX32" i="8"/>
  <c r="AW32" i="8"/>
  <c r="AV32" i="8"/>
  <c r="AZ31" i="8"/>
  <c r="AY31" i="8"/>
  <c r="AX31" i="8"/>
  <c r="AW31" i="8"/>
  <c r="AV31" i="8"/>
  <c r="AZ30" i="8"/>
  <c r="AY30" i="8"/>
  <c r="AX30" i="8"/>
  <c r="AW30" i="8"/>
  <c r="AV30" i="8"/>
  <c r="A6" i="6"/>
  <c r="A7" i="6"/>
  <c r="I13" i="3"/>
  <c r="J13" i="3"/>
  <c r="K13" i="3"/>
  <c r="I14" i="3"/>
  <c r="J14" i="3"/>
  <c r="K14" i="3"/>
  <c r="O14" i="3"/>
  <c r="B14" i="3"/>
  <c r="B14" i="2"/>
  <c r="B14" i="1"/>
  <c r="A14" i="3" s="1"/>
  <c r="AZ29" i="8"/>
  <c r="AY29" i="8"/>
  <c r="AX29" i="8"/>
  <c r="AW29" i="8"/>
  <c r="AV29" i="8"/>
  <c r="AZ28" i="8"/>
  <c r="AY28" i="8"/>
  <c r="AX28" i="8"/>
  <c r="AW28" i="8"/>
  <c r="AV28" i="8"/>
  <c r="AZ27" i="8"/>
  <c r="AY27" i="8"/>
  <c r="AX27" i="8"/>
  <c r="AW27" i="8"/>
  <c r="AV27" i="8"/>
  <c r="AZ26" i="8"/>
  <c r="AY26" i="8"/>
  <c r="AX26" i="8"/>
  <c r="AW26" i="8"/>
  <c r="AV26" i="8"/>
  <c r="O13" i="3"/>
  <c r="B13" i="3"/>
  <c r="B13" i="2"/>
  <c r="B13" i="1"/>
  <c r="A13" i="2" s="1"/>
  <c r="AZ25" i="8"/>
  <c r="AY25" i="8"/>
  <c r="AX25" i="8"/>
  <c r="AW25" i="8"/>
  <c r="AV25" i="8"/>
  <c r="AZ24" i="8"/>
  <c r="AY24" i="8"/>
  <c r="AX24" i="8"/>
  <c r="AW24" i="8"/>
  <c r="AV24" i="8"/>
  <c r="AZ23" i="8"/>
  <c r="AY23" i="8"/>
  <c r="AX23" i="8"/>
  <c r="AW23" i="8"/>
  <c r="AV23" i="8"/>
  <c r="AZ22" i="8"/>
  <c r="AY22" i="8"/>
  <c r="AX22" i="8"/>
  <c r="AW22" i="8"/>
  <c r="AV22" i="8"/>
  <c r="A5" i="6"/>
  <c r="O12" i="3"/>
  <c r="B12" i="3"/>
  <c r="A12" i="3"/>
  <c r="B12" i="2"/>
  <c r="B12" i="1"/>
  <c r="A12" i="2" s="1"/>
  <c r="AZ21" i="8"/>
  <c r="AY21" i="8"/>
  <c r="AX21" i="8"/>
  <c r="AW21" i="8"/>
  <c r="AV21" i="8"/>
  <c r="AZ20" i="8"/>
  <c r="AY20" i="8"/>
  <c r="AX20" i="8"/>
  <c r="AW20" i="8"/>
  <c r="AV20" i="8"/>
  <c r="AZ19" i="8"/>
  <c r="AY19" i="8"/>
  <c r="AX19" i="8"/>
  <c r="AW19" i="8"/>
  <c r="AV19" i="8"/>
  <c r="AZ18" i="8"/>
  <c r="AY18" i="8"/>
  <c r="AX18" i="8"/>
  <c r="AW18" i="8"/>
  <c r="AV18" i="8"/>
  <c r="AZ17" i="8"/>
  <c r="AY17" i="8"/>
  <c r="AX17" i="8"/>
  <c r="AW17" i="8"/>
  <c r="AV17" i="8"/>
  <c r="P50" i="1" l="1"/>
  <c r="S50" i="1" s="1"/>
  <c r="O50" i="1"/>
  <c r="R50" i="1" s="1"/>
  <c r="AE50" i="1"/>
  <c r="Q50" i="1"/>
  <c r="T50" i="1" s="1"/>
  <c r="AO172" i="8"/>
  <c r="AN172" i="8" s="1"/>
  <c r="BC172" i="8" s="1"/>
  <c r="AO171" i="8"/>
  <c r="AN171" i="8" s="1"/>
  <c r="BC171" i="8" s="1"/>
  <c r="AO170" i="8"/>
  <c r="AN170" i="8" s="1"/>
  <c r="BC170" i="8" s="1"/>
  <c r="H49" i="1" a="1"/>
  <c r="H49" i="1" s="1"/>
  <c r="I49" i="1" a="1"/>
  <c r="I49" i="1" s="1"/>
  <c r="AO169" i="8"/>
  <c r="AN169" i="8" s="1"/>
  <c r="BC169" i="8" s="1"/>
  <c r="AO168" i="8"/>
  <c r="AN168" i="8" s="1"/>
  <c r="BC168" i="8" s="1"/>
  <c r="AO167" i="8"/>
  <c r="AN167" i="8" s="1"/>
  <c r="BC167" i="8" s="1"/>
  <c r="AO166" i="8"/>
  <c r="AN166" i="8" s="1"/>
  <c r="BC166" i="8" s="1"/>
  <c r="H48" i="1" a="1"/>
  <c r="H48" i="1" s="1"/>
  <c r="I48" i="1" a="1"/>
  <c r="I48" i="1" s="1"/>
  <c r="AO165" i="8"/>
  <c r="AN165" i="8" s="1"/>
  <c r="BC165" i="8" s="1"/>
  <c r="AO164" i="8"/>
  <c r="AN164" i="8" s="1"/>
  <c r="BC164" i="8" s="1"/>
  <c r="AO163" i="8"/>
  <c r="AN163" i="8" s="1"/>
  <c r="BC163" i="8" s="1"/>
  <c r="AO162" i="8"/>
  <c r="AN162" i="8" s="1"/>
  <c r="BC162" i="8" s="1"/>
  <c r="AO161" i="8"/>
  <c r="AN161" i="8" s="1"/>
  <c r="BC161" i="8" s="1"/>
  <c r="G47" i="1" a="1"/>
  <c r="G47" i="1" s="1"/>
  <c r="H47" i="1" a="1"/>
  <c r="H47" i="1" s="1"/>
  <c r="E47" i="1" a="1"/>
  <c r="E47" i="1" s="1"/>
  <c r="F47" i="1" a="1"/>
  <c r="F47" i="1" s="1"/>
  <c r="I47" i="1" a="1"/>
  <c r="I47" i="1" s="1"/>
  <c r="AO160" i="8"/>
  <c r="AN160" i="8" s="1"/>
  <c r="BC160" i="8" s="1"/>
  <c r="AO159" i="8"/>
  <c r="AN159" i="8" s="1"/>
  <c r="BC159" i="8" s="1"/>
  <c r="AO158" i="8"/>
  <c r="AN158" i="8" s="1"/>
  <c r="BC158" i="8" s="1"/>
  <c r="D44" i="1" a="1"/>
  <c r="D44" i="1" s="1"/>
  <c r="D41" i="1" a="1"/>
  <c r="D41" i="1" s="1"/>
  <c r="D36" i="1" a="1"/>
  <c r="D36" i="1" s="1"/>
  <c r="C45" i="1" a="1"/>
  <c r="C45" i="1" s="1"/>
  <c r="C42" i="1" a="1"/>
  <c r="C42" i="1" s="1"/>
  <c r="D45" i="1" a="1"/>
  <c r="D45" i="1" s="1"/>
  <c r="D42" i="1" a="1"/>
  <c r="D42" i="1" s="1"/>
  <c r="C44" i="1" a="1"/>
  <c r="C44" i="1" s="1"/>
  <c r="C39" i="1" a="1"/>
  <c r="C39" i="1" s="1"/>
  <c r="C41" i="1" a="1"/>
  <c r="C41" i="1" s="1"/>
  <c r="AO157" i="8"/>
  <c r="AN157" i="8" s="1"/>
  <c r="BC157" i="8" s="1"/>
  <c r="C46" i="1" a="1"/>
  <c r="C46" i="1" s="1"/>
  <c r="D46" i="1" a="1"/>
  <c r="D46" i="1" s="1"/>
  <c r="G43" i="1" a="1"/>
  <c r="G43" i="1" s="1"/>
  <c r="D35" i="1" a="1"/>
  <c r="D35" i="1" s="1"/>
  <c r="C38" i="1" a="1"/>
  <c r="C38" i="1" s="1"/>
  <c r="C40" i="1" a="1"/>
  <c r="C40" i="1" s="1"/>
  <c r="C43" i="1" a="1"/>
  <c r="C43" i="1" s="1"/>
  <c r="G45" i="1" a="1"/>
  <c r="G45" i="1" s="1"/>
  <c r="D43" i="1" a="1"/>
  <c r="D43" i="1" s="1"/>
  <c r="D40" i="1" a="1"/>
  <c r="D40" i="1" s="1"/>
  <c r="F45" i="1" a="1"/>
  <c r="F45" i="1" s="1"/>
  <c r="F46" i="1" a="1"/>
  <c r="F46" i="1" s="1"/>
  <c r="G46" i="1" a="1"/>
  <c r="G46" i="1" s="1"/>
  <c r="F44" i="1" a="1"/>
  <c r="F44" i="1" s="1"/>
  <c r="I46" i="1" a="1"/>
  <c r="I46" i="1" s="1"/>
  <c r="E46" i="1" a="1"/>
  <c r="E46" i="1" s="1"/>
  <c r="G44" i="1" a="1"/>
  <c r="G44" i="1" s="1"/>
  <c r="E44" i="1" a="1"/>
  <c r="E44" i="1" s="1"/>
  <c r="H46" i="1" a="1"/>
  <c r="H46" i="1" s="1"/>
  <c r="G42" i="1" a="1"/>
  <c r="G42" i="1" s="1"/>
  <c r="F42" i="1" a="1"/>
  <c r="F42" i="1" s="1"/>
  <c r="E45" i="1" a="1"/>
  <c r="E45" i="1" s="1"/>
  <c r="AO156" i="8"/>
  <c r="AN156" i="8" s="1"/>
  <c r="BC156" i="8" s="1"/>
  <c r="AO155" i="8"/>
  <c r="AN155" i="8" s="1"/>
  <c r="BC155" i="8" s="1"/>
  <c r="AO154" i="8"/>
  <c r="AN154" i="8" s="1"/>
  <c r="BC154" i="8" s="1"/>
  <c r="H45" i="1" a="1"/>
  <c r="H45" i="1" s="1"/>
  <c r="I45" i="1" a="1"/>
  <c r="I45" i="1" s="1"/>
  <c r="AO153" i="8"/>
  <c r="AN153" i="8" s="1"/>
  <c r="BC153" i="8" s="1"/>
  <c r="AO152" i="8"/>
  <c r="AN152" i="8" s="1"/>
  <c r="BC152" i="8" s="1"/>
  <c r="AO151" i="8"/>
  <c r="AN151" i="8" s="1"/>
  <c r="BC151" i="8" s="1"/>
  <c r="AO150" i="8"/>
  <c r="AN150" i="8" s="1"/>
  <c r="BC150" i="8" s="1"/>
  <c r="I44" i="1" a="1"/>
  <c r="I44" i="1" s="1"/>
  <c r="H44" i="1" a="1"/>
  <c r="H44" i="1" s="1"/>
  <c r="AO149" i="8"/>
  <c r="AN149" i="8" s="1"/>
  <c r="BC149" i="8" s="1"/>
  <c r="AO148" i="8"/>
  <c r="AN148" i="8" s="1"/>
  <c r="BC148" i="8" s="1"/>
  <c r="AO147" i="8"/>
  <c r="AN147" i="8" s="1"/>
  <c r="BC147" i="8" s="1"/>
  <c r="AO146" i="8"/>
  <c r="AN146" i="8" s="1"/>
  <c r="BC146" i="8" s="1"/>
  <c r="I43" i="1" a="1"/>
  <c r="I43" i="1" s="1"/>
  <c r="AO145" i="8"/>
  <c r="AN145" i="8" s="1"/>
  <c r="BC145" i="8" s="1"/>
  <c r="F41" i="1" a="1"/>
  <c r="F41" i="1" s="1"/>
  <c r="F43" i="1" a="1"/>
  <c r="F43" i="1" s="1"/>
  <c r="F40" i="1" a="1"/>
  <c r="F40" i="1" s="1"/>
  <c r="G41" i="1" a="1"/>
  <c r="G41" i="1" s="1"/>
  <c r="H43" i="1" a="1"/>
  <c r="H43" i="1" s="1"/>
  <c r="E41" i="1" a="1"/>
  <c r="E41" i="1" s="1"/>
  <c r="E43" i="1" a="1"/>
  <c r="E43" i="1" s="1"/>
  <c r="E42" i="1" a="1"/>
  <c r="E42" i="1" s="1"/>
  <c r="AO144" i="8"/>
  <c r="AN144" i="8" s="1"/>
  <c r="BC144" i="8" s="1"/>
  <c r="AO143" i="8"/>
  <c r="AN143" i="8" s="1"/>
  <c r="BC143" i="8" s="1"/>
  <c r="AO142" i="8"/>
  <c r="AN142" i="8" s="1"/>
  <c r="BC142" i="8" s="1"/>
  <c r="I42" i="1" a="1"/>
  <c r="I42" i="1" s="1"/>
  <c r="H42" i="1" a="1"/>
  <c r="H42" i="1" s="1"/>
  <c r="AO141" i="8"/>
  <c r="AN141" i="8" s="1"/>
  <c r="BC141" i="8" s="1"/>
  <c r="AO140" i="8"/>
  <c r="AN140" i="8" s="1"/>
  <c r="BC140" i="8" s="1"/>
  <c r="AO139" i="8"/>
  <c r="AN139" i="8" s="1"/>
  <c r="BC139" i="8" s="1"/>
  <c r="AO138" i="8"/>
  <c r="AN138" i="8" s="1"/>
  <c r="BC138" i="8" s="1"/>
  <c r="I41" i="1" a="1"/>
  <c r="I41" i="1" s="1"/>
  <c r="H41" i="1" a="1"/>
  <c r="H41" i="1" s="1"/>
  <c r="AO137" i="8"/>
  <c r="AN137" i="8" s="1"/>
  <c r="BC137" i="8" s="1"/>
  <c r="AO136" i="8"/>
  <c r="AN136" i="8" s="1"/>
  <c r="BC136" i="8" s="1"/>
  <c r="AO135" i="8"/>
  <c r="AN135" i="8" s="1"/>
  <c r="BC135" i="8" s="1"/>
  <c r="AO134" i="8"/>
  <c r="AN134" i="8" s="1"/>
  <c r="BC134" i="8" s="1"/>
  <c r="AO133" i="8"/>
  <c r="AN133" i="8" s="1"/>
  <c r="BC133" i="8" s="1"/>
  <c r="E40" i="1" a="1"/>
  <c r="E40" i="1" s="1"/>
  <c r="H40" i="1" a="1"/>
  <c r="H40" i="1" s="1"/>
  <c r="G40" i="1" a="1"/>
  <c r="G40" i="1" s="1"/>
  <c r="I40" i="1" a="1"/>
  <c r="I40" i="1" s="1"/>
  <c r="AO132" i="8"/>
  <c r="AN132" i="8" s="1"/>
  <c r="BC132" i="8" s="1"/>
  <c r="AO131" i="8"/>
  <c r="AN131" i="8" s="1"/>
  <c r="BC131" i="8" s="1"/>
  <c r="E39" i="1" a="1"/>
  <c r="E39" i="1" s="1"/>
  <c r="F39" i="1" a="1"/>
  <c r="F39" i="1" s="1"/>
  <c r="AO130" i="8"/>
  <c r="AN130" i="8" s="1"/>
  <c r="BC130" i="8" s="1"/>
  <c r="D38" i="1" a="1"/>
  <c r="D38" i="1" s="1"/>
  <c r="AO129" i="8"/>
  <c r="AN129" i="8" s="1"/>
  <c r="BC129" i="8" s="1"/>
  <c r="D39" i="1" a="1"/>
  <c r="D39" i="1" s="1"/>
  <c r="D30" i="1" a="1"/>
  <c r="D30" i="1" s="1"/>
  <c r="I39" i="1" a="1"/>
  <c r="I39" i="1" s="1"/>
  <c r="C33" i="1" a="1"/>
  <c r="C33" i="1" s="1"/>
  <c r="H39" i="1" a="1"/>
  <c r="H39" i="1" s="1"/>
  <c r="D33" i="1" a="1"/>
  <c r="D33" i="1" s="1"/>
  <c r="G39" i="1" a="1"/>
  <c r="G39" i="1" s="1"/>
  <c r="AO128" i="8"/>
  <c r="AN128" i="8" s="1"/>
  <c r="BC128" i="8" s="1"/>
  <c r="AO127" i="8"/>
  <c r="AN127" i="8" s="1"/>
  <c r="BC127" i="8" s="1"/>
  <c r="AO126" i="8"/>
  <c r="AN126" i="8" s="1"/>
  <c r="BC126" i="8" s="1"/>
  <c r="AO125" i="8"/>
  <c r="AN125" i="8" s="1"/>
  <c r="BC125" i="8" s="1"/>
  <c r="E38" i="1" a="1"/>
  <c r="E38" i="1" s="1"/>
  <c r="I38" i="1" a="1"/>
  <c r="I38" i="1" s="1"/>
  <c r="F38" i="1" a="1"/>
  <c r="F38" i="1" s="1"/>
  <c r="G38" i="1" a="1"/>
  <c r="G38" i="1" s="1"/>
  <c r="F35" i="1" a="1"/>
  <c r="F35" i="1" s="1"/>
  <c r="H38" i="1" a="1"/>
  <c r="H38" i="1" s="1"/>
  <c r="E36" i="1" a="1"/>
  <c r="E36" i="1" s="1"/>
  <c r="AO124" i="8"/>
  <c r="AN124" i="8" s="1"/>
  <c r="BC124" i="8" s="1"/>
  <c r="AO123" i="8"/>
  <c r="AN123" i="8" s="1"/>
  <c r="BC123" i="8" s="1"/>
  <c r="AO122" i="8"/>
  <c r="AN122" i="8" s="1"/>
  <c r="BC122" i="8" s="1"/>
  <c r="AO121" i="8"/>
  <c r="AN121" i="8" s="1"/>
  <c r="BC121" i="8" s="1"/>
  <c r="E33" i="1" a="1"/>
  <c r="E33" i="1" s="1"/>
  <c r="F37" i="1" a="1"/>
  <c r="F37" i="1" s="1"/>
  <c r="G37" i="1" a="1"/>
  <c r="G37" i="1" s="1"/>
  <c r="F33" i="1" a="1"/>
  <c r="F33" i="1" s="1"/>
  <c r="E35" i="1" a="1"/>
  <c r="E35" i="1" s="1"/>
  <c r="G35" i="1" a="1"/>
  <c r="G35" i="1" s="1"/>
  <c r="F36" i="1" a="1"/>
  <c r="F36" i="1" s="1"/>
  <c r="C28" i="1" a="1"/>
  <c r="C28" i="1" s="1"/>
  <c r="D34" i="1" a="1"/>
  <c r="D34" i="1" s="1"/>
  <c r="G36" i="1" a="1"/>
  <c r="G36" i="1" s="1"/>
  <c r="E34" i="1" a="1"/>
  <c r="E34" i="1" s="1"/>
  <c r="F34" i="1" a="1"/>
  <c r="F34" i="1" s="1"/>
  <c r="D27" i="1" a="1"/>
  <c r="D27" i="1" s="1"/>
  <c r="C29" i="1" a="1"/>
  <c r="C29" i="1" s="1"/>
  <c r="C37" i="1" a="1"/>
  <c r="C37" i="1" s="1"/>
  <c r="C34" i="1" a="1"/>
  <c r="C34" i="1" s="1"/>
  <c r="C32" i="1" a="1"/>
  <c r="C32" i="1" s="1"/>
  <c r="D37" i="1" a="1"/>
  <c r="D37" i="1" s="1"/>
  <c r="C21" i="1" a="1"/>
  <c r="C21" i="1" s="1"/>
  <c r="C30" i="1" a="1"/>
  <c r="C30" i="1" s="1"/>
  <c r="C35" i="1" a="1"/>
  <c r="C35" i="1" s="1"/>
  <c r="E37" i="1" a="1"/>
  <c r="E37" i="1" s="1"/>
  <c r="H37" i="1" a="1"/>
  <c r="H37" i="1" s="1"/>
  <c r="I37" i="1" a="1"/>
  <c r="I37" i="1" s="1"/>
  <c r="AO120" i="8"/>
  <c r="AN120" i="8" s="1"/>
  <c r="BC120" i="8" s="1"/>
  <c r="AO119" i="8"/>
  <c r="AN119" i="8" s="1"/>
  <c r="BC119" i="8" s="1"/>
  <c r="AO118" i="8"/>
  <c r="AN118" i="8" s="1"/>
  <c r="BC118" i="8" s="1"/>
  <c r="I36" i="1" a="1"/>
  <c r="I36" i="1" s="1"/>
  <c r="H36" i="1" a="1"/>
  <c r="H36" i="1" s="1"/>
  <c r="AO117" i="8"/>
  <c r="AN117" i="8" s="1"/>
  <c r="BC117" i="8" s="1"/>
  <c r="AO116" i="8"/>
  <c r="AN116" i="8" s="1"/>
  <c r="BC116" i="8" s="1"/>
  <c r="AN115" i="8"/>
  <c r="BC115" i="8" s="1"/>
  <c r="AO115" i="8"/>
  <c r="AO114" i="8"/>
  <c r="AN114" i="8" s="1"/>
  <c r="BC114" i="8" s="1"/>
  <c r="I35" i="1" a="1"/>
  <c r="I35" i="1" s="1"/>
  <c r="H35" i="1" a="1"/>
  <c r="H35" i="1" s="1"/>
  <c r="AO113" i="8"/>
  <c r="AN113" i="8" s="1"/>
  <c r="BC113" i="8" s="1"/>
  <c r="AO112" i="8"/>
  <c r="AN112" i="8" s="1"/>
  <c r="BC112" i="8" s="1"/>
  <c r="AO111" i="8"/>
  <c r="AN111" i="8" s="1"/>
  <c r="BC111" i="8" s="1"/>
  <c r="AO110" i="8"/>
  <c r="AN110" i="8" s="1"/>
  <c r="BC110" i="8" s="1"/>
  <c r="AO109" i="8"/>
  <c r="AN109" i="8" s="1"/>
  <c r="BC109" i="8" s="1"/>
  <c r="G34" i="1" a="1"/>
  <c r="G34" i="1" s="1"/>
  <c r="I34" i="1" a="1"/>
  <c r="I34" i="1" s="1"/>
  <c r="H34" i="1" a="1"/>
  <c r="H34" i="1" s="1"/>
  <c r="AO108" i="8"/>
  <c r="AN108" i="8" s="1"/>
  <c r="BC108" i="8" s="1"/>
  <c r="AO107" i="8"/>
  <c r="AN107" i="8" s="1"/>
  <c r="BC107" i="8" s="1"/>
  <c r="AO106" i="8"/>
  <c r="AN106" i="8" s="1"/>
  <c r="BC106" i="8" s="1"/>
  <c r="AO105" i="8"/>
  <c r="AN105" i="8" s="1"/>
  <c r="BC105" i="8" s="1"/>
  <c r="G33" i="1" a="1"/>
  <c r="G33" i="1" s="1"/>
  <c r="D32" i="1" a="1"/>
  <c r="D32" i="1" s="1"/>
  <c r="D24" i="1" a="1"/>
  <c r="D24" i="1" s="1"/>
  <c r="E32" i="1" a="1"/>
  <c r="E32" i="1" s="1"/>
  <c r="F31" i="1" a="1"/>
  <c r="F31" i="1" s="1"/>
  <c r="F32" i="1" a="1"/>
  <c r="F32" i="1" s="1"/>
  <c r="G32" i="1" a="1"/>
  <c r="G32" i="1" s="1"/>
  <c r="C24" i="1" a="1"/>
  <c r="C24" i="1" s="1"/>
  <c r="C26" i="1" a="1"/>
  <c r="C26" i="1" s="1"/>
  <c r="C20" i="1" a="1"/>
  <c r="C20" i="1" s="1"/>
  <c r="I33" i="1" a="1"/>
  <c r="I33" i="1" s="1"/>
  <c r="G31" i="1" a="1"/>
  <c r="G31" i="1" s="1"/>
  <c r="H33" i="1" a="1"/>
  <c r="H33" i="1" s="1"/>
  <c r="D31" i="1" a="1"/>
  <c r="D31" i="1" s="1"/>
  <c r="F29" i="1" a="1"/>
  <c r="F29" i="1" s="1"/>
  <c r="C27" i="1" a="1"/>
  <c r="C27" i="1" s="1"/>
  <c r="AO104" i="8"/>
  <c r="AN104" i="8" s="1"/>
  <c r="BC104" i="8" s="1"/>
  <c r="AO103" i="8"/>
  <c r="AN103" i="8" s="1"/>
  <c r="BC103" i="8" s="1"/>
  <c r="AO102" i="8"/>
  <c r="AN102" i="8" s="1"/>
  <c r="BC102" i="8" s="1"/>
  <c r="I32" i="1" a="1"/>
  <c r="I32" i="1" s="1"/>
  <c r="H32" i="1" a="1"/>
  <c r="H32" i="1" s="1"/>
  <c r="AO101" i="8"/>
  <c r="AN101" i="8" s="1"/>
  <c r="BC101" i="8" s="1"/>
  <c r="AO100" i="8"/>
  <c r="AN100" i="8" s="1"/>
  <c r="BC100" i="8" s="1"/>
  <c r="C25" i="1" a="1"/>
  <c r="C25" i="1" s="1"/>
  <c r="C31" i="1" a="1"/>
  <c r="C31" i="1" s="1"/>
  <c r="E31" i="1" a="1"/>
  <c r="E31" i="1" s="1"/>
  <c r="AN99" i="8"/>
  <c r="BC99" i="8" s="1"/>
  <c r="D26" i="1" a="1"/>
  <c r="D26" i="1" s="1"/>
  <c r="D28" i="1" a="1"/>
  <c r="D28" i="1" s="1"/>
  <c r="AO98" i="8"/>
  <c r="AN98" i="8" s="1"/>
  <c r="BC98" i="8" s="1"/>
  <c r="I31" i="1" a="1"/>
  <c r="I31" i="1" s="1"/>
  <c r="H31" i="1" a="1"/>
  <c r="H31" i="1" s="1"/>
  <c r="AO97" i="8"/>
  <c r="AN97" i="8" s="1"/>
  <c r="BC97" i="8" s="1"/>
  <c r="AO96" i="8"/>
  <c r="AN96" i="8" s="1"/>
  <c r="BC96" i="8" s="1"/>
  <c r="AO95" i="8"/>
  <c r="AN95" i="8" s="1"/>
  <c r="BC95" i="8" s="1"/>
  <c r="AO94" i="8"/>
  <c r="AN94" i="8" s="1"/>
  <c r="BC94" i="8" s="1"/>
  <c r="AO93" i="8"/>
  <c r="AN93" i="8" s="1"/>
  <c r="BC93" i="8" s="1"/>
  <c r="G29" i="1" a="1"/>
  <c r="G29" i="1" s="1"/>
  <c r="F30" i="1" a="1"/>
  <c r="F30" i="1" s="1"/>
  <c r="G30" i="1" a="1"/>
  <c r="G30" i="1" s="1"/>
  <c r="E27" i="1" a="1"/>
  <c r="E27" i="1" s="1"/>
  <c r="H30" i="1" a="1"/>
  <c r="H30" i="1" s="1"/>
  <c r="E30" i="1" a="1"/>
  <c r="E30" i="1" s="1"/>
  <c r="I30" i="1" a="1"/>
  <c r="I30" i="1" s="1"/>
  <c r="AO92" i="8"/>
  <c r="AN92" i="8" s="1"/>
  <c r="BC92" i="8" s="1"/>
  <c r="AO91" i="8"/>
  <c r="AN91" i="8" s="1"/>
  <c r="BC91" i="8" s="1"/>
  <c r="AO90" i="8"/>
  <c r="AN90" i="8" s="1"/>
  <c r="BC90" i="8" s="1"/>
  <c r="AO89" i="8"/>
  <c r="AN89" i="8" s="1"/>
  <c r="BC89" i="8" s="1"/>
  <c r="D29" i="1" a="1"/>
  <c r="D29" i="1" s="1"/>
  <c r="E29" i="1" a="1"/>
  <c r="E29" i="1" s="1"/>
  <c r="D25" i="1" a="1"/>
  <c r="D25" i="1" s="1"/>
  <c r="I29" i="1" a="1"/>
  <c r="I29" i="1" s="1"/>
  <c r="F27" i="1" a="1"/>
  <c r="F27" i="1" s="1"/>
  <c r="H29" i="1" a="1"/>
  <c r="H29" i="1" s="1"/>
  <c r="E28" i="1" a="1"/>
  <c r="E28" i="1" s="1"/>
  <c r="AO88" i="8"/>
  <c r="AN88" i="8" s="1"/>
  <c r="BC88" i="8" s="1"/>
  <c r="AO87" i="8"/>
  <c r="AN87" i="8" s="1"/>
  <c r="BC87" i="8" s="1"/>
  <c r="AO86" i="8"/>
  <c r="AN86" i="8" s="1"/>
  <c r="BC86" i="8" s="1"/>
  <c r="AO85" i="8"/>
  <c r="AN85" i="8" s="1"/>
  <c r="BC85" i="8" s="1"/>
  <c r="H28" i="1" a="1"/>
  <c r="H28" i="1" s="1"/>
  <c r="G27" i="1" a="1"/>
  <c r="G27" i="1" s="1"/>
  <c r="F28" i="1" a="1"/>
  <c r="F28" i="1" s="1"/>
  <c r="G28" i="1" a="1"/>
  <c r="G28" i="1" s="1"/>
  <c r="E26" i="1" a="1"/>
  <c r="E26" i="1" s="1"/>
  <c r="F26" i="1" a="1"/>
  <c r="F26" i="1" s="1"/>
  <c r="AO84" i="8"/>
  <c r="AN84" i="8" s="1"/>
  <c r="BC84" i="8" s="1"/>
  <c r="G26" i="1" a="1"/>
  <c r="G26" i="1" s="1"/>
  <c r="I28" i="1" a="1"/>
  <c r="I28" i="1" s="1"/>
  <c r="AO83" i="8"/>
  <c r="AN83" i="8" s="1"/>
  <c r="BC83" i="8" s="1"/>
  <c r="AO82" i="8"/>
  <c r="AN82" i="8" s="1"/>
  <c r="BC82" i="8" s="1"/>
  <c r="I27" i="1" a="1"/>
  <c r="I27" i="1" s="1"/>
  <c r="H27" i="1" a="1"/>
  <c r="H27" i="1" s="1"/>
  <c r="AO81" i="8"/>
  <c r="AN81" i="8" s="1"/>
  <c r="BC81" i="8" s="1"/>
  <c r="A27" i="3"/>
  <c r="AO80" i="8"/>
  <c r="AN80" i="8" s="1"/>
  <c r="BC80" i="8" s="1"/>
  <c r="AO79" i="8"/>
  <c r="AN79" i="8" s="1"/>
  <c r="BC79" i="8" s="1"/>
  <c r="AO78" i="8"/>
  <c r="AN78" i="8" s="1"/>
  <c r="BC78" i="8" s="1"/>
  <c r="AO77" i="8"/>
  <c r="AN77" i="8" s="1"/>
  <c r="BC77" i="8" s="1"/>
  <c r="I26" i="1" a="1"/>
  <c r="I26" i="1" s="1"/>
  <c r="H26" i="1" a="1"/>
  <c r="H26" i="1" s="1"/>
  <c r="AO76" i="8"/>
  <c r="AN76" i="8" s="1"/>
  <c r="BC76" i="8" s="1"/>
  <c r="AO75" i="8"/>
  <c r="AN75" i="8" s="1"/>
  <c r="BC75" i="8" s="1"/>
  <c r="AO74" i="8"/>
  <c r="AN74" i="8" s="1"/>
  <c r="BC74" i="8" s="1"/>
  <c r="AO73" i="8"/>
  <c r="AN73" i="8" s="1"/>
  <c r="BC73" i="8" s="1"/>
  <c r="E25" i="1" a="1"/>
  <c r="E25" i="1" s="1"/>
  <c r="H25" i="1" a="1"/>
  <c r="H25" i="1" s="1"/>
  <c r="G21" i="1" a="1"/>
  <c r="G21" i="1" s="1"/>
  <c r="E19" i="1" a="1"/>
  <c r="E19" i="1" s="1"/>
  <c r="G25" i="1" a="1"/>
  <c r="G25" i="1" s="1"/>
  <c r="F25" i="1" a="1"/>
  <c r="F25" i="1" s="1"/>
  <c r="I25" i="1" a="1"/>
  <c r="I25" i="1" s="1"/>
  <c r="A25" i="3"/>
  <c r="AO72" i="8"/>
  <c r="AN72" i="8" s="1"/>
  <c r="BC72" i="8" s="1"/>
  <c r="AO71" i="8"/>
  <c r="AN71" i="8" s="1"/>
  <c r="BC71" i="8" s="1"/>
  <c r="AO70" i="8"/>
  <c r="AN70" i="8" s="1"/>
  <c r="BC70" i="8" s="1"/>
  <c r="AN69" i="8"/>
  <c r="BC69" i="8" s="1"/>
  <c r="AO69" i="8"/>
  <c r="C22" i="1" a="1"/>
  <c r="C22" i="1" s="1"/>
  <c r="D19" i="1" a="1"/>
  <c r="D19" i="1" s="1"/>
  <c r="C19" i="1" a="1"/>
  <c r="C19" i="1" s="1"/>
  <c r="D22" i="1" a="1"/>
  <c r="D22" i="1" s="1"/>
  <c r="E24" i="1" a="1"/>
  <c r="E24" i="1" s="1"/>
  <c r="F24" i="1" a="1"/>
  <c r="F24" i="1" s="1"/>
  <c r="G24" i="1" a="1"/>
  <c r="G24" i="1" s="1"/>
  <c r="H24" i="1" a="1"/>
  <c r="H24" i="1" s="1"/>
  <c r="F22" i="1" a="1"/>
  <c r="F22" i="1" s="1"/>
  <c r="G22" i="1" a="1"/>
  <c r="G22" i="1" s="1"/>
  <c r="E22" i="1" a="1"/>
  <c r="E22" i="1" s="1"/>
  <c r="D23" i="1" a="1"/>
  <c r="D23" i="1" s="1"/>
  <c r="I24" i="1" a="1"/>
  <c r="I24" i="1" s="1"/>
  <c r="C23" i="1" a="1"/>
  <c r="C23" i="1" s="1"/>
  <c r="E23" i="1" a="1"/>
  <c r="E23" i="1" s="1"/>
  <c r="F21" i="1" a="1"/>
  <c r="F21" i="1" s="1"/>
  <c r="F23" i="1" a="1"/>
  <c r="F23" i="1" s="1"/>
  <c r="G23" i="1" a="1"/>
  <c r="G23" i="1" s="1"/>
  <c r="AO68" i="8"/>
  <c r="AN68" i="8" s="1"/>
  <c r="BC68" i="8" s="1"/>
  <c r="AO67" i="8"/>
  <c r="AN67" i="8" s="1"/>
  <c r="BC67" i="8" s="1"/>
  <c r="AO66" i="8"/>
  <c r="AN66" i="8" s="1"/>
  <c r="BC66" i="8" s="1"/>
  <c r="H23" i="1" a="1"/>
  <c r="H23" i="1" s="1"/>
  <c r="I23" i="1" a="1"/>
  <c r="I23" i="1" s="1"/>
  <c r="AO65" i="8"/>
  <c r="AN65" i="8" s="1"/>
  <c r="BC65" i="8" s="1"/>
  <c r="AO64" i="8"/>
  <c r="AN64" i="8" s="1"/>
  <c r="BC64" i="8" s="1"/>
  <c r="AO63" i="8"/>
  <c r="AN63" i="8" s="1"/>
  <c r="BC63" i="8" s="1"/>
  <c r="AO62" i="8"/>
  <c r="AN62" i="8" s="1"/>
  <c r="BC62" i="8" s="1"/>
  <c r="I22" i="1" a="1"/>
  <c r="I22" i="1" s="1"/>
  <c r="H22" i="1" a="1"/>
  <c r="H22" i="1" s="1"/>
  <c r="AO61" i="8"/>
  <c r="AN61" i="8" s="1"/>
  <c r="BC61" i="8" s="1"/>
  <c r="AO60" i="8"/>
  <c r="AN60" i="8" s="1"/>
  <c r="BC60" i="8" s="1"/>
  <c r="AO59" i="8"/>
  <c r="AN59" i="8" s="1"/>
  <c r="BC59" i="8" s="1"/>
  <c r="AO58" i="8"/>
  <c r="AN58" i="8" s="1"/>
  <c r="BC58" i="8" s="1"/>
  <c r="AN57" i="8"/>
  <c r="BC57" i="8" s="1"/>
  <c r="D21" i="1" a="1"/>
  <c r="D21" i="1" s="1"/>
  <c r="E21" i="1" a="1"/>
  <c r="E21" i="1" s="1"/>
  <c r="I21" i="1" a="1"/>
  <c r="I21" i="1" s="1"/>
  <c r="H21" i="1" a="1"/>
  <c r="H21" i="1" s="1"/>
  <c r="A21" i="3"/>
  <c r="AN56" i="8"/>
  <c r="BC56" i="8" s="1"/>
  <c r="AO56" i="8"/>
  <c r="AO55" i="8"/>
  <c r="AN55" i="8" s="1"/>
  <c r="BC55" i="8" s="1"/>
  <c r="AO54" i="8"/>
  <c r="AN54" i="8"/>
  <c r="BC54" i="8" s="1"/>
  <c r="AO53" i="8"/>
  <c r="AN53" i="8" s="1"/>
  <c r="BC53" i="8" s="1"/>
  <c r="I19" i="1" a="1"/>
  <c r="I19" i="1" s="1"/>
  <c r="H19" i="1" a="1"/>
  <c r="H19" i="1" s="1"/>
  <c r="F19" i="1" a="1"/>
  <c r="F19" i="1" s="1"/>
  <c r="G18" i="1" a="1"/>
  <c r="G18" i="1" s="1"/>
  <c r="I20" i="1" a="1"/>
  <c r="I20" i="1" s="1"/>
  <c r="G19" i="1" a="1"/>
  <c r="G19" i="1" s="1"/>
  <c r="D20" i="1" a="1"/>
  <c r="D20" i="1" s="1"/>
  <c r="E20" i="1" a="1"/>
  <c r="E20" i="1" s="1"/>
  <c r="F20" i="1" a="1"/>
  <c r="F20" i="1" s="1"/>
  <c r="G20" i="1" a="1"/>
  <c r="G20" i="1" s="1"/>
  <c r="H20" i="1" a="1"/>
  <c r="H20" i="1" s="1"/>
  <c r="AN45" i="8"/>
  <c r="BC45" i="8" s="1"/>
  <c r="G12" i="1" a="1"/>
  <c r="G12" i="1" s="1"/>
  <c r="Z12" i="1" s="1"/>
  <c r="D18" i="1" a="1"/>
  <c r="D18" i="1" s="1"/>
  <c r="E12" i="1" a="1"/>
  <c r="E12" i="1" s="1"/>
  <c r="AO50" i="8"/>
  <c r="AN50" i="8" s="1"/>
  <c r="BC50" i="8" s="1"/>
  <c r="AO46" i="8"/>
  <c r="AN46" i="8" s="1"/>
  <c r="BC46" i="8" s="1"/>
  <c r="AO51" i="8"/>
  <c r="AN51" i="8" s="1"/>
  <c r="BC51" i="8" s="1"/>
  <c r="AO47" i="8"/>
  <c r="AN47" i="8" s="1"/>
  <c r="BC47" i="8" s="1"/>
  <c r="BA45" i="8"/>
  <c r="AO52" i="8"/>
  <c r="AN52" i="8" s="1"/>
  <c r="BC52" i="8" s="1"/>
  <c r="AO48" i="8"/>
  <c r="AN48" i="8" s="1"/>
  <c r="BC48" i="8" s="1"/>
  <c r="AO49" i="8"/>
  <c r="AN49" i="8" s="1"/>
  <c r="BC49" i="8" s="1"/>
  <c r="AO45" i="8"/>
  <c r="C18" i="1" a="1"/>
  <c r="C18" i="1" s="1"/>
  <c r="E18" i="1" a="1"/>
  <c r="E18" i="1" s="1"/>
  <c r="F18" i="1" a="1"/>
  <c r="F18" i="1" s="1"/>
  <c r="AN44" i="8"/>
  <c r="BC44" i="8" s="1"/>
  <c r="BA44" i="8"/>
  <c r="AO43" i="8"/>
  <c r="AN43" i="8"/>
  <c r="BC43" i="8" s="1"/>
  <c r="BA42" i="8"/>
  <c r="AN42" i="8"/>
  <c r="BC42" i="8" s="1"/>
  <c r="AN41" i="8"/>
  <c r="BC41" i="8" s="1"/>
  <c r="AO41" i="8"/>
  <c r="F12" i="1" a="1"/>
  <c r="F12" i="1" s="1"/>
  <c r="Y12" i="1" s="1"/>
  <c r="C17" i="1" a="1"/>
  <c r="C17" i="1" s="1"/>
  <c r="D17" i="1" a="1"/>
  <c r="D17" i="1" s="1"/>
  <c r="E17" i="1" a="1"/>
  <c r="E17" i="1" s="1"/>
  <c r="F17" i="1" a="1"/>
  <c r="F17" i="1" s="1"/>
  <c r="D16" i="1" a="1"/>
  <c r="D16" i="1" s="1"/>
  <c r="F16" i="1" a="1"/>
  <c r="F16" i="1" s="1"/>
  <c r="Y16" i="1" s="1"/>
  <c r="C12" i="1" a="1"/>
  <c r="C12" i="1" s="1"/>
  <c r="E16" i="1" a="1"/>
  <c r="E16" i="1" s="1"/>
  <c r="D12" i="1" a="1"/>
  <c r="D12" i="1" s="1"/>
  <c r="A18" i="3"/>
  <c r="E14" i="1" a="1"/>
  <c r="E14" i="1" s="1"/>
  <c r="G14" i="1" a="1"/>
  <c r="G14" i="1" s="1"/>
  <c r="G17" i="1" a="1"/>
  <c r="G17" i="1" s="1"/>
  <c r="F14" i="1" a="1"/>
  <c r="F14" i="1" s="1"/>
  <c r="C16" i="1" a="1"/>
  <c r="C16" i="1" s="1"/>
  <c r="A17" i="2"/>
  <c r="F13" i="1" a="1"/>
  <c r="F13" i="1" s="1"/>
  <c r="D15" i="1" a="1"/>
  <c r="D15" i="1" s="1"/>
  <c r="E13" i="1" a="1"/>
  <c r="E13" i="1" s="1"/>
  <c r="C15" i="1" a="1"/>
  <c r="C15" i="1" s="1"/>
  <c r="G13" i="1" a="1"/>
  <c r="G13" i="1" s="1"/>
  <c r="E15" i="1" a="1"/>
  <c r="E15" i="1" s="1"/>
  <c r="G16" i="1" a="1"/>
  <c r="G16" i="1" s="1"/>
  <c r="Z16" i="1" s="1"/>
  <c r="C13" i="1" a="1"/>
  <c r="C13" i="1" s="1"/>
  <c r="D13" i="1" a="1"/>
  <c r="D13" i="1" s="1"/>
  <c r="C14" i="1" a="1"/>
  <c r="C14" i="1" s="1"/>
  <c r="F15" i="1" a="1"/>
  <c r="F15" i="1" s="1"/>
  <c r="D14" i="1" a="1"/>
  <c r="D14" i="1" s="1"/>
  <c r="G15" i="1" a="1"/>
  <c r="G15" i="1" s="1"/>
  <c r="A16" i="3"/>
  <c r="M14" i="2"/>
  <c r="M13" i="2"/>
  <c r="M12" i="2"/>
  <c r="A15" i="3"/>
  <c r="A14" i="2"/>
  <c r="A13" i="3"/>
  <c r="AW15" i="8"/>
  <c r="AW16" i="8"/>
  <c r="K49" i="1" l="1" a="1"/>
  <c r="K49" i="1" s="1"/>
  <c r="M49" i="1" a="1"/>
  <c r="M49" i="1" s="1"/>
  <c r="J49" i="1" a="1"/>
  <c r="J49" i="1" s="1"/>
  <c r="L49" i="1" a="1"/>
  <c r="L49" i="1" s="1"/>
  <c r="AK49" i="1" a="1"/>
  <c r="AK49" i="1" s="1"/>
  <c r="AT49" i="1" a="1"/>
  <c r="AT49" i="1" s="1"/>
  <c r="AS49" i="1" a="1"/>
  <c r="AS49" i="1" s="1"/>
  <c r="AR49" i="1" a="1"/>
  <c r="AR49" i="1" s="1"/>
  <c r="AQ49" i="1" a="1"/>
  <c r="AQ49" i="1" s="1"/>
  <c r="AP49" i="1" a="1"/>
  <c r="AP49" i="1" s="1"/>
  <c r="AO49" i="1" a="1"/>
  <c r="AO49" i="1" s="1"/>
  <c r="AN49" i="1" a="1"/>
  <c r="AN49" i="1" s="1"/>
  <c r="AM49" i="1" a="1"/>
  <c r="AM49" i="1" s="1"/>
  <c r="AL49" i="1" a="1"/>
  <c r="AL49" i="1" s="1"/>
  <c r="AJ49" i="1" a="1"/>
  <c r="AJ49" i="1" s="1"/>
  <c r="AI49" i="1" a="1"/>
  <c r="AI49" i="1" s="1"/>
  <c r="N49" i="1" a="1"/>
  <c r="N49" i="1" s="1"/>
  <c r="K48" i="1" a="1"/>
  <c r="K48" i="1" s="1"/>
  <c r="J48" i="1" a="1"/>
  <c r="J48" i="1" s="1"/>
  <c r="AT48" i="1" a="1"/>
  <c r="AT48" i="1" s="1"/>
  <c r="AS48" i="1" a="1"/>
  <c r="AS48" i="1" s="1"/>
  <c r="AR48" i="1" a="1"/>
  <c r="AR48" i="1" s="1"/>
  <c r="AQ48" i="1" a="1"/>
  <c r="AQ48" i="1" s="1"/>
  <c r="AP48" i="1" a="1"/>
  <c r="AP48" i="1" s="1"/>
  <c r="AO48" i="1" a="1"/>
  <c r="AO48" i="1" s="1"/>
  <c r="AN48" i="1" a="1"/>
  <c r="AN48" i="1" s="1"/>
  <c r="AM48" i="1" a="1"/>
  <c r="AM48" i="1" s="1"/>
  <c r="AL48" i="1" a="1"/>
  <c r="AL48" i="1" s="1"/>
  <c r="AK48" i="1" a="1"/>
  <c r="AK48" i="1" s="1"/>
  <c r="AJ48" i="1" a="1"/>
  <c r="AJ48" i="1" s="1"/>
  <c r="AI48" i="1" a="1"/>
  <c r="AI48" i="1" s="1"/>
  <c r="N48" i="1" a="1"/>
  <c r="N48" i="1" s="1"/>
  <c r="L48" i="1" a="1"/>
  <c r="L48" i="1" s="1"/>
  <c r="M48" i="1" a="1"/>
  <c r="M48" i="1" s="1"/>
  <c r="K47" i="1" a="1"/>
  <c r="K47" i="1" s="1"/>
  <c r="M47" i="1" a="1"/>
  <c r="M47" i="1" s="1"/>
  <c r="L47" i="1" a="1"/>
  <c r="L47" i="1" s="1"/>
  <c r="J47" i="1" a="1"/>
  <c r="J47" i="1" s="1"/>
  <c r="AT47" i="1" a="1"/>
  <c r="AT47" i="1" s="1"/>
  <c r="AS47" i="1" a="1"/>
  <c r="AS47" i="1" s="1"/>
  <c r="AR47" i="1" a="1"/>
  <c r="AR47" i="1" s="1"/>
  <c r="AQ47" i="1" a="1"/>
  <c r="AQ47" i="1" s="1"/>
  <c r="AP47" i="1" a="1"/>
  <c r="AP47" i="1" s="1"/>
  <c r="AO47" i="1" a="1"/>
  <c r="AO47" i="1" s="1"/>
  <c r="AN47" i="1" a="1"/>
  <c r="AN47" i="1" s="1"/>
  <c r="AM47" i="1" a="1"/>
  <c r="AM47" i="1" s="1"/>
  <c r="AL47" i="1" a="1"/>
  <c r="AL47" i="1" s="1"/>
  <c r="AK47" i="1" a="1"/>
  <c r="AK47" i="1" s="1"/>
  <c r="AJ47" i="1" a="1"/>
  <c r="AJ47" i="1" s="1"/>
  <c r="AI47" i="1" a="1"/>
  <c r="AI47" i="1" s="1"/>
  <c r="N47" i="1" a="1"/>
  <c r="N47" i="1" s="1"/>
  <c r="M46" i="1" a="1"/>
  <c r="M46" i="1" s="1"/>
  <c r="AK46" i="1" a="1"/>
  <c r="AK46" i="1" s="1"/>
  <c r="L46" i="1" a="1"/>
  <c r="L46" i="1" s="1"/>
  <c r="J46" i="1" a="1"/>
  <c r="J46" i="1" s="1"/>
  <c r="K46" i="1" a="1"/>
  <c r="K46" i="1" s="1"/>
  <c r="AJ46" i="1" a="1"/>
  <c r="AJ46" i="1" s="1"/>
  <c r="AI46" i="1" a="1"/>
  <c r="AI46" i="1" s="1"/>
  <c r="N46" i="1" a="1"/>
  <c r="N46" i="1" s="1"/>
  <c r="AT46" i="1" a="1"/>
  <c r="AT46" i="1" s="1"/>
  <c r="AS46" i="1" a="1"/>
  <c r="AS46" i="1" s="1"/>
  <c r="AR46" i="1" a="1"/>
  <c r="AR46" i="1" s="1"/>
  <c r="AQ46" i="1" a="1"/>
  <c r="AQ46" i="1" s="1"/>
  <c r="AP46" i="1" a="1"/>
  <c r="AP46" i="1" s="1"/>
  <c r="AO46" i="1" a="1"/>
  <c r="AO46" i="1" s="1"/>
  <c r="AN46" i="1" a="1"/>
  <c r="AN46" i="1" s="1"/>
  <c r="AM46" i="1" a="1"/>
  <c r="AM46" i="1" s="1"/>
  <c r="AL46" i="1" a="1"/>
  <c r="AL46" i="1" s="1"/>
  <c r="N45" i="1" a="1"/>
  <c r="N45" i="1" s="1"/>
  <c r="K45" i="1" a="1"/>
  <c r="K45" i="1" s="1"/>
  <c r="AI45" i="1" a="1"/>
  <c r="AI45" i="1" s="1"/>
  <c r="AJ45" i="1" a="1"/>
  <c r="AJ45" i="1" s="1"/>
  <c r="AK45" i="1" a="1"/>
  <c r="AK45" i="1" s="1"/>
  <c r="AL45" i="1" a="1"/>
  <c r="AL45" i="1" s="1"/>
  <c r="AM45" i="1" a="1"/>
  <c r="AM45" i="1" s="1"/>
  <c r="AN45" i="1" a="1"/>
  <c r="AN45" i="1" s="1"/>
  <c r="AO45" i="1" a="1"/>
  <c r="AO45" i="1" s="1"/>
  <c r="AP45" i="1" a="1"/>
  <c r="AP45" i="1" s="1"/>
  <c r="AQ45" i="1" a="1"/>
  <c r="AQ45" i="1" s="1"/>
  <c r="AR45" i="1" a="1"/>
  <c r="AR45" i="1" s="1"/>
  <c r="AS45" i="1" a="1"/>
  <c r="AS45" i="1" s="1"/>
  <c r="AT45" i="1" a="1"/>
  <c r="AT45" i="1" s="1"/>
  <c r="L45" i="1" a="1"/>
  <c r="L45" i="1" s="1"/>
  <c r="M45" i="1" a="1"/>
  <c r="M45" i="1" s="1"/>
  <c r="J45" i="1" a="1"/>
  <c r="J45" i="1" s="1"/>
  <c r="K44" i="1" a="1"/>
  <c r="K44" i="1" s="1"/>
  <c r="J44" i="1" a="1"/>
  <c r="J44" i="1" s="1"/>
  <c r="AT44" i="1" a="1"/>
  <c r="AT44" i="1" s="1"/>
  <c r="AS44" i="1" a="1"/>
  <c r="AS44" i="1" s="1"/>
  <c r="AR44" i="1" a="1"/>
  <c r="AR44" i="1" s="1"/>
  <c r="AQ44" i="1" a="1"/>
  <c r="AQ44" i="1" s="1"/>
  <c r="AP44" i="1" a="1"/>
  <c r="AP44" i="1" s="1"/>
  <c r="AO44" i="1" a="1"/>
  <c r="AO44" i="1" s="1"/>
  <c r="AN44" i="1" a="1"/>
  <c r="AN44" i="1" s="1"/>
  <c r="AM44" i="1" a="1"/>
  <c r="AM44" i="1" s="1"/>
  <c r="AL44" i="1" a="1"/>
  <c r="AL44" i="1" s="1"/>
  <c r="AK44" i="1" a="1"/>
  <c r="AK44" i="1" s="1"/>
  <c r="AJ44" i="1" a="1"/>
  <c r="AJ44" i="1" s="1"/>
  <c r="AI44" i="1" a="1"/>
  <c r="AI44" i="1" s="1"/>
  <c r="N44" i="1" a="1"/>
  <c r="N44" i="1" s="1"/>
  <c r="M44" i="1" a="1"/>
  <c r="M44" i="1" s="1"/>
  <c r="L44" i="1" a="1"/>
  <c r="L44" i="1" s="1"/>
  <c r="M43" i="1" a="1"/>
  <c r="M43" i="1" s="1"/>
  <c r="AI43" i="1" a="1"/>
  <c r="AI43" i="1" s="1"/>
  <c r="L43" i="1" a="1"/>
  <c r="L43" i="1" s="1"/>
  <c r="AT43" i="1" a="1"/>
  <c r="AT43" i="1" s="1"/>
  <c r="AS43" i="1" a="1"/>
  <c r="AS43" i="1" s="1"/>
  <c r="AR43" i="1" a="1"/>
  <c r="AR43" i="1" s="1"/>
  <c r="AQ43" i="1" a="1"/>
  <c r="AQ43" i="1" s="1"/>
  <c r="AP43" i="1" a="1"/>
  <c r="AP43" i="1" s="1"/>
  <c r="AO43" i="1" a="1"/>
  <c r="AO43" i="1" s="1"/>
  <c r="AN43" i="1" a="1"/>
  <c r="AN43" i="1" s="1"/>
  <c r="AM43" i="1" a="1"/>
  <c r="AM43" i="1" s="1"/>
  <c r="AL43" i="1" a="1"/>
  <c r="AL43" i="1" s="1"/>
  <c r="AK43" i="1" a="1"/>
  <c r="AK43" i="1" s="1"/>
  <c r="AJ43" i="1" a="1"/>
  <c r="AJ43" i="1" s="1"/>
  <c r="K43" i="1" a="1"/>
  <c r="K43" i="1" s="1"/>
  <c r="N43" i="1" a="1"/>
  <c r="N43" i="1" s="1"/>
  <c r="J43" i="1" a="1"/>
  <c r="J43" i="1" s="1"/>
  <c r="K42" i="1" a="1"/>
  <c r="K42" i="1" s="1"/>
  <c r="N42" i="1" a="1"/>
  <c r="N42" i="1" s="1"/>
  <c r="J42" i="1" a="1"/>
  <c r="J42" i="1" s="1"/>
  <c r="M42" i="1" a="1"/>
  <c r="M42" i="1" s="1"/>
  <c r="L42" i="1" a="1"/>
  <c r="L42" i="1" s="1"/>
  <c r="AT42" i="1" a="1"/>
  <c r="AT42" i="1" s="1"/>
  <c r="AS42" i="1" a="1"/>
  <c r="AS42" i="1" s="1"/>
  <c r="AR42" i="1" a="1"/>
  <c r="AR42" i="1" s="1"/>
  <c r="AQ42" i="1" a="1"/>
  <c r="AQ42" i="1" s="1"/>
  <c r="AP42" i="1" a="1"/>
  <c r="AP42" i="1" s="1"/>
  <c r="AO42" i="1" a="1"/>
  <c r="AO42" i="1" s="1"/>
  <c r="AN42" i="1" a="1"/>
  <c r="AN42" i="1" s="1"/>
  <c r="AM42" i="1" a="1"/>
  <c r="AM42" i="1" s="1"/>
  <c r="AL42" i="1" a="1"/>
  <c r="AL42" i="1" s="1"/>
  <c r="AK42" i="1" a="1"/>
  <c r="AK42" i="1" s="1"/>
  <c r="AJ42" i="1" a="1"/>
  <c r="AJ42" i="1" s="1"/>
  <c r="AI42" i="1" a="1"/>
  <c r="AI42" i="1" s="1"/>
  <c r="AO41" i="1" a="1"/>
  <c r="AO41" i="1" s="1"/>
  <c r="AN41" i="1" a="1"/>
  <c r="AN41" i="1" s="1"/>
  <c r="AM41" i="1" a="1"/>
  <c r="AM41" i="1" s="1"/>
  <c r="AL41" i="1" a="1"/>
  <c r="AL41" i="1" s="1"/>
  <c r="AK41" i="1" a="1"/>
  <c r="AK41" i="1" s="1"/>
  <c r="AJ41" i="1" a="1"/>
  <c r="AJ41" i="1" s="1"/>
  <c r="AI41" i="1" a="1"/>
  <c r="AI41" i="1" s="1"/>
  <c r="N41" i="1" a="1"/>
  <c r="N41" i="1" s="1"/>
  <c r="AR41" i="1" a="1"/>
  <c r="AR41" i="1" s="1"/>
  <c r="M41" i="1" a="1"/>
  <c r="M41" i="1" s="1"/>
  <c r="AQ41" i="1" a="1"/>
  <c r="AQ41" i="1" s="1"/>
  <c r="L41" i="1" a="1"/>
  <c r="L41" i="1" s="1"/>
  <c r="AT41" i="1" a="1"/>
  <c r="AT41" i="1" s="1"/>
  <c r="K41" i="1" a="1"/>
  <c r="K41" i="1" s="1"/>
  <c r="AS41" i="1" a="1"/>
  <c r="AS41" i="1" s="1"/>
  <c r="J41" i="1" a="1"/>
  <c r="J41" i="1" s="1"/>
  <c r="AP41" i="1" a="1"/>
  <c r="AP41" i="1" s="1"/>
  <c r="AM40" i="1" a="1"/>
  <c r="AM40" i="1" s="1"/>
  <c r="AK40" i="1" a="1"/>
  <c r="AK40" i="1" s="1"/>
  <c r="AJ40" i="1" a="1"/>
  <c r="AJ40" i="1" s="1"/>
  <c r="AI40" i="1" a="1"/>
  <c r="AI40" i="1" s="1"/>
  <c r="N40" i="1" a="1"/>
  <c r="N40" i="1" s="1"/>
  <c r="M40" i="1" a="1"/>
  <c r="M40" i="1" s="1"/>
  <c r="AP40" i="1" a="1"/>
  <c r="AP40" i="1" s="1"/>
  <c r="L40" i="1" a="1"/>
  <c r="L40" i="1" s="1"/>
  <c r="AO40" i="1" a="1"/>
  <c r="AO40" i="1" s="1"/>
  <c r="K40" i="1" a="1"/>
  <c r="K40" i="1" s="1"/>
  <c r="J40" i="1" a="1"/>
  <c r="J40" i="1" s="1"/>
  <c r="AL40" i="1" a="1"/>
  <c r="AL40" i="1" s="1"/>
  <c r="AT40" i="1" a="1"/>
  <c r="AT40" i="1" s="1"/>
  <c r="AS40" i="1" a="1"/>
  <c r="AS40" i="1" s="1"/>
  <c r="AR40" i="1" a="1"/>
  <c r="AR40" i="1" s="1"/>
  <c r="AQ40" i="1" a="1"/>
  <c r="AQ40" i="1" s="1"/>
  <c r="AN40" i="1" a="1"/>
  <c r="AN40" i="1" s="1"/>
  <c r="AJ39" i="1" a="1"/>
  <c r="AJ39" i="1" s="1"/>
  <c r="M39" i="1" a="1"/>
  <c r="M39" i="1" s="1"/>
  <c r="K39" i="1" a="1"/>
  <c r="K39" i="1" s="1"/>
  <c r="J39" i="1" a="1"/>
  <c r="J39" i="1" s="1"/>
  <c r="AT39" i="1" a="1"/>
  <c r="AT39" i="1" s="1"/>
  <c r="AS39" i="1" a="1"/>
  <c r="AS39" i="1" s="1"/>
  <c r="AR39" i="1" a="1"/>
  <c r="AR39" i="1" s="1"/>
  <c r="AQ39" i="1" a="1"/>
  <c r="AQ39" i="1" s="1"/>
  <c r="AP39" i="1" a="1"/>
  <c r="AP39" i="1" s="1"/>
  <c r="AO39" i="1" a="1"/>
  <c r="AO39" i="1" s="1"/>
  <c r="AN39" i="1" a="1"/>
  <c r="AN39" i="1" s="1"/>
  <c r="AM39" i="1" a="1"/>
  <c r="AM39" i="1" s="1"/>
  <c r="AL39" i="1" a="1"/>
  <c r="AL39" i="1" s="1"/>
  <c r="AK39" i="1" a="1"/>
  <c r="AK39" i="1" s="1"/>
  <c r="AI39" i="1" a="1"/>
  <c r="AI39" i="1" s="1"/>
  <c r="L39" i="1" a="1"/>
  <c r="L39" i="1" s="1"/>
  <c r="N39" i="1" a="1"/>
  <c r="N39" i="1" s="1"/>
  <c r="AK38" i="1" a="1"/>
  <c r="AK38" i="1" s="1"/>
  <c r="AJ38" i="1" a="1"/>
  <c r="AJ38" i="1" s="1"/>
  <c r="AI38" i="1" a="1"/>
  <c r="AI38" i="1" s="1"/>
  <c r="N38" i="1" a="1"/>
  <c r="N38" i="1" s="1"/>
  <c r="AL38" i="1" a="1"/>
  <c r="AL38" i="1" s="1"/>
  <c r="M38" i="1" a="1"/>
  <c r="M38" i="1" s="1"/>
  <c r="L38" i="1" a="1"/>
  <c r="L38" i="1" s="1"/>
  <c r="AS38" i="1" a="1"/>
  <c r="AS38" i="1" s="1"/>
  <c r="AR38" i="1" a="1"/>
  <c r="AR38" i="1" s="1"/>
  <c r="K38" i="1" a="1"/>
  <c r="K38" i="1" s="1"/>
  <c r="AQ38" i="1" a="1"/>
  <c r="AQ38" i="1" s="1"/>
  <c r="J38" i="1" a="1"/>
  <c r="J38" i="1" s="1"/>
  <c r="AP38" i="1" a="1"/>
  <c r="AP38" i="1" s="1"/>
  <c r="AO38" i="1" a="1"/>
  <c r="AO38" i="1" s="1"/>
  <c r="AN38" i="1" a="1"/>
  <c r="AN38" i="1" s="1"/>
  <c r="AM38" i="1" a="1"/>
  <c r="AM38" i="1" s="1"/>
  <c r="AT38" i="1" a="1"/>
  <c r="AT38" i="1" s="1"/>
  <c r="K37" i="1" a="1"/>
  <c r="K37" i="1" s="1"/>
  <c r="L37" i="1" a="1"/>
  <c r="L37" i="1" s="1"/>
  <c r="J37" i="1" a="1"/>
  <c r="J37" i="1" s="1"/>
  <c r="AI37" i="1" a="1"/>
  <c r="AI37" i="1" s="1"/>
  <c r="AT37" i="1" a="1"/>
  <c r="AT37" i="1" s="1"/>
  <c r="AS37" i="1" a="1"/>
  <c r="AS37" i="1" s="1"/>
  <c r="AR37" i="1" a="1"/>
  <c r="AR37" i="1" s="1"/>
  <c r="AQ37" i="1" a="1"/>
  <c r="AQ37" i="1" s="1"/>
  <c r="AP37" i="1" a="1"/>
  <c r="AP37" i="1" s="1"/>
  <c r="AO37" i="1" a="1"/>
  <c r="AO37" i="1" s="1"/>
  <c r="AN37" i="1" a="1"/>
  <c r="AN37" i="1" s="1"/>
  <c r="AM37" i="1" a="1"/>
  <c r="AM37" i="1" s="1"/>
  <c r="AL37" i="1" a="1"/>
  <c r="AL37" i="1" s="1"/>
  <c r="AK37" i="1" a="1"/>
  <c r="AK37" i="1" s="1"/>
  <c r="AJ37" i="1" a="1"/>
  <c r="AJ37" i="1" s="1"/>
  <c r="N37" i="1" a="1"/>
  <c r="N37" i="1" s="1"/>
  <c r="M37" i="1" a="1"/>
  <c r="M37" i="1" s="1"/>
  <c r="K36" i="1" a="1"/>
  <c r="K36" i="1" s="1"/>
  <c r="N36" i="1" a="1"/>
  <c r="N36" i="1" s="1"/>
  <c r="J36" i="1" a="1"/>
  <c r="J36" i="1" s="1"/>
  <c r="M36" i="1" a="1"/>
  <c r="M36" i="1" s="1"/>
  <c r="L36" i="1" a="1"/>
  <c r="L36" i="1" s="1"/>
  <c r="AL36" i="1" a="1"/>
  <c r="AL36" i="1" s="1"/>
  <c r="AT36" i="1" a="1"/>
  <c r="AT36" i="1" s="1"/>
  <c r="AS36" i="1" a="1"/>
  <c r="AS36" i="1" s="1"/>
  <c r="AR36" i="1" a="1"/>
  <c r="AR36" i="1" s="1"/>
  <c r="AQ36" i="1" a="1"/>
  <c r="AQ36" i="1" s="1"/>
  <c r="AP36" i="1" a="1"/>
  <c r="AP36" i="1" s="1"/>
  <c r="AO36" i="1" a="1"/>
  <c r="AO36" i="1" s="1"/>
  <c r="AN36" i="1" a="1"/>
  <c r="AN36" i="1" s="1"/>
  <c r="AM36" i="1" a="1"/>
  <c r="AM36" i="1" s="1"/>
  <c r="AK36" i="1" a="1"/>
  <c r="AK36" i="1" s="1"/>
  <c r="AJ36" i="1" a="1"/>
  <c r="AJ36" i="1" s="1"/>
  <c r="AI36" i="1" a="1"/>
  <c r="AI36" i="1" s="1"/>
  <c r="K35" i="1" a="1"/>
  <c r="K35" i="1" s="1"/>
  <c r="N35" i="1" a="1"/>
  <c r="N35" i="1" s="1"/>
  <c r="J35" i="1" a="1"/>
  <c r="J35" i="1" s="1"/>
  <c r="L35" i="1" a="1"/>
  <c r="L35" i="1" s="1"/>
  <c r="M35" i="1" a="1"/>
  <c r="M35" i="1" s="1"/>
  <c r="AI35" i="1" a="1"/>
  <c r="AI35" i="1" s="1"/>
  <c r="AT35" i="1" a="1"/>
  <c r="AT35" i="1" s="1"/>
  <c r="AS35" i="1" a="1"/>
  <c r="AS35" i="1" s="1"/>
  <c r="AR35" i="1" a="1"/>
  <c r="AR35" i="1" s="1"/>
  <c r="AQ35" i="1" a="1"/>
  <c r="AQ35" i="1" s="1"/>
  <c r="AP35" i="1" a="1"/>
  <c r="AP35" i="1" s="1"/>
  <c r="AO35" i="1" a="1"/>
  <c r="AO35" i="1" s="1"/>
  <c r="AN35" i="1" a="1"/>
  <c r="AN35" i="1" s="1"/>
  <c r="AM35" i="1" a="1"/>
  <c r="AM35" i="1" s="1"/>
  <c r="AL35" i="1" a="1"/>
  <c r="AL35" i="1" s="1"/>
  <c r="AK35" i="1" a="1"/>
  <c r="AK35" i="1" s="1"/>
  <c r="AJ35" i="1" a="1"/>
  <c r="AJ35" i="1" s="1"/>
  <c r="AJ34" i="1" a="1"/>
  <c r="AJ34" i="1" s="1"/>
  <c r="K34" i="1" a="1"/>
  <c r="K34" i="1" s="1"/>
  <c r="M34" i="1" a="1"/>
  <c r="M34" i="1" s="1"/>
  <c r="J34" i="1" a="1"/>
  <c r="J34" i="1" s="1"/>
  <c r="L34" i="1" a="1"/>
  <c r="L34" i="1" s="1"/>
  <c r="AT34" i="1" a="1"/>
  <c r="AT34" i="1" s="1"/>
  <c r="AS34" i="1" a="1"/>
  <c r="AS34" i="1" s="1"/>
  <c r="AR34" i="1" a="1"/>
  <c r="AR34" i="1" s="1"/>
  <c r="AQ34" i="1" a="1"/>
  <c r="AQ34" i="1" s="1"/>
  <c r="AP34" i="1" a="1"/>
  <c r="AP34" i="1" s="1"/>
  <c r="AO34" i="1" a="1"/>
  <c r="AO34" i="1" s="1"/>
  <c r="AN34" i="1" a="1"/>
  <c r="AN34" i="1" s="1"/>
  <c r="AM34" i="1" a="1"/>
  <c r="AM34" i="1" s="1"/>
  <c r="AL34" i="1" a="1"/>
  <c r="AL34" i="1" s="1"/>
  <c r="AK34" i="1" a="1"/>
  <c r="AK34" i="1" s="1"/>
  <c r="AI34" i="1" a="1"/>
  <c r="AI34" i="1" s="1"/>
  <c r="N34" i="1" a="1"/>
  <c r="N34" i="1" s="1"/>
  <c r="AJ33" i="1" a="1"/>
  <c r="AJ33" i="1" s="1"/>
  <c r="M33" i="1" a="1"/>
  <c r="M33" i="1" s="1"/>
  <c r="K33" i="1" a="1"/>
  <c r="K33" i="1" s="1"/>
  <c r="L33" i="1" a="1"/>
  <c r="L33" i="1" s="1"/>
  <c r="N33" i="1" a="1"/>
  <c r="N33" i="1" s="1"/>
  <c r="J33" i="1" a="1"/>
  <c r="J33" i="1" s="1"/>
  <c r="AI33" i="1" a="1"/>
  <c r="AI33" i="1" s="1"/>
  <c r="AK33" i="1" a="1"/>
  <c r="AK33" i="1" s="1"/>
  <c r="AL33" i="1" a="1"/>
  <c r="AL33" i="1" s="1"/>
  <c r="AM33" i="1" a="1"/>
  <c r="AM33" i="1" s="1"/>
  <c r="AN33" i="1" a="1"/>
  <c r="AN33" i="1" s="1"/>
  <c r="AO33" i="1" a="1"/>
  <c r="AO33" i="1" s="1"/>
  <c r="AP33" i="1" a="1"/>
  <c r="AP33" i="1" s="1"/>
  <c r="AQ33" i="1" a="1"/>
  <c r="AQ33" i="1" s="1"/>
  <c r="AR33" i="1" a="1"/>
  <c r="AR33" i="1" s="1"/>
  <c r="AS33" i="1" a="1"/>
  <c r="AS33" i="1" s="1"/>
  <c r="AT33" i="1" a="1"/>
  <c r="AT33" i="1" s="1"/>
  <c r="AJ32" i="1" a="1"/>
  <c r="AJ32" i="1" s="1"/>
  <c r="AI32" i="1" a="1"/>
  <c r="AI32" i="1" s="1"/>
  <c r="N32" i="1" a="1"/>
  <c r="N32" i="1" s="1"/>
  <c r="AL32" i="1" a="1"/>
  <c r="AL32" i="1" s="1"/>
  <c r="M32" i="1" a="1"/>
  <c r="M32" i="1" s="1"/>
  <c r="AQ32" i="1" a="1"/>
  <c r="AQ32" i="1" s="1"/>
  <c r="AN32" i="1" a="1"/>
  <c r="AN32" i="1" s="1"/>
  <c r="AK32" i="1" a="1"/>
  <c r="AK32" i="1" s="1"/>
  <c r="L32" i="1" a="1"/>
  <c r="L32" i="1" s="1"/>
  <c r="J32" i="1" a="1"/>
  <c r="J32" i="1" s="1"/>
  <c r="K32" i="1" a="1"/>
  <c r="K32" i="1" s="1"/>
  <c r="AP32" i="1" a="1"/>
  <c r="AP32" i="1" s="1"/>
  <c r="AM32" i="1" a="1"/>
  <c r="AM32" i="1" s="1"/>
  <c r="AT32" i="1" a="1"/>
  <c r="AT32" i="1" s="1"/>
  <c r="AS32" i="1" a="1"/>
  <c r="AS32" i="1" s="1"/>
  <c r="AR32" i="1" a="1"/>
  <c r="AR32" i="1" s="1"/>
  <c r="AO32" i="1" a="1"/>
  <c r="AO32" i="1" s="1"/>
  <c r="AM31" i="1" a="1"/>
  <c r="AM31" i="1" s="1"/>
  <c r="AL31" i="1" a="1"/>
  <c r="AL31" i="1" s="1"/>
  <c r="AK31" i="1" a="1"/>
  <c r="AK31" i="1" s="1"/>
  <c r="AJ31" i="1" a="1"/>
  <c r="AJ31" i="1" s="1"/>
  <c r="AI31" i="1" a="1"/>
  <c r="AI31" i="1" s="1"/>
  <c r="N31" i="1" a="1"/>
  <c r="N31" i="1" s="1"/>
  <c r="AP31" i="1" a="1"/>
  <c r="AP31" i="1" s="1"/>
  <c r="AQ31" i="1" a="1"/>
  <c r="AQ31" i="1" s="1"/>
  <c r="M31" i="1" a="1"/>
  <c r="M31" i="1" s="1"/>
  <c r="L31" i="1" a="1"/>
  <c r="L31" i="1" s="1"/>
  <c r="J31" i="1" a="1"/>
  <c r="J31" i="1" s="1"/>
  <c r="K31" i="1" a="1"/>
  <c r="K31" i="1" s="1"/>
  <c r="AN31" i="1" a="1"/>
  <c r="AN31" i="1" s="1"/>
  <c r="AO31" i="1" a="1"/>
  <c r="AO31" i="1" s="1"/>
  <c r="AT31" i="1" a="1"/>
  <c r="AT31" i="1" s="1"/>
  <c r="AS31" i="1" a="1"/>
  <c r="AS31" i="1" s="1"/>
  <c r="AR31" i="1" a="1"/>
  <c r="AR31" i="1" s="1"/>
  <c r="L30" i="1" a="1"/>
  <c r="L30" i="1" s="1"/>
  <c r="J30" i="1" a="1"/>
  <c r="J30" i="1" s="1"/>
  <c r="M30" i="1" a="1"/>
  <c r="M30" i="1" s="1"/>
  <c r="N30" i="1" a="1"/>
  <c r="N30" i="1" s="1"/>
  <c r="K30" i="1" a="1"/>
  <c r="K30" i="1" s="1"/>
  <c r="AT30" i="1" a="1"/>
  <c r="AT30" i="1" s="1"/>
  <c r="AS30" i="1" a="1"/>
  <c r="AS30" i="1" s="1"/>
  <c r="AR30" i="1" a="1"/>
  <c r="AR30" i="1" s="1"/>
  <c r="AQ30" i="1" a="1"/>
  <c r="AQ30" i="1" s="1"/>
  <c r="AP30" i="1" a="1"/>
  <c r="AP30" i="1" s="1"/>
  <c r="AO30" i="1" a="1"/>
  <c r="AO30" i="1" s="1"/>
  <c r="AN30" i="1" a="1"/>
  <c r="AN30" i="1" s="1"/>
  <c r="AM30" i="1" a="1"/>
  <c r="AM30" i="1" s="1"/>
  <c r="AL30" i="1" a="1"/>
  <c r="AL30" i="1" s="1"/>
  <c r="AK30" i="1" a="1"/>
  <c r="AK30" i="1" s="1"/>
  <c r="AJ30" i="1" a="1"/>
  <c r="AJ30" i="1" s="1"/>
  <c r="AI30" i="1" a="1"/>
  <c r="AI30" i="1" s="1"/>
  <c r="M29" i="1" a="1"/>
  <c r="M29" i="1" s="1"/>
  <c r="L29" i="1" a="1"/>
  <c r="L29" i="1" s="1"/>
  <c r="AJ29" i="1" a="1"/>
  <c r="AJ29" i="1" s="1"/>
  <c r="AI29" i="1" a="1"/>
  <c r="AI29" i="1" s="1"/>
  <c r="N29" i="1" a="1"/>
  <c r="N29" i="1" s="1"/>
  <c r="AM29" i="1" a="1"/>
  <c r="AM29" i="1" s="1"/>
  <c r="AL29" i="1" a="1"/>
  <c r="AL29" i="1" s="1"/>
  <c r="K29" i="1" a="1"/>
  <c r="K29" i="1" s="1"/>
  <c r="J29" i="1" a="1"/>
  <c r="J29" i="1" s="1"/>
  <c r="AT29" i="1" a="1"/>
  <c r="AT29" i="1" s="1"/>
  <c r="AS29" i="1" a="1"/>
  <c r="AS29" i="1" s="1"/>
  <c r="AR29" i="1" a="1"/>
  <c r="AR29" i="1" s="1"/>
  <c r="AQ29" i="1" a="1"/>
  <c r="AQ29" i="1" s="1"/>
  <c r="AP29" i="1" a="1"/>
  <c r="AP29" i="1" s="1"/>
  <c r="AO29" i="1" a="1"/>
  <c r="AO29" i="1" s="1"/>
  <c r="AN29" i="1" a="1"/>
  <c r="AN29" i="1" s="1"/>
  <c r="AK29" i="1" a="1"/>
  <c r="AK29" i="1" s="1"/>
  <c r="L28" i="1" a="1"/>
  <c r="L28" i="1" s="1"/>
  <c r="M28" i="1" a="1"/>
  <c r="M28" i="1" s="1"/>
  <c r="AI28" i="1" a="1"/>
  <c r="AI28" i="1" s="1"/>
  <c r="AT28" i="1" a="1"/>
  <c r="AT28" i="1" s="1"/>
  <c r="AS28" i="1" a="1"/>
  <c r="AS28" i="1" s="1"/>
  <c r="AR28" i="1" a="1"/>
  <c r="AR28" i="1" s="1"/>
  <c r="AQ28" i="1" a="1"/>
  <c r="AQ28" i="1" s="1"/>
  <c r="AP28" i="1" a="1"/>
  <c r="AP28" i="1" s="1"/>
  <c r="AO28" i="1" a="1"/>
  <c r="AO28" i="1" s="1"/>
  <c r="AN28" i="1" a="1"/>
  <c r="AN28" i="1" s="1"/>
  <c r="AM28" i="1" a="1"/>
  <c r="AM28" i="1" s="1"/>
  <c r="AL28" i="1" a="1"/>
  <c r="AL28" i="1" s="1"/>
  <c r="AK28" i="1" a="1"/>
  <c r="AK28" i="1" s="1"/>
  <c r="AJ28" i="1" a="1"/>
  <c r="AJ28" i="1" s="1"/>
  <c r="K28" i="1" a="1"/>
  <c r="K28" i="1" s="1"/>
  <c r="J28" i="1" a="1"/>
  <c r="J28" i="1" s="1"/>
  <c r="N28" i="1" a="1"/>
  <c r="N28" i="1" s="1"/>
  <c r="AS27" i="1" a="1"/>
  <c r="AS27" i="1" s="1"/>
  <c r="AR27" i="1" a="1"/>
  <c r="AR27" i="1" s="1"/>
  <c r="AQ27" i="1" a="1"/>
  <c r="AQ27" i="1" s="1"/>
  <c r="AP27" i="1" a="1"/>
  <c r="AP27" i="1" s="1"/>
  <c r="AO27" i="1" a="1"/>
  <c r="AO27" i="1" s="1"/>
  <c r="AN27" i="1" a="1"/>
  <c r="AN27" i="1" s="1"/>
  <c r="AM27" i="1" a="1"/>
  <c r="AM27" i="1" s="1"/>
  <c r="AL27" i="1" a="1"/>
  <c r="AL27" i="1" s="1"/>
  <c r="AK27" i="1" a="1"/>
  <c r="AK27" i="1" s="1"/>
  <c r="AJ27" i="1" a="1"/>
  <c r="AJ27" i="1" s="1"/>
  <c r="AI27" i="1" a="1"/>
  <c r="AI27" i="1" s="1"/>
  <c r="N27" i="1" a="1"/>
  <c r="N27" i="1" s="1"/>
  <c r="L27" i="1" a="1"/>
  <c r="L27" i="1" s="1"/>
  <c r="K27" i="1" a="1"/>
  <c r="K27" i="1" s="1"/>
  <c r="J27" i="1" a="1"/>
  <c r="J27" i="1" s="1"/>
  <c r="AT27" i="1" a="1"/>
  <c r="AT27" i="1" s="1"/>
  <c r="M27" i="1" a="1"/>
  <c r="M27" i="1" s="1"/>
  <c r="N26" i="1" a="1"/>
  <c r="N26" i="1" s="1"/>
  <c r="AI26" i="1" a="1"/>
  <c r="AI26" i="1" s="1"/>
  <c r="AJ26" i="1" a="1"/>
  <c r="AJ26" i="1" s="1"/>
  <c r="AK26" i="1" a="1"/>
  <c r="AK26" i="1" s="1"/>
  <c r="J26" i="1" a="1"/>
  <c r="J26" i="1" s="1"/>
  <c r="AM26" i="1" a="1"/>
  <c r="AM26" i="1" s="1"/>
  <c r="L26" i="1" a="1"/>
  <c r="L26" i="1" s="1"/>
  <c r="K26" i="1" a="1"/>
  <c r="K26" i="1" s="1"/>
  <c r="AT26" i="1" a="1"/>
  <c r="AT26" i="1" s="1"/>
  <c r="AS26" i="1" a="1"/>
  <c r="AS26" i="1" s="1"/>
  <c r="AR26" i="1" a="1"/>
  <c r="AR26" i="1" s="1"/>
  <c r="AQ26" i="1" a="1"/>
  <c r="AQ26" i="1" s="1"/>
  <c r="AP26" i="1" a="1"/>
  <c r="AP26" i="1" s="1"/>
  <c r="AO26" i="1" a="1"/>
  <c r="AO26" i="1" s="1"/>
  <c r="AN26" i="1" a="1"/>
  <c r="AN26" i="1" s="1"/>
  <c r="AL26" i="1" a="1"/>
  <c r="AL26" i="1" s="1"/>
  <c r="M26" i="1" a="1"/>
  <c r="M26" i="1" s="1"/>
  <c r="AJ25" i="1" a="1"/>
  <c r="AJ25" i="1" s="1"/>
  <c r="AT25" i="1" a="1"/>
  <c r="AT25" i="1" s="1"/>
  <c r="L25" i="1" a="1"/>
  <c r="L25" i="1" s="1"/>
  <c r="AM25" i="1" a="1"/>
  <c r="AM25" i="1" s="1"/>
  <c r="J25" i="1" a="1"/>
  <c r="J25" i="1" s="1"/>
  <c r="K25" i="1" a="1"/>
  <c r="K25" i="1" s="1"/>
  <c r="AS25" i="1" a="1"/>
  <c r="AS25" i="1" s="1"/>
  <c r="AR25" i="1" a="1"/>
  <c r="AR25" i="1" s="1"/>
  <c r="AQ25" i="1" a="1"/>
  <c r="AQ25" i="1" s="1"/>
  <c r="AP25" i="1" a="1"/>
  <c r="AP25" i="1" s="1"/>
  <c r="AO25" i="1" a="1"/>
  <c r="AO25" i="1" s="1"/>
  <c r="AN25" i="1" a="1"/>
  <c r="AN25" i="1" s="1"/>
  <c r="AL25" i="1" a="1"/>
  <c r="AL25" i="1" s="1"/>
  <c r="AK25" i="1" a="1"/>
  <c r="AK25" i="1" s="1"/>
  <c r="AI25" i="1" a="1"/>
  <c r="AI25" i="1" s="1"/>
  <c r="N25" i="1" a="1"/>
  <c r="N25" i="1" s="1"/>
  <c r="M25" i="1" a="1"/>
  <c r="M25" i="1" s="1"/>
  <c r="AM24" i="1" a="1"/>
  <c r="AM24" i="1" s="1"/>
  <c r="AN24" i="1" a="1"/>
  <c r="AN24" i="1" s="1"/>
  <c r="AO24" i="1" a="1"/>
  <c r="AO24" i="1" s="1"/>
  <c r="AP24" i="1" a="1"/>
  <c r="AP24" i="1" s="1"/>
  <c r="AQ24" i="1" a="1"/>
  <c r="AQ24" i="1" s="1"/>
  <c r="AR24" i="1" a="1"/>
  <c r="AR24" i="1" s="1"/>
  <c r="AS24" i="1" a="1"/>
  <c r="AS24" i="1" s="1"/>
  <c r="AI24" i="1" a="1"/>
  <c r="AI24" i="1" s="1"/>
  <c r="AJ24" i="1" a="1"/>
  <c r="AJ24" i="1" s="1"/>
  <c r="AK24" i="1" a="1"/>
  <c r="AK24" i="1" s="1"/>
  <c r="N24" i="1" a="1"/>
  <c r="N24" i="1" s="1"/>
  <c r="AT24" i="1" a="1"/>
  <c r="AT24" i="1" s="1"/>
  <c r="L24" i="1" a="1"/>
  <c r="L24" i="1" s="1"/>
  <c r="M24" i="1" a="1"/>
  <c r="M24" i="1" s="1"/>
  <c r="J24" i="1" a="1"/>
  <c r="J24" i="1" s="1"/>
  <c r="K24" i="1" a="1"/>
  <c r="K24" i="1" s="1"/>
  <c r="AL24" i="1" a="1"/>
  <c r="AL24" i="1" s="1"/>
  <c r="M23" i="1" a="1"/>
  <c r="M23" i="1" s="1"/>
  <c r="AL23" i="1" a="1"/>
  <c r="AL23" i="1" s="1"/>
  <c r="AO23" i="1" a="1"/>
  <c r="AO23" i="1" s="1"/>
  <c r="AP23" i="1" a="1"/>
  <c r="AP23" i="1" s="1"/>
  <c r="AQ23" i="1" a="1"/>
  <c r="AQ23" i="1" s="1"/>
  <c r="AR23" i="1" a="1"/>
  <c r="AR23" i="1" s="1"/>
  <c r="AS23" i="1" a="1"/>
  <c r="AS23" i="1" s="1"/>
  <c r="AT23" i="1" a="1"/>
  <c r="AT23" i="1" s="1"/>
  <c r="K23" i="1" a="1"/>
  <c r="K23" i="1" s="1"/>
  <c r="AM23" i="1" a="1"/>
  <c r="AM23" i="1" s="1"/>
  <c r="AN23" i="1" a="1"/>
  <c r="AN23" i="1" s="1"/>
  <c r="L23" i="1" a="1"/>
  <c r="L23" i="1" s="1"/>
  <c r="N23" i="1" a="1"/>
  <c r="N23" i="1" s="1"/>
  <c r="AI23" i="1" a="1"/>
  <c r="AI23" i="1" s="1"/>
  <c r="AJ23" i="1" a="1"/>
  <c r="AJ23" i="1" s="1"/>
  <c r="J23" i="1" a="1"/>
  <c r="J23" i="1" s="1"/>
  <c r="AK23" i="1" a="1"/>
  <c r="AK23" i="1" s="1"/>
  <c r="AT22" i="1" a="1"/>
  <c r="AT22" i="1" s="1"/>
  <c r="AS22" i="1" a="1"/>
  <c r="AS22" i="1" s="1"/>
  <c r="AR22" i="1" a="1"/>
  <c r="AR22" i="1" s="1"/>
  <c r="AQ22" i="1" a="1"/>
  <c r="AQ22" i="1" s="1"/>
  <c r="AP22" i="1" a="1"/>
  <c r="AP22" i="1" s="1"/>
  <c r="AO22" i="1" a="1"/>
  <c r="AO22" i="1" s="1"/>
  <c r="AN22" i="1" a="1"/>
  <c r="AN22" i="1" s="1"/>
  <c r="AM22" i="1" a="1"/>
  <c r="AM22" i="1" s="1"/>
  <c r="AL22" i="1" a="1"/>
  <c r="AL22" i="1" s="1"/>
  <c r="AK22" i="1" a="1"/>
  <c r="AK22" i="1" s="1"/>
  <c r="AJ22" i="1" a="1"/>
  <c r="AJ22" i="1" s="1"/>
  <c r="AI22" i="1" a="1"/>
  <c r="AI22" i="1" s="1"/>
  <c r="N22" i="1" a="1"/>
  <c r="N22" i="1" s="1"/>
  <c r="K22" i="1" a="1"/>
  <c r="K22" i="1" s="1"/>
  <c r="L22" i="1" a="1"/>
  <c r="L22" i="1" s="1"/>
  <c r="M22" i="1" a="1"/>
  <c r="M22" i="1" s="1"/>
  <c r="J22" i="1" a="1"/>
  <c r="J22" i="1" s="1"/>
  <c r="AT21" i="1" a="1"/>
  <c r="AT21" i="1" s="1"/>
  <c r="AI21" i="1" a="1"/>
  <c r="AI21" i="1" s="1"/>
  <c r="J21" i="1" a="1"/>
  <c r="J21" i="1" s="1"/>
  <c r="AS21" i="1" a="1"/>
  <c r="AS21" i="1" s="1"/>
  <c r="AR21" i="1" a="1"/>
  <c r="AR21" i="1" s="1"/>
  <c r="AQ21" i="1" a="1"/>
  <c r="AQ21" i="1" s="1"/>
  <c r="AP21" i="1" a="1"/>
  <c r="AP21" i="1" s="1"/>
  <c r="AO21" i="1" a="1"/>
  <c r="AO21" i="1" s="1"/>
  <c r="AN21" i="1" a="1"/>
  <c r="AN21" i="1" s="1"/>
  <c r="AM21" i="1" a="1"/>
  <c r="AM21" i="1" s="1"/>
  <c r="AL21" i="1" a="1"/>
  <c r="AL21" i="1" s="1"/>
  <c r="AK21" i="1" a="1"/>
  <c r="AK21" i="1" s="1"/>
  <c r="AJ21" i="1" a="1"/>
  <c r="AJ21" i="1" s="1"/>
  <c r="N21" i="1" a="1"/>
  <c r="N21" i="1" s="1"/>
  <c r="L21" i="1" a="1"/>
  <c r="L21" i="1" s="1"/>
  <c r="K21" i="1" a="1"/>
  <c r="K21" i="1" s="1"/>
  <c r="M21" i="1" a="1"/>
  <c r="M21" i="1" s="1"/>
  <c r="AK19" i="1" a="1"/>
  <c r="AK19" i="1" s="1"/>
  <c r="AM19" i="1" a="1"/>
  <c r="AM19" i="1" s="1"/>
  <c r="AM20" i="1" a="1"/>
  <c r="AM20" i="1" s="1"/>
  <c r="AR20" i="1" a="1"/>
  <c r="AR20" i="1" s="1"/>
  <c r="AL20" i="1" a="1"/>
  <c r="AL20" i="1" s="1"/>
  <c r="AK20" i="1" a="1"/>
  <c r="AK20" i="1" s="1"/>
  <c r="L20" i="1" a="1"/>
  <c r="L20" i="1" s="1"/>
  <c r="AO19" i="1" a="1"/>
  <c r="AO19" i="1" s="1"/>
  <c r="AI20" i="1" a="1"/>
  <c r="AI20" i="1" s="1"/>
  <c r="K20" i="1" a="1"/>
  <c r="K20" i="1" s="1"/>
  <c r="AR19" i="1" a="1"/>
  <c r="AR19" i="1" s="1"/>
  <c r="AN19" i="1" a="1"/>
  <c r="AN19" i="1" s="1"/>
  <c r="AT20" i="1" a="1"/>
  <c r="AT20" i="1" s="1"/>
  <c r="AJ19" i="1" a="1"/>
  <c r="AJ19" i="1" s="1"/>
  <c r="AL19" i="1" a="1"/>
  <c r="AL19" i="1" s="1"/>
  <c r="AS19" i="1" a="1"/>
  <c r="AS19" i="1" s="1"/>
  <c r="AO20" i="1" a="1"/>
  <c r="AO20" i="1" s="1"/>
  <c r="J19" i="1" a="1"/>
  <c r="J19" i="1" s="1"/>
  <c r="AQ19" i="1" a="1"/>
  <c r="AQ19" i="1" s="1"/>
  <c r="AQ20" i="1" a="1"/>
  <c r="AQ20" i="1" s="1"/>
  <c r="AI19" i="1" a="1"/>
  <c r="AI19" i="1" s="1"/>
  <c r="N19" i="1" a="1"/>
  <c r="N19" i="1" s="1"/>
  <c r="AT19" i="1" a="1"/>
  <c r="AT19" i="1" s="1"/>
  <c r="AJ20" i="1" a="1"/>
  <c r="AJ20" i="1" s="1"/>
  <c r="AP19" i="1" a="1"/>
  <c r="AP19" i="1" s="1"/>
  <c r="K19" i="1" a="1"/>
  <c r="K19" i="1" s="1"/>
  <c r="AP20" i="1" a="1"/>
  <c r="AP20" i="1" s="1"/>
  <c r="N20" i="1" a="1"/>
  <c r="N20" i="1" s="1"/>
  <c r="M20" i="1" a="1"/>
  <c r="M20" i="1" s="1"/>
  <c r="M19" i="1" a="1"/>
  <c r="M19" i="1" s="1"/>
  <c r="L19" i="1" a="1"/>
  <c r="L19" i="1" s="1"/>
  <c r="AN20" i="1" a="1"/>
  <c r="AN20" i="1" s="1"/>
  <c r="J20" i="1" a="1"/>
  <c r="J20" i="1" s="1"/>
  <c r="AS20" i="1" a="1"/>
  <c r="AS20" i="1" s="1"/>
  <c r="K18" i="1" a="1"/>
  <c r="K18" i="1" s="1"/>
  <c r="J18" i="1" a="1"/>
  <c r="J18" i="1" s="1"/>
  <c r="H18" i="1" a="1"/>
  <c r="H18" i="1" s="1"/>
  <c r="N18" i="1" a="1"/>
  <c r="N18" i="1" s="1"/>
  <c r="AT18" i="1" a="1"/>
  <c r="AT18" i="1" s="1"/>
  <c r="AS18" i="1" a="1"/>
  <c r="AS18" i="1" s="1"/>
  <c r="AR18" i="1" a="1"/>
  <c r="AR18" i="1" s="1"/>
  <c r="AQ18" i="1" a="1"/>
  <c r="AQ18" i="1" s="1"/>
  <c r="AP18" i="1" a="1"/>
  <c r="AP18" i="1" s="1"/>
  <c r="AO18" i="1" a="1"/>
  <c r="AO18" i="1" s="1"/>
  <c r="AN18" i="1" a="1"/>
  <c r="AN18" i="1" s="1"/>
  <c r="AM18" i="1" a="1"/>
  <c r="AM18" i="1" s="1"/>
  <c r="AL18" i="1" a="1"/>
  <c r="AL18" i="1" s="1"/>
  <c r="AK18" i="1" a="1"/>
  <c r="AK18" i="1" s="1"/>
  <c r="AJ18" i="1" a="1"/>
  <c r="AJ18" i="1" s="1"/>
  <c r="AI18" i="1" a="1"/>
  <c r="AI18" i="1" s="1"/>
  <c r="L18" i="1" a="1"/>
  <c r="L18" i="1" s="1"/>
  <c r="I18" i="1" a="1"/>
  <c r="I18" i="1" s="1"/>
  <c r="M18" i="1" a="1"/>
  <c r="M18" i="1" s="1"/>
  <c r="AZ16" i="8"/>
  <c r="AY16" i="8"/>
  <c r="AX16" i="8"/>
  <c r="AV16" i="8"/>
  <c r="AZ15" i="8"/>
  <c r="AY15" i="8"/>
  <c r="AX15" i="8"/>
  <c r="AV15" i="8"/>
  <c r="AZ14" i="8"/>
  <c r="AY14" i="8"/>
  <c r="AX14" i="8"/>
  <c r="AW14" i="8"/>
  <c r="AV14" i="8"/>
  <c r="AW12" i="8"/>
  <c r="AR10" i="8"/>
  <c r="AQ10" i="8"/>
  <c r="AO5" i="8" s="1"/>
  <c r="AO4" i="8"/>
  <c r="AO3" i="8"/>
  <c r="AT1" i="8"/>
  <c r="P49" i="1" l="1"/>
  <c r="O49" i="1"/>
  <c r="Q49" i="1"/>
  <c r="P48" i="1"/>
  <c r="O48" i="1"/>
  <c r="Q48" i="1"/>
  <c r="O47" i="1"/>
  <c r="Q47" i="1"/>
  <c r="P47" i="1"/>
  <c r="Q46" i="1"/>
  <c r="P46" i="1"/>
  <c r="O46" i="1"/>
  <c r="P45" i="1"/>
  <c r="O45" i="1"/>
  <c r="Q45" i="1"/>
  <c r="P44" i="1"/>
  <c r="Q44" i="1"/>
  <c r="O44" i="1"/>
  <c r="O43" i="1"/>
  <c r="Q43" i="1"/>
  <c r="P43" i="1"/>
  <c r="Q42" i="1"/>
  <c r="P42" i="1"/>
  <c r="O42" i="1"/>
  <c r="Q41" i="1"/>
  <c r="P41" i="1"/>
  <c r="O41" i="1"/>
  <c r="P40" i="1"/>
  <c r="O40" i="1"/>
  <c r="Q40" i="1"/>
  <c r="P39" i="1"/>
  <c r="Q39" i="1"/>
  <c r="O39" i="1"/>
  <c r="P38" i="1"/>
  <c r="O38" i="1"/>
  <c r="Q38" i="1"/>
  <c r="P37" i="1"/>
  <c r="Q37" i="1"/>
  <c r="O37" i="1"/>
  <c r="Q36" i="1"/>
  <c r="P36" i="1"/>
  <c r="O36" i="1"/>
  <c r="Q35" i="1"/>
  <c r="O35" i="1"/>
  <c r="P35" i="1"/>
  <c r="Q34" i="1"/>
  <c r="P34" i="1"/>
  <c r="O34" i="1"/>
  <c r="O33" i="1"/>
  <c r="Q33" i="1"/>
  <c r="P33" i="1"/>
  <c r="P32" i="1"/>
  <c r="O32" i="1"/>
  <c r="Q32" i="1"/>
  <c r="P31" i="1"/>
  <c r="O31" i="1"/>
  <c r="Q31" i="1"/>
  <c r="P30" i="1"/>
  <c r="O30" i="1"/>
  <c r="Q30" i="1"/>
  <c r="P29" i="1"/>
  <c r="O29" i="1"/>
  <c r="Q29" i="1"/>
  <c r="O28" i="1"/>
  <c r="P28" i="1"/>
  <c r="Q28" i="1"/>
  <c r="P27" i="1"/>
  <c r="O27" i="1"/>
  <c r="Q27" i="1"/>
  <c r="Q26" i="1"/>
  <c r="O26" i="1"/>
  <c r="P26" i="1"/>
  <c r="P24" i="1"/>
  <c r="O24" i="1"/>
  <c r="P25" i="1"/>
  <c r="O25" i="1"/>
  <c r="Q25" i="1"/>
  <c r="Q24" i="1"/>
  <c r="P23" i="1"/>
  <c r="Q23" i="1"/>
  <c r="O23" i="1"/>
  <c r="P22" i="1"/>
  <c r="Q22" i="1"/>
  <c r="O22" i="1"/>
  <c r="P21" i="1"/>
  <c r="Q21" i="1"/>
  <c r="O21" i="1"/>
  <c r="P19" i="1"/>
  <c r="O19" i="1"/>
  <c r="Q19" i="1"/>
  <c r="Q20" i="1"/>
  <c r="P20" i="1"/>
  <c r="O20" i="1"/>
  <c r="P18" i="1"/>
  <c r="O18" i="1"/>
  <c r="Q18" i="1"/>
  <c r="AL29" i="8"/>
  <c r="AM17" i="8"/>
  <c r="BB17" i="8" s="1"/>
  <c r="AM35" i="8"/>
  <c r="BB35" i="8" s="1"/>
  <c r="AL17" i="8"/>
  <c r="AL35" i="8"/>
  <c r="AM26" i="8"/>
  <c r="BB26" i="8" s="1"/>
  <c r="AM22" i="8"/>
  <c r="BB22" i="8" s="1"/>
  <c r="AM19" i="8"/>
  <c r="BB19" i="8" s="1"/>
  <c r="AM31" i="8"/>
  <c r="BB31" i="8" s="1"/>
  <c r="AL26" i="8"/>
  <c r="AL22" i="8"/>
  <c r="AL19" i="8"/>
  <c r="AL20" i="8"/>
  <c r="AM39" i="8"/>
  <c r="BB39" i="8" s="1"/>
  <c r="AL32" i="8"/>
  <c r="AM29" i="8"/>
  <c r="BB29" i="8" s="1"/>
  <c r="AM25" i="8"/>
  <c r="BB25" i="8" s="1"/>
  <c r="AL39" i="8"/>
  <c r="AL25" i="8"/>
  <c r="AM38" i="8"/>
  <c r="BB38" i="8" s="1"/>
  <c r="AL31" i="8"/>
  <c r="AM28" i="8"/>
  <c r="BB28" i="8" s="1"/>
  <c r="AM24" i="8"/>
  <c r="BB24" i="8" s="1"/>
  <c r="AM21" i="8"/>
  <c r="BB21" i="8" s="1"/>
  <c r="AM30" i="8"/>
  <c r="BB30" i="8" s="1"/>
  <c r="AL38" i="8"/>
  <c r="AM33" i="8"/>
  <c r="BB33" i="8" s="1"/>
  <c r="AL28" i="8"/>
  <c r="AL24" i="8"/>
  <c r="AL21" i="8"/>
  <c r="AM40" i="8"/>
  <c r="BB40" i="8" s="1"/>
  <c r="AL33" i="8"/>
  <c r="AM36" i="8"/>
  <c r="BB36" i="8" s="1"/>
  <c r="AL36" i="8"/>
  <c r="AM20" i="8"/>
  <c r="BB20" i="8" s="1"/>
  <c r="AL37" i="8"/>
  <c r="AM32" i="8"/>
  <c r="BB32" i="8" s="1"/>
  <c r="AL27" i="8"/>
  <c r="AL23" i="8"/>
  <c r="AL40" i="8"/>
  <c r="AM37" i="8"/>
  <c r="BB37" i="8" s="1"/>
  <c r="AM34" i="8"/>
  <c r="BB34" i="8" s="1"/>
  <c r="AM18" i="8"/>
  <c r="BB18" i="8" s="1"/>
  <c r="AL18" i="8"/>
  <c r="AL30" i="8"/>
  <c r="AM27" i="8"/>
  <c r="BB27" i="8" s="1"/>
  <c r="AM23" i="8"/>
  <c r="BB23" i="8" s="1"/>
  <c r="AL34" i="8"/>
  <c r="F11" i="1" a="1"/>
  <c r="F11" i="1" s="1"/>
  <c r="Y49" i="1" s="1"/>
  <c r="E11" i="1" a="1"/>
  <c r="E11" i="1" s="1"/>
  <c r="D11" i="1" a="1"/>
  <c r="D11" i="1" s="1"/>
  <c r="C11" i="1" a="1"/>
  <c r="C11" i="1" s="1"/>
  <c r="G11" i="1" a="1"/>
  <c r="G11" i="1" s="1"/>
  <c r="Z49" i="1" s="1"/>
  <c r="AM16" i="8"/>
  <c r="BB16" i="8" s="1"/>
  <c r="AL16" i="8"/>
  <c r="AL15" i="8"/>
  <c r="AM15" i="8"/>
  <c r="BB15" i="8" s="1"/>
  <c r="AL14" i="8"/>
  <c r="AM14" i="8"/>
  <c r="BB14" i="8" s="1"/>
  <c r="Z47" i="1" l="1"/>
  <c r="Z48" i="1"/>
  <c r="Y47" i="1"/>
  <c r="Y48" i="1"/>
  <c r="Z45" i="1"/>
  <c r="Z46" i="1"/>
  <c r="Y45" i="1"/>
  <c r="Y46" i="1"/>
  <c r="Z43" i="1"/>
  <c r="Z44" i="1"/>
  <c r="Y43" i="1"/>
  <c r="Y44" i="1"/>
  <c r="Z41" i="1"/>
  <c r="Z42" i="1"/>
  <c r="Y41" i="1"/>
  <c r="Y42" i="1"/>
  <c r="Y39" i="1"/>
  <c r="Y40" i="1"/>
  <c r="Z39" i="1"/>
  <c r="Z40" i="1"/>
  <c r="Z38" i="1"/>
  <c r="Y38" i="1"/>
  <c r="Z37" i="1"/>
  <c r="Y37" i="1"/>
  <c r="Y35" i="1"/>
  <c r="Y36" i="1"/>
  <c r="Z35" i="1"/>
  <c r="Z36" i="1"/>
  <c r="Y33" i="1"/>
  <c r="Y34" i="1"/>
  <c r="Z33" i="1"/>
  <c r="Z34" i="1"/>
  <c r="Y31" i="1"/>
  <c r="Y32" i="1"/>
  <c r="Z31" i="1"/>
  <c r="Z32" i="1"/>
  <c r="Z29" i="1"/>
  <c r="Z30" i="1"/>
  <c r="Y29" i="1"/>
  <c r="Y30" i="1"/>
  <c r="Z27" i="1"/>
  <c r="Z28" i="1"/>
  <c r="Y27" i="1"/>
  <c r="Y28" i="1"/>
  <c r="Z25" i="1"/>
  <c r="Z26" i="1"/>
  <c r="Y25" i="1"/>
  <c r="Y26" i="1"/>
  <c r="Z23" i="1"/>
  <c r="Z24" i="1"/>
  <c r="Y23" i="1"/>
  <c r="Y24" i="1"/>
  <c r="Y21" i="1"/>
  <c r="Y22" i="1"/>
  <c r="Z21" i="1"/>
  <c r="Z22" i="1"/>
  <c r="Y18" i="1"/>
  <c r="Y20" i="1"/>
  <c r="Y19" i="1"/>
  <c r="Z18" i="1"/>
  <c r="Z19" i="1"/>
  <c r="Z20" i="1"/>
  <c r="BA32" i="8"/>
  <c r="AO32" i="8"/>
  <c r="AN32" i="8" s="1"/>
  <c r="BC32" i="8" s="1"/>
  <c r="BA33" i="8"/>
  <c r="AO33" i="8"/>
  <c r="AN33" i="8" s="1"/>
  <c r="BC33" i="8" s="1"/>
  <c r="BA30" i="8"/>
  <c r="AO30" i="8"/>
  <c r="AN30" i="8" s="1"/>
  <c r="BC30" i="8" s="1"/>
  <c r="BA20" i="8"/>
  <c r="AO20" i="8"/>
  <c r="AN20" i="8" s="1"/>
  <c r="BC20" i="8" s="1"/>
  <c r="AO19" i="8"/>
  <c r="BA19" i="8"/>
  <c r="AN19" i="8"/>
  <c r="BC19" i="8" s="1"/>
  <c r="BA22" i="8"/>
  <c r="AO22" i="8"/>
  <c r="AN22" i="8" s="1"/>
  <c r="BC22" i="8" s="1"/>
  <c r="BA38" i="8"/>
  <c r="AO38" i="8"/>
  <c r="AN38" i="8" s="1"/>
  <c r="BC38" i="8" s="1"/>
  <c r="BA26" i="8"/>
  <c r="AO26" i="8"/>
  <c r="AN26" i="8" s="1"/>
  <c r="BC26" i="8" s="1"/>
  <c r="BA24" i="8"/>
  <c r="AO24" i="8"/>
  <c r="AN24" i="8" s="1"/>
  <c r="BC24" i="8" s="1"/>
  <c r="AO18" i="8"/>
  <c r="AN18" i="8" s="1"/>
  <c r="BC18" i="8" s="1"/>
  <c r="BA18" i="8"/>
  <c r="BA40" i="8"/>
  <c r="AO40" i="8"/>
  <c r="AN40" i="8" s="1"/>
  <c r="BC40" i="8" s="1"/>
  <c r="BA23" i="8"/>
  <c r="AO23" i="8"/>
  <c r="AN23" i="8" s="1"/>
  <c r="BC23" i="8" s="1"/>
  <c r="BA27" i="8"/>
  <c r="AO27" i="8"/>
  <c r="AN27" i="8" s="1"/>
  <c r="BC27" i="8" s="1"/>
  <c r="BA34" i="8"/>
  <c r="AO34" i="8"/>
  <c r="AN34" i="8" s="1"/>
  <c r="BC34" i="8" s="1"/>
  <c r="BA28" i="8"/>
  <c r="AO28" i="8"/>
  <c r="AN28" i="8" s="1"/>
  <c r="BC28" i="8" s="1"/>
  <c r="BA31" i="8"/>
  <c r="AO31" i="8"/>
  <c r="AN31" i="8" s="1"/>
  <c r="BC31" i="8" s="1"/>
  <c r="BA35" i="8"/>
  <c r="AO35" i="8"/>
  <c r="AN35" i="8" s="1"/>
  <c r="BC35" i="8" s="1"/>
  <c r="BA37" i="8"/>
  <c r="AO37" i="8"/>
  <c r="AN37" i="8" s="1"/>
  <c r="BC37" i="8" s="1"/>
  <c r="BA17" i="8"/>
  <c r="AO17" i="8"/>
  <c r="AN17" i="8" s="1"/>
  <c r="BC17" i="8" s="1"/>
  <c r="AO25" i="8"/>
  <c r="AN25" i="8" s="1"/>
  <c r="BC25" i="8" s="1"/>
  <c r="BA25" i="8"/>
  <c r="BA36" i="8"/>
  <c r="AO36" i="8"/>
  <c r="AN36" i="8" s="1"/>
  <c r="BC36" i="8" s="1"/>
  <c r="BA39" i="8"/>
  <c r="AO39" i="8"/>
  <c r="AN39" i="8" s="1"/>
  <c r="BC39" i="8" s="1"/>
  <c r="BA21" i="8"/>
  <c r="AO21" i="8"/>
  <c r="AN21" i="8" s="1"/>
  <c r="BC21" i="8" s="1"/>
  <c r="BA29" i="8"/>
  <c r="AO29" i="8"/>
  <c r="AN29" i="8" s="1"/>
  <c r="BC29" i="8" s="1"/>
  <c r="Z15" i="1"/>
  <c r="Z17" i="1"/>
  <c r="Y15" i="1"/>
  <c r="Y17" i="1"/>
  <c r="Y13" i="1"/>
  <c r="Y14" i="1"/>
  <c r="Z13" i="1"/>
  <c r="Z14" i="1"/>
  <c r="AO16" i="8"/>
  <c r="AN16" i="8" s="1"/>
  <c r="BC16" i="8" s="1"/>
  <c r="BA16" i="8"/>
  <c r="AO14" i="8"/>
  <c r="BA14" i="8"/>
  <c r="BA15" i="8"/>
  <c r="AO15" i="8"/>
  <c r="AN15" i="8" s="1"/>
  <c r="BC15" i="8" s="1"/>
  <c r="I12" i="1" l="1" a="1"/>
  <c r="I12" i="1" s="1"/>
  <c r="I13" i="1" a="1"/>
  <c r="I13" i="1" s="1"/>
  <c r="H12" i="1" a="1"/>
  <c r="H12" i="1" s="1"/>
  <c r="AA12" i="1" s="1"/>
  <c r="I16" i="1" a="1"/>
  <c r="I16" i="1" s="1"/>
  <c r="I15" i="1" a="1"/>
  <c r="I15" i="1" s="1"/>
  <c r="I17" i="1" a="1"/>
  <c r="I17" i="1" s="1"/>
  <c r="H14" i="1" a="1"/>
  <c r="H14" i="1" s="1"/>
  <c r="H16" i="1" a="1"/>
  <c r="H16" i="1" s="1"/>
  <c r="AA16" i="1" s="1"/>
  <c r="I14" i="1" a="1"/>
  <c r="I14" i="1" s="1"/>
  <c r="AB49" i="1" s="1"/>
  <c r="H15" i="1" a="1"/>
  <c r="H15" i="1" s="1"/>
  <c r="H17" i="1" a="1"/>
  <c r="H17" i="1" s="1"/>
  <c r="H13" i="1" a="1"/>
  <c r="H13" i="1" s="1"/>
  <c r="I11" i="1" a="1"/>
  <c r="I11" i="1" s="1"/>
  <c r="H11" i="1" a="1"/>
  <c r="H11" i="1" s="1"/>
  <c r="AA49" i="1" s="1"/>
  <c r="H49" i="3" s="1"/>
  <c r="AN14" i="8"/>
  <c r="AA47" i="1" l="1"/>
  <c r="H47" i="3" s="1"/>
  <c r="AA48" i="1"/>
  <c r="H48" i="3" s="1"/>
  <c r="AB47" i="1"/>
  <c r="AB48" i="1"/>
  <c r="AA45" i="1"/>
  <c r="H45" i="3" s="1"/>
  <c r="AA46" i="1"/>
  <c r="H46" i="3" s="1"/>
  <c r="AB45" i="1"/>
  <c r="AB46" i="1"/>
  <c r="AA43" i="1"/>
  <c r="H43" i="3" s="1"/>
  <c r="AA44" i="1"/>
  <c r="H44" i="3" s="1"/>
  <c r="AB43" i="1"/>
  <c r="AB44" i="1"/>
  <c r="AA41" i="1"/>
  <c r="H41" i="3" s="1"/>
  <c r="AA42" i="1"/>
  <c r="H42" i="3" s="1"/>
  <c r="AB41" i="1"/>
  <c r="AB42" i="1"/>
  <c r="AA39" i="1"/>
  <c r="H39" i="3" s="1"/>
  <c r="AA40" i="1"/>
  <c r="H40" i="3" s="1"/>
  <c r="AB39" i="1"/>
  <c r="AB40" i="1"/>
  <c r="AA38" i="1"/>
  <c r="H38" i="3" s="1"/>
  <c r="AB38" i="1"/>
  <c r="AA37" i="1"/>
  <c r="H37" i="3" s="1"/>
  <c r="AB37" i="1"/>
  <c r="AA35" i="1"/>
  <c r="H35" i="3" s="1"/>
  <c r="AA36" i="1"/>
  <c r="H36" i="3" s="1"/>
  <c r="AB35" i="1"/>
  <c r="AB36" i="1"/>
  <c r="AA33" i="1"/>
  <c r="H33" i="3" s="1"/>
  <c r="AA34" i="1"/>
  <c r="H34" i="3" s="1"/>
  <c r="AB33" i="1"/>
  <c r="AB34" i="1"/>
  <c r="AA31" i="1"/>
  <c r="H31" i="3" s="1"/>
  <c r="AA32" i="1"/>
  <c r="H32" i="3" s="1"/>
  <c r="AB31" i="1"/>
  <c r="AB32" i="1"/>
  <c r="AA29" i="1"/>
  <c r="H29" i="3" s="1"/>
  <c r="AA30" i="1"/>
  <c r="H30" i="3" s="1"/>
  <c r="AB29" i="1"/>
  <c r="AB30" i="1"/>
  <c r="AA27" i="1"/>
  <c r="H27" i="3" s="1"/>
  <c r="AA28" i="1"/>
  <c r="H28" i="3" s="1"/>
  <c r="AB27" i="1"/>
  <c r="AB28" i="1"/>
  <c r="AA25" i="1"/>
  <c r="H25" i="3" s="1"/>
  <c r="AA26" i="1"/>
  <c r="H26" i="3" s="1"/>
  <c r="AB25" i="1"/>
  <c r="AB26" i="1"/>
  <c r="AB23" i="1"/>
  <c r="AB24" i="1"/>
  <c r="AA23" i="1"/>
  <c r="H23" i="3" s="1"/>
  <c r="AA24" i="1"/>
  <c r="H24" i="3" s="1"/>
  <c r="AA21" i="1"/>
  <c r="H21" i="3" s="1"/>
  <c r="AA22" i="1"/>
  <c r="H22" i="3" s="1"/>
  <c r="AB21" i="1"/>
  <c r="AB22" i="1"/>
  <c r="AA18" i="1"/>
  <c r="H18" i="3" s="1"/>
  <c r="AA20" i="1"/>
  <c r="H20" i="3" s="1"/>
  <c r="AA19" i="1"/>
  <c r="H19" i="3" s="1"/>
  <c r="AB18" i="1"/>
  <c r="AB20" i="1"/>
  <c r="AB19" i="1"/>
  <c r="AB15" i="1"/>
  <c r="AB16" i="1"/>
  <c r="AB17" i="1"/>
  <c r="AA15" i="1"/>
  <c r="H15" i="3" s="1"/>
  <c r="AA17" i="1"/>
  <c r="H17" i="3" s="1"/>
  <c r="AA13" i="1"/>
  <c r="H13" i="3" s="1"/>
  <c r="AA14" i="1"/>
  <c r="H14" i="3" s="1"/>
  <c r="BC14" i="8"/>
  <c r="AM17" i="1" l="1" a="1"/>
  <c r="AM17" i="1" s="1"/>
  <c r="M13" i="1" a="1"/>
  <c r="M13" i="1" s="1"/>
  <c r="L15" i="1" a="1"/>
  <c r="L15" i="1" s="1"/>
  <c r="AQ12" i="1" a="1"/>
  <c r="AQ12" i="1" s="1"/>
  <c r="BD12" i="1" s="1"/>
  <c r="AS15" i="1" a="1"/>
  <c r="AS15" i="1" s="1"/>
  <c r="AK15" i="1" a="1"/>
  <c r="AK15" i="1" s="1"/>
  <c r="AN17" i="1" a="1"/>
  <c r="AN17" i="1" s="1"/>
  <c r="AI12" i="1" a="1"/>
  <c r="AI12" i="1" s="1"/>
  <c r="M14" i="1" a="1"/>
  <c r="M14" i="1" s="1"/>
  <c r="AL16" i="1" a="1"/>
  <c r="AL16" i="1" s="1"/>
  <c r="AY16" i="1" s="1"/>
  <c r="AS14" i="1" a="1"/>
  <c r="AS14" i="1" s="1"/>
  <c r="AM14" i="1" a="1"/>
  <c r="AM14" i="1" s="1"/>
  <c r="AO17" i="1" a="1"/>
  <c r="AO17" i="1" s="1"/>
  <c r="J17" i="1" a="1"/>
  <c r="J17" i="1" s="1"/>
  <c r="AJ13" i="1" a="1"/>
  <c r="AJ13" i="1" s="1"/>
  <c r="AS13" i="1" a="1"/>
  <c r="AS13" i="1" s="1"/>
  <c r="J15" i="1" a="1"/>
  <c r="J15" i="1" s="1"/>
  <c r="AO12" i="1" a="1"/>
  <c r="AO12" i="1" s="1"/>
  <c r="BB12" i="1" s="1"/>
  <c r="AP17" i="1" a="1"/>
  <c r="AP17" i="1" s="1"/>
  <c r="K13" i="1" a="1"/>
  <c r="K13" i="1" s="1"/>
  <c r="J12" i="1" a="1"/>
  <c r="J12" i="1" s="1"/>
  <c r="AR14" i="1" a="1"/>
  <c r="AR14" i="1" s="1"/>
  <c r="K16" i="1" a="1"/>
  <c r="K16" i="1" s="1"/>
  <c r="M12" i="1" a="1"/>
  <c r="M12" i="1" s="1"/>
  <c r="AP14" i="1" a="1"/>
  <c r="AP14" i="1" s="1"/>
  <c r="BC49" i="1" s="1"/>
  <c r="J49" i="3" s="1"/>
  <c r="AN15" i="1" a="1"/>
  <c r="AN15" i="1" s="1"/>
  <c r="AL12" i="1" a="1"/>
  <c r="AL12" i="1" s="1"/>
  <c r="AQ17" i="1" a="1"/>
  <c r="AQ17" i="1" s="1"/>
  <c r="AI17" i="1" a="1"/>
  <c r="AI17" i="1" s="1"/>
  <c r="AM12" i="1" a="1"/>
  <c r="AM12" i="1" s="1"/>
  <c r="AP13" i="1" a="1"/>
  <c r="AP13" i="1" s="1"/>
  <c r="L13" i="1" a="1"/>
  <c r="L13" i="1" s="1"/>
  <c r="AJ12" i="1" a="1"/>
  <c r="AJ12" i="1" s="1"/>
  <c r="AR17" i="1" a="1"/>
  <c r="AR17" i="1" s="1"/>
  <c r="AT16" i="1" a="1"/>
  <c r="AT16" i="1" s="1"/>
  <c r="BG16" i="1" s="1"/>
  <c r="AP12" i="1" a="1"/>
  <c r="AP12" i="1" s="1"/>
  <c r="BC12" i="1" s="1"/>
  <c r="AR12" i="1" a="1"/>
  <c r="AR12" i="1" s="1"/>
  <c r="AR15" i="1" a="1"/>
  <c r="AR15" i="1" s="1"/>
  <c r="AS17" i="1" a="1"/>
  <c r="AS17" i="1" s="1"/>
  <c r="AP15" i="1" a="1"/>
  <c r="AP15" i="1" s="1"/>
  <c r="AO16" i="1" a="1"/>
  <c r="AO16" i="1" s="1"/>
  <c r="AK16" i="1" a="1"/>
  <c r="AK16" i="1" s="1"/>
  <c r="AQ14" i="1" a="1"/>
  <c r="AQ14" i="1" s="1"/>
  <c r="BD49" i="1" s="1"/>
  <c r="AT17" i="1" a="1"/>
  <c r="AT17" i="1" s="1"/>
  <c r="AJ17" i="1" a="1"/>
  <c r="AJ17" i="1" s="1"/>
  <c r="K12" i="1" a="1"/>
  <c r="K12" i="1" s="1"/>
  <c r="AP16" i="1" a="1"/>
  <c r="AP16" i="1" s="1"/>
  <c r="BC16" i="1" s="1"/>
  <c r="J16" i="3" s="1"/>
  <c r="AQ15" i="1" a="1"/>
  <c r="AQ15" i="1" s="1"/>
  <c r="AN12" i="1" a="1"/>
  <c r="AN12" i="1" s="1"/>
  <c r="K17" i="1" a="1"/>
  <c r="K17" i="1" s="1"/>
  <c r="L17" i="1" a="1"/>
  <c r="L17" i="1" s="1"/>
  <c r="N12" i="1" a="1"/>
  <c r="N12" i="1" s="1"/>
  <c r="AO15" i="1" a="1"/>
  <c r="AO15" i="1" s="1"/>
  <c r="K14" i="1" a="1"/>
  <c r="K14" i="1" s="1"/>
  <c r="AD49" i="1" s="1"/>
  <c r="K49" i="3" s="1"/>
  <c r="AM16" i="1" a="1"/>
  <c r="AM16" i="1" s="1"/>
  <c r="AZ16" i="1" s="1"/>
  <c r="AJ15" i="1" a="1"/>
  <c r="AJ15" i="1" s="1"/>
  <c r="AL14" i="1" a="1"/>
  <c r="AL14" i="1" s="1"/>
  <c r="N13" i="1" a="1"/>
  <c r="N13" i="1" s="1"/>
  <c r="AQ16" i="1" a="1"/>
  <c r="AQ16" i="1" s="1"/>
  <c r="BD16" i="1" s="1"/>
  <c r="AR13" i="1" a="1"/>
  <c r="AR13" i="1" s="1"/>
  <c r="AK12" i="1" a="1"/>
  <c r="AK12" i="1" s="1"/>
  <c r="AO13" i="1" a="1"/>
  <c r="AO13" i="1" s="1"/>
  <c r="AM15" i="1" a="1"/>
  <c r="AM15" i="1" s="1"/>
  <c r="AK13" i="1" a="1"/>
  <c r="AK13" i="1" s="1"/>
  <c r="AS16" i="1" a="1"/>
  <c r="AS16" i="1" s="1"/>
  <c r="BF16" i="1" s="1"/>
  <c r="L16" i="1" a="1"/>
  <c r="L16" i="1" s="1"/>
  <c r="AL13" i="1" a="1"/>
  <c r="AL13" i="1" s="1"/>
  <c r="AO14" i="1" a="1"/>
  <c r="AO14" i="1" s="1"/>
  <c r="BB49" i="1" s="1"/>
  <c r="I49" i="3" s="1"/>
  <c r="AI13" i="1" a="1"/>
  <c r="AI13" i="1" s="1"/>
  <c r="AK17" i="1" a="1"/>
  <c r="AK17" i="1" s="1"/>
  <c r="M17" i="1" a="1"/>
  <c r="M17" i="1" s="1"/>
  <c r="M15" i="1" a="1"/>
  <c r="M15" i="1" s="1"/>
  <c r="K15" i="1" a="1"/>
  <c r="K15" i="1" s="1"/>
  <c r="AJ16" i="1" a="1"/>
  <c r="AJ16" i="1" s="1"/>
  <c r="AT14" i="1" a="1"/>
  <c r="AT14" i="1" s="1"/>
  <c r="J16" i="1" a="1"/>
  <c r="J16" i="1" s="1"/>
  <c r="AC16" i="1" s="1"/>
  <c r="AI15" i="1" a="1"/>
  <c r="AI15" i="1" s="1"/>
  <c r="AL17" i="1" a="1"/>
  <c r="AL17" i="1" s="1"/>
  <c r="N14" i="1" a="1"/>
  <c r="N14" i="1" s="1"/>
  <c r="L14" i="1" a="1"/>
  <c r="L14" i="1" s="1"/>
  <c r="AT15" i="1" a="1"/>
  <c r="AT15" i="1" s="1"/>
  <c r="AN16" i="1" a="1"/>
  <c r="AN16" i="1" s="1"/>
  <c r="BA16" i="1" s="1"/>
  <c r="AN14" i="1" a="1"/>
  <c r="AN14" i="1" s="1"/>
  <c r="M16" i="1" a="1"/>
  <c r="M16" i="1" s="1"/>
  <c r="AF16" i="1" s="1"/>
  <c r="AT13" i="1" a="1"/>
  <c r="AT13" i="1" s="1"/>
  <c r="AQ13" i="1" a="1"/>
  <c r="AQ13" i="1" s="1"/>
  <c r="J14" i="1" a="1"/>
  <c r="J14" i="1" s="1"/>
  <c r="AC49" i="1" s="1"/>
  <c r="AL15" i="1" a="1"/>
  <c r="AL15" i="1" s="1"/>
  <c r="AK14" i="1" a="1"/>
  <c r="AK14" i="1" s="1"/>
  <c r="N15" i="1" a="1"/>
  <c r="N15" i="1" s="1"/>
  <c r="AM13" i="1" a="1"/>
  <c r="AM13" i="1" s="1"/>
  <c r="AT12" i="1" a="1"/>
  <c r="AT12" i="1" s="1"/>
  <c r="AN13" i="1" a="1"/>
  <c r="AN13" i="1" s="1"/>
  <c r="J13" i="1" a="1"/>
  <c r="J13" i="1" s="1"/>
  <c r="N16" i="1" a="1"/>
  <c r="N16" i="1" s="1"/>
  <c r="AG16" i="1" s="1"/>
  <c r="L12" i="1" a="1"/>
  <c r="L12" i="1" s="1"/>
  <c r="AI14" i="1" a="1"/>
  <c r="AI14" i="1" s="1"/>
  <c r="N17" i="1" a="1"/>
  <c r="N17" i="1" s="1"/>
  <c r="AJ14" i="1" a="1"/>
  <c r="AJ14" i="1" s="1"/>
  <c r="AR16" i="1" a="1"/>
  <c r="AR16" i="1" s="1"/>
  <c r="BE16" i="1" s="1"/>
  <c r="AS12" i="1" a="1"/>
  <c r="AS12" i="1" s="1"/>
  <c r="AI16" i="1" a="1"/>
  <c r="AI16" i="1" s="1"/>
  <c r="L11" i="1" a="1"/>
  <c r="L11" i="1" s="1"/>
  <c r="M11" i="1" a="1"/>
  <c r="M11" i="1" s="1"/>
  <c r="J11" i="1" a="1"/>
  <c r="J11" i="1" s="1"/>
  <c r="N11" i="1" a="1"/>
  <c r="N11" i="1" s="1"/>
  <c r="K11" i="1" a="1"/>
  <c r="K11" i="1" s="1"/>
  <c r="AT11" i="1" a="1"/>
  <c r="AT11" i="1" s="1"/>
  <c r="AS11" i="1" a="1"/>
  <c r="AS11" i="1" s="1"/>
  <c r="AR11" i="1" a="1"/>
  <c r="AR11" i="1" s="1"/>
  <c r="AQ11" i="1" a="1"/>
  <c r="AQ11" i="1" s="1"/>
  <c r="AP11" i="1" a="1"/>
  <c r="AP11" i="1" s="1"/>
  <c r="AO11" i="1" a="1"/>
  <c r="AO11" i="1" s="1"/>
  <c r="AN11" i="1" a="1"/>
  <c r="AN11" i="1" s="1"/>
  <c r="BA49" i="1" s="1"/>
  <c r="AM11" i="1" a="1"/>
  <c r="AM11" i="1" s="1"/>
  <c r="AZ49" i="1" s="1"/>
  <c r="G49" i="3" s="1"/>
  <c r="AL11" i="1" a="1"/>
  <c r="AL11" i="1" s="1"/>
  <c r="AY49" i="1" s="1"/>
  <c r="F49" i="3" s="1"/>
  <c r="AK11" i="1" a="1"/>
  <c r="AK11" i="1" s="1"/>
  <c r="AJ11" i="1" a="1"/>
  <c r="AJ11" i="1" s="1"/>
  <c r="AI11" i="1" a="1"/>
  <c r="AI11" i="1" s="1"/>
  <c r="AY47" i="1" l="1"/>
  <c r="F47" i="3" s="1"/>
  <c r="AY48" i="1"/>
  <c r="F48" i="3" s="1"/>
  <c r="AZ47" i="1"/>
  <c r="G47" i="3" s="1"/>
  <c r="AZ48" i="1"/>
  <c r="G48" i="3" s="1"/>
  <c r="BA47" i="1"/>
  <c r="BA48" i="1"/>
  <c r="AC47" i="1"/>
  <c r="AC48" i="1"/>
  <c r="BB47" i="1"/>
  <c r="I47" i="3" s="1"/>
  <c r="BB48" i="1"/>
  <c r="I48" i="3" s="1"/>
  <c r="AD47" i="1"/>
  <c r="K47" i="3" s="1"/>
  <c r="AD48" i="1"/>
  <c r="K48" i="3" s="1"/>
  <c r="BD47" i="1"/>
  <c r="BD48" i="1"/>
  <c r="BC47" i="1"/>
  <c r="J47" i="3" s="1"/>
  <c r="BC48" i="1"/>
  <c r="J48" i="3" s="1"/>
  <c r="BD45" i="1"/>
  <c r="BD46" i="1"/>
  <c r="BC45" i="1"/>
  <c r="J45" i="3" s="1"/>
  <c r="BC46" i="1"/>
  <c r="J46" i="3" s="1"/>
  <c r="AC45" i="1"/>
  <c r="AC46" i="1"/>
  <c r="AD45" i="1"/>
  <c r="K45" i="3" s="1"/>
  <c r="AD46" i="1"/>
  <c r="K46" i="3" s="1"/>
  <c r="AY45" i="1"/>
  <c r="F45" i="3" s="1"/>
  <c r="AY46" i="1"/>
  <c r="F46" i="3" s="1"/>
  <c r="BB45" i="1"/>
  <c r="I45" i="3" s="1"/>
  <c r="BB46" i="1"/>
  <c r="I46" i="3" s="1"/>
  <c r="AZ45" i="1"/>
  <c r="G45" i="3" s="1"/>
  <c r="AZ46" i="1"/>
  <c r="G46" i="3" s="1"/>
  <c r="BA45" i="1"/>
  <c r="BA46" i="1"/>
  <c r="AY43" i="1"/>
  <c r="F43" i="3" s="1"/>
  <c r="AY44" i="1"/>
  <c r="F44" i="3" s="1"/>
  <c r="AZ43" i="1"/>
  <c r="G43" i="3" s="1"/>
  <c r="AZ44" i="1"/>
  <c r="G44" i="3" s="1"/>
  <c r="BA43" i="1"/>
  <c r="BA44" i="1"/>
  <c r="AC43" i="1"/>
  <c r="AC44" i="1"/>
  <c r="BB43" i="1"/>
  <c r="I43" i="3" s="1"/>
  <c r="BB44" i="1"/>
  <c r="I44" i="3" s="1"/>
  <c r="AD43" i="1"/>
  <c r="K43" i="3" s="1"/>
  <c r="AD44" i="1"/>
  <c r="K44" i="3" s="1"/>
  <c r="BD43" i="1"/>
  <c r="BD44" i="1"/>
  <c r="BC43" i="1"/>
  <c r="J43" i="3" s="1"/>
  <c r="BC44" i="1"/>
  <c r="J44" i="3" s="1"/>
  <c r="AY41" i="1"/>
  <c r="F41" i="3" s="1"/>
  <c r="AY42" i="1"/>
  <c r="F42" i="3" s="1"/>
  <c r="AZ41" i="1"/>
  <c r="G41" i="3" s="1"/>
  <c r="AZ42" i="1"/>
  <c r="G42" i="3" s="1"/>
  <c r="BA41" i="1"/>
  <c r="BA42" i="1"/>
  <c r="AC41" i="1"/>
  <c r="AC42" i="1"/>
  <c r="BB41" i="1"/>
  <c r="I41" i="3" s="1"/>
  <c r="BB42" i="1"/>
  <c r="I42" i="3" s="1"/>
  <c r="AD41" i="1"/>
  <c r="K41" i="3" s="1"/>
  <c r="AD42" i="1"/>
  <c r="K42" i="3" s="1"/>
  <c r="BD41" i="1"/>
  <c r="BD42" i="1"/>
  <c r="BC41" i="1"/>
  <c r="J41" i="3" s="1"/>
  <c r="BC42" i="1"/>
  <c r="J42" i="3" s="1"/>
  <c r="BD39" i="1"/>
  <c r="BD40" i="1"/>
  <c r="BC39" i="1"/>
  <c r="J39" i="3" s="1"/>
  <c r="BC40" i="1"/>
  <c r="J40" i="3" s="1"/>
  <c r="AC39" i="1"/>
  <c r="AC40" i="1"/>
  <c r="AD39" i="1"/>
  <c r="K39" i="3" s="1"/>
  <c r="AD40" i="1"/>
  <c r="K40" i="3" s="1"/>
  <c r="AY39" i="1"/>
  <c r="F39" i="3" s="1"/>
  <c r="AY40" i="1"/>
  <c r="F40" i="3" s="1"/>
  <c r="BB39" i="1"/>
  <c r="I39" i="3" s="1"/>
  <c r="BB40" i="1"/>
  <c r="I40" i="3" s="1"/>
  <c r="AZ39" i="1"/>
  <c r="G39" i="3" s="1"/>
  <c r="AZ40" i="1"/>
  <c r="G40" i="3" s="1"/>
  <c r="BA39" i="1"/>
  <c r="BA40" i="1"/>
  <c r="BD38" i="1"/>
  <c r="BC38" i="1"/>
  <c r="J38" i="3" s="1"/>
  <c r="AC38" i="1"/>
  <c r="AD38" i="1"/>
  <c r="K38" i="3" s="1"/>
  <c r="AY38" i="1"/>
  <c r="F38" i="3" s="1"/>
  <c r="BB38" i="1"/>
  <c r="I38" i="3" s="1"/>
  <c r="AZ38" i="1"/>
  <c r="G38" i="3" s="1"/>
  <c r="BA38" i="1"/>
  <c r="BD37" i="1"/>
  <c r="BC37" i="1"/>
  <c r="J37" i="3" s="1"/>
  <c r="AC37" i="1"/>
  <c r="AD37" i="1"/>
  <c r="K37" i="3" s="1"/>
  <c r="AY37" i="1"/>
  <c r="F37" i="3" s="1"/>
  <c r="BB37" i="1"/>
  <c r="I37" i="3" s="1"/>
  <c r="AZ37" i="1"/>
  <c r="G37" i="3" s="1"/>
  <c r="BA37" i="1"/>
  <c r="AY35" i="1"/>
  <c r="F35" i="3" s="1"/>
  <c r="AY36" i="1"/>
  <c r="F36" i="3" s="1"/>
  <c r="AZ35" i="1"/>
  <c r="G35" i="3" s="1"/>
  <c r="AZ36" i="1"/>
  <c r="G36" i="3" s="1"/>
  <c r="BA35" i="1"/>
  <c r="BA36" i="1"/>
  <c r="AC35" i="1"/>
  <c r="AC36" i="1"/>
  <c r="BB35" i="1"/>
  <c r="I35" i="3" s="1"/>
  <c r="BB36" i="1"/>
  <c r="I36" i="3" s="1"/>
  <c r="AD35" i="1"/>
  <c r="K35" i="3" s="1"/>
  <c r="AD36" i="1"/>
  <c r="K36" i="3" s="1"/>
  <c r="BD35" i="1"/>
  <c r="BD36" i="1"/>
  <c r="BC35" i="1"/>
  <c r="J35" i="3" s="1"/>
  <c r="BC36" i="1"/>
  <c r="J36" i="3" s="1"/>
  <c r="AY33" i="1"/>
  <c r="F33" i="3" s="1"/>
  <c r="AY34" i="1"/>
  <c r="F34" i="3" s="1"/>
  <c r="AZ33" i="1"/>
  <c r="G33" i="3" s="1"/>
  <c r="AZ34" i="1"/>
  <c r="G34" i="3" s="1"/>
  <c r="BA33" i="1"/>
  <c r="BA34" i="1"/>
  <c r="AC33" i="1"/>
  <c r="AC34" i="1"/>
  <c r="BB33" i="1"/>
  <c r="I33" i="3" s="1"/>
  <c r="BB34" i="1"/>
  <c r="I34" i="3" s="1"/>
  <c r="AD33" i="1"/>
  <c r="K33" i="3" s="1"/>
  <c r="AD34" i="1"/>
  <c r="K34" i="3" s="1"/>
  <c r="BD33" i="1"/>
  <c r="BD34" i="1"/>
  <c r="BC33" i="1"/>
  <c r="J33" i="3" s="1"/>
  <c r="BC34" i="1"/>
  <c r="J34" i="3" s="1"/>
  <c r="AY31" i="1"/>
  <c r="F31" i="3" s="1"/>
  <c r="AY32" i="1"/>
  <c r="F32" i="3" s="1"/>
  <c r="AZ31" i="1"/>
  <c r="G31" i="3" s="1"/>
  <c r="AZ32" i="1"/>
  <c r="G32" i="3" s="1"/>
  <c r="BA31" i="1"/>
  <c r="BA32" i="1"/>
  <c r="AC31" i="1"/>
  <c r="AC32" i="1"/>
  <c r="BB31" i="1"/>
  <c r="I31" i="3" s="1"/>
  <c r="BB32" i="1"/>
  <c r="I32" i="3" s="1"/>
  <c r="AD31" i="1"/>
  <c r="K31" i="3" s="1"/>
  <c r="AD32" i="1"/>
  <c r="K32" i="3" s="1"/>
  <c r="BD31" i="1"/>
  <c r="BD32" i="1"/>
  <c r="BC31" i="1"/>
  <c r="J31" i="3" s="1"/>
  <c r="BC32" i="1"/>
  <c r="J32" i="3" s="1"/>
  <c r="BD29" i="1"/>
  <c r="BD30" i="1"/>
  <c r="BC29" i="1"/>
  <c r="J29" i="3" s="1"/>
  <c r="BC30" i="1"/>
  <c r="J30" i="3" s="1"/>
  <c r="AC29" i="1"/>
  <c r="AC30" i="1"/>
  <c r="AD29" i="1"/>
  <c r="K29" i="3" s="1"/>
  <c r="AD30" i="1"/>
  <c r="K30" i="3" s="1"/>
  <c r="AY29" i="1"/>
  <c r="F29" i="3" s="1"/>
  <c r="AY30" i="1"/>
  <c r="F30" i="3" s="1"/>
  <c r="BB29" i="1"/>
  <c r="I29" i="3" s="1"/>
  <c r="BB30" i="1"/>
  <c r="I30" i="3" s="1"/>
  <c r="AZ29" i="1"/>
  <c r="G29" i="3" s="1"/>
  <c r="AZ30" i="1"/>
  <c r="G30" i="3" s="1"/>
  <c r="BA29" i="1"/>
  <c r="BA30" i="1"/>
  <c r="BD27" i="1"/>
  <c r="BD28" i="1"/>
  <c r="BC27" i="1"/>
  <c r="J27" i="3" s="1"/>
  <c r="BC28" i="1"/>
  <c r="J28" i="3" s="1"/>
  <c r="AC27" i="1"/>
  <c r="AC28" i="1"/>
  <c r="AD27" i="1"/>
  <c r="K27" i="3" s="1"/>
  <c r="AD28" i="1"/>
  <c r="K28" i="3" s="1"/>
  <c r="AY27" i="1"/>
  <c r="F27" i="3" s="1"/>
  <c r="AY28" i="1"/>
  <c r="F28" i="3" s="1"/>
  <c r="BB27" i="1"/>
  <c r="I27" i="3" s="1"/>
  <c r="BB28" i="1"/>
  <c r="I28" i="3" s="1"/>
  <c r="AZ27" i="1"/>
  <c r="G27" i="3" s="1"/>
  <c r="AZ28" i="1"/>
  <c r="G28" i="3" s="1"/>
  <c r="BA27" i="1"/>
  <c r="BA28" i="1"/>
  <c r="AY25" i="1"/>
  <c r="F25" i="3" s="1"/>
  <c r="AY26" i="1"/>
  <c r="F26" i="3" s="1"/>
  <c r="AZ25" i="1"/>
  <c r="G25" i="3" s="1"/>
  <c r="AZ26" i="1"/>
  <c r="G26" i="3" s="1"/>
  <c r="BA25" i="1"/>
  <c r="BA26" i="1"/>
  <c r="AC25" i="1"/>
  <c r="AC26" i="1"/>
  <c r="BB25" i="1"/>
  <c r="I25" i="3" s="1"/>
  <c r="BB26" i="1"/>
  <c r="I26" i="3" s="1"/>
  <c r="AD25" i="1"/>
  <c r="K25" i="3" s="1"/>
  <c r="AD26" i="1"/>
  <c r="K26" i="3" s="1"/>
  <c r="BD25" i="1"/>
  <c r="BD26" i="1"/>
  <c r="BC25" i="1"/>
  <c r="J25" i="3" s="1"/>
  <c r="BC26" i="1"/>
  <c r="J26" i="3" s="1"/>
  <c r="BD23" i="1"/>
  <c r="BD24" i="1"/>
  <c r="BC23" i="1"/>
  <c r="J23" i="3" s="1"/>
  <c r="BC24" i="1"/>
  <c r="J24" i="3" s="1"/>
  <c r="AC23" i="1"/>
  <c r="AC24" i="1"/>
  <c r="AD23" i="1"/>
  <c r="K23" i="3" s="1"/>
  <c r="AD24" i="1"/>
  <c r="K24" i="3" s="1"/>
  <c r="AY23" i="1"/>
  <c r="F23" i="3" s="1"/>
  <c r="AY24" i="1"/>
  <c r="F24" i="3" s="1"/>
  <c r="BB23" i="1"/>
  <c r="I23" i="3" s="1"/>
  <c r="BB24" i="1"/>
  <c r="I24" i="3" s="1"/>
  <c r="AZ23" i="1"/>
  <c r="G23" i="3" s="1"/>
  <c r="AZ24" i="1"/>
  <c r="G24" i="3" s="1"/>
  <c r="BA23" i="1"/>
  <c r="BA24" i="1"/>
  <c r="BD21" i="1"/>
  <c r="BD22" i="1"/>
  <c r="AZ21" i="1"/>
  <c r="G21" i="3" s="1"/>
  <c r="AZ22" i="1"/>
  <c r="G22" i="3" s="1"/>
  <c r="BC21" i="1"/>
  <c r="J21" i="3" s="1"/>
  <c r="BC22" i="1"/>
  <c r="J22" i="3" s="1"/>
  <c r="AC21" i="1"/>
  <c r="AC22" i="1"/>
  <c r="AD21" i="1"/>
  <c r="K21" i="3" s="1"/>
  <c r="AD22" i="1"/>
  <c r="K22" i="3" s="1"/>
  <c r="AY21" i="1"/>
  <c r="F21" i="3" s="1"/>
  <c r="AY22" i="1"/>
  <c r="F22" i="3" s="1"/>
  <c r="BB21" i="1"/>
  <c r="I21" i="3" s="1"/>
  <c r="BB22" i="1"/>
  <c r="I22" i="3" s="1"/>
  <c r="BA21" i="1"/>
  <c r="BA22" i="1"/>
  <c r="BD19" i="1"/>
  <c r="BD20" i="1"/>
  <c r="BC18" i="1"/>
  <c r="J18" i="3" s="1"/>
  <c r="BC19" i="1"/>
  <c r="J19" i="3" s="1"/>
  <c r="BC20" i="1"/>
  <c r="J20" i="3" s="1"/>
  <c r="AC20" i="1"/>
  <c r="AC19" i="1"/>
  <c r="AD18" i="1"/>
  <c r="K18" i="3" s="1"/>
  <c r="AD19" i="1"/>
  <c r="K19" i="3" s="1"/>
  <c r="AD20" i="1"/>
  <c r="K20" i="3" s="1"/>
  <c r="AY18" i="1"/>
  <c r="F18" i="3" s="1"/>
  <c r="AY19" i="1"/>
  <c r="F19" i="3" s="1"/>
  <c r="AY20" i="1"/>
  <c r="F20" i="3" s="1"/>
  <c r="BB18" i="1"/>
  <c r="I18" i="3" s="1"/>
  <c r="BB20" i="1"/>
  <c r="I20" i="3" s="1"/>
  <c r="BB19" i="1"/>
  <c r="I19" i="3" s="1"/>
  <c r="AZ18" i="1"/>
  <c r="G18" i="3" s="1"/>
  <c r="AZ19" i="1"/>
  <c r="G19" i="3" s="1"/>
  <c r="AZ20" i="1"/>
  <c r="G20" i="3" s="1"/>
  <c r="BA18" i="1"/>
  <c r="BA19" i="1"/>
  <c r="BA20" i="1"/>
  <c r="BD15" i="1"/>
  <c r="BD18" i="1"/>
  <c r="AC15" i="1"/>
  <c r="AC18" i="1"/>
  <c r="BB17" i="1"/>
  <c r="I17" i="3" s="1"/>
  <c r="BC17" i="1"/>
  <c r="J17" i="3" s="1"/>
  <c r="AC17" i="1"/>
  <c r="BD17" i="1"/>
  <c r="BB16" i="1"/>
  <c r="I16" i="3" s="1"/>
  <c r="BC15" i="1"/>
  <c r="J15" i="3" s="1"/>
  <c r="AD16" i="1"/>
  <c r="K16" i="3" s="1"/>
  <c r="AD15" i="1"/>
  <c r="K15" i="3" s="1"/>
  <c r="BB15" i="1"/>
  <c r="I15" i="3" s="1"/>
  <c r="AD17" i="1"/>
  <c r="K17" i="3" s="1"/>
  <c r="O12" i="1"/>
  <c r="Q12" i="1"/>
  <c r="P12" i="1"/>
  <c r="P14" i="1"/>
  <c r="O14" i="1"/>
  <c r="Q14" i="1"/>
  <c r="T49" i="1" s="1"/>
  <c r="E49" i="2" s="1"/>
  <c r="O16" i="1"/>
  <c r="R16" i="1" s="1"/>
  <c r="Q16" i="1"/>
  <c r="T16" i="1" s="1"/>
  <c r="AE16" i="1"/>
  <c r="P16" i="1"/>
  <c r="S16" i="1" s="1"/>
  <c r="Q17" i="1"/>
  <c r="O17" i="1"/>
  <c r="P17" i="1"/>
  <c r="Q13" i="1"/>
  <c r="O13" i="1"/>
  <c r="P13" i="1"/>
  <c r="P15" i="1"/>
  <c r="O15" i="1"/>
  <c r="Q15" i="1"/>
  <c r="AY15" i="1"/>
  <c r="F15" i="3" s="1"/>
  <c r="AY17" i="1"/>
  <c r="F17" i="3" s="1"/>
  <c r="AZ15" i="1"/>
  <c r="G15" i="3" s="1"/>
  <c r="AZ17" i="1"/>
  <c r="G17" i="3" s="1"/>
  <c r="BA15" i="1"/>
  <c r="BA17" i="1"/>
  <c r="AY13" i="1"/>
  <c r="F13" i="3" s="1"/>
  <c r="AY14" i="1"/>
  <c r="F14" i="3" s="1"/>
  <c r="AZ13" i="1"/>
  <c r="G13" i="3" s="1"/>
  <c r="AZ14" i="1"/>
  <c r="G14" i="3" s="1"/>
  <c r="BA13" i="1"/>
  <c r="BA14" i="1"/>
  <c r="AE8" i="1"/>
  <c r="AR8" i="1" s="1"/>
  <c r="BE8" i="1" s="1"/>
  <c r="AB8" i="1"/>
  <c r="A4" i="6"/>
  <c r="L8" i="3"/>
  <c r="I8" i="3"/>
  <c r="F8" i="3"/>
  <c r="C8" i="3"/>
  <c r="Y8" i="1"/>
  <c r="AL8" i="1" s="1"/>
  <c r="AY8" i="1" s="1"/>
  <c r="V8" i="1"/>
  <c r="AI8" i="1" s="1"/>
  <c r="AV8" i="1" s="1"/>
  <c r="T47" i="1" l="1"/>
  <c r="E47" i="2" s="1"/>
  <c r="T48" i="1"/>
  <c r="E48" i="2" s="1"/>
  <c r="M49" i="2" s="1"/>
  <c r="T45" i="1"/>
  <c r="E45" i="2" s="1"/>
  <c r="T46" i="1"/>
  <c r="E46" i="2" s="1"/>
  <c r="M46" i="2" s="1"/>
  <c r="T43" i="1"/>
  <c r="E43" i="2" s="1"/>
  <c r="T44" i="1"/>
  <c r="E44" i="2" s="1"/>
  <c r="T41" i="1"/>
  <c r="E41" i="2" s="1"/>
  <c r="T42" i="1"/>
  <c r="E42" i="2" s="1"/>
  <c r="T39" i="1"/>
  <c r="E39" i="2" s="1"/>
  <c r="T40" i="1"/>
  <c r="E40" i="2" s="1"/>
  <c r="T38" i="1"/>
  <c r="E38" i="2" s="1"/>
  <c r="T37" i="1"/>
  <c r="E37" i="2" s="1"/>
  <c r="T35" i="1"/>
  <c r="E35" i="2" s="1"/>
  <c r="T36" i="1"/>
  <c r="E36" i="2" s="1"/>
  <c r="T33" i="1"/>
  <c r="E33" i="2" s="1"/>
  <c r="T34" i="1"/>
  <c r="E34" i="2" s="1"/>
  <c r="T31" i="1"/>
  <c r="E31" i="2" s="1"/>
  <c r="T32" i="1"/>
  <c r="E32" i="2" s="1"/>
  <c r="T29" i="1"/>
  <c r="E29" i="2" s="1"/>
  <c r="T30" i="1"/>
  <c r="E30" i="2" s="1"/>
  <c r="T27" i="1"/>
  <c r="E27" i="2" s="1"/>
  <c r="T28" i="1"/>
  <c r="E28" i="2" s="1"/>
  <c r="T25" i="1"/>
  <c r="E25" i="2" s="1"/>
  <c r="T26" i="1"/>
  <c r="E26" i="2" s="1"/>
  <c r="T23" i="1"/>
  <c r="E23" i="2" s="1"/>
  <c r="T24" i="1"/>
  <c r="E24" i="2" s="1"/>
  <c r="T21" i="1"/>
  <c r="E21" i="2" s="1"/>
  <c r="T22" i="1"/>
  <c r="E22" i="2" s="1"/>
  <c r="T18" i="1"/>
  <c r="E18" i="2" s="1"/>
  <c r="T20" i="1"/>
  <c r="E20" i="2" s="1"/>
  <c r="T19" i="1"/>
  <c r="E19" i="2" s="1"/>
  <c r="T17" i="1"/>
  <c r="E17" i="2" s="1"/>
  <c r="T15" i="1"/>
  <c r="E15" i="2" s="1"/>
  <c r="M15" i="2" s="1"/>
  <c r="AO8" i="1"/>
  <c r="BB8" i="1"/>
  <c r="O11" i="1"/>
  <c r="P11" i="1"/>
  <c r="S49" i="1" s="1"/>
  <c r="D49" i="2" s="1"/>
  <c r="Q11" i="1"/>
  <c r="S47" i="1" l="1"/>
  <c r="D47" i="2" s="1"/>
  <c r="S48" i="1"/>
  <c r="D48" i="2" s="1"/>
  <c r="L49" i="2" s="1"/>
  <c r="M48" i="2"/>
  <c r="M43" i="2"/>
  <c r="M44" i="2"/>
  <c r="M47" i="2"/>
  <c r="S45" i="1"/>
  <c r="D45" i="2" s="1"/>
  <c r="S46" i="1"/>
  <c r="D46" i="2" s="1"/>
  <c r="M39" i="2"/>
  <c r="M45" i="2"/>
  <c r="S43" i="1"/>
  <c r="D43" i="2" s="1"/>
  <c r="S44" i="1"/>
  <c r="D44" i="2" s="1"/>
  <c r="M42" i="2"/>
  <c r="M40" i="2"/>
  <c r="S41" i="1"/>
  <c r="D41" i="2" s="1"/>
  <c r="S42" i="1"/>
  <c r="D42" i="2" s="1"/>
  <c r="M41" i="2"/>
  <c r="S39" i="1"/>
  <c r="D39" i="2" s="1"/>
  <c r="S40" i="1"/>
  <c r="D40" i="2" s="1"/>
  <c r="S38" i="1"/>
  <c r="D38" i="2" s="1"/>
  <c r="M37" i="2"/>
  <c r="M38" i="2"/>
  <c r="S37" i="1"/>
  <c r="D37" i="2" s="1"/>
  <c r="M36" i="2"/>
  <c r="M34" i="2"/>
  <c r="S35" i="1"/>
  <c r="D35" i="2" s="1"/>
  <c r="S36" i="1"/>
  <c r="D36" i="2" s="1"/>
  <c r="M35" i="2"/>
  <c r="M31" i="2"/>
  <c r="S33" i="1"/>
  <c r="D33" i="2" s="1"/>
  <c r="S34" i="1"/>
  <c r="D34" i="2" s="1"/>
  <c r="M32" i="2"/>
  <c r="M33" i="2"/>
  <c r="M28" i="2"/>
  <c r="S31" i="1"/>
  <c r="D31" i="2" s="1"/>
  <c r="S32" i="1"/>
  <c r="D32" i="2" s="1"/>
  <c r="M30" i="2"/>
  <c r="S29" i="1"/>
  <c r="D29" i="2" s="1"/>
  <c r="S30" i="1"/>
  <c r="D30" i="2" s="1"/>
  <c r="M29" i="2"/>
  <c r="S27" i="1"/>
  <c r="D27" i="2" s="1"/>
  <c r="S28" i="1"/>
  <c r="D28" i="2" s="1"/>
  <c r="M26" i="2"/>
  <c r="M27" i="2"/>
  <c r="S25" i="1"/>
  <c r="D25" i="2" s="1"/>
  <c r="S26" i="1"/>
  <c r="D26" i="2" s="1"/>
  <c r="M24" i="2"/>
  <c r="M23" i="2"/>
  <c r="M25" i="2"/>
  <c r="M21" i="2"/>
  <c r="S23" i="1"/>
  <c r="D23" i="2" s="1"/>
  <c r="S24" i="1"/>
  <c r="D24" i="2" s="1"/>
  <c r="S21" i="1"/>
  <c r="D21" i="2" s="1"/>
  <c r="S22" i="1"/>
  <c r="D22" i="2" s="1"/>
  <c r="M19" i="2"/>
  <c r="M22" i="2"/>
  <c r="S19" i="1"/>
  <c r="D19" i="2" s="1"/>
  <c r="S20" i="1"/>
  <c r="D20" i="2" s="1"/>
  <c r="M20" i="2"/>
  <c r="S17" i="1"/>
  <c r="D17" i="2" s="1"/>
  <c r="L17" i="2" s="1"/>
  <c r="S18" i="1"/>
  <c r="D18" i="2" s="1"/>
  <c r="M17" i="2"/>
  <c r="M18" i="2"/>
  <c r="M16" i="2"/>
  <c r="S15" i="1"/>
  <c r="D15" i="2" s="1"/>
  <c r="L16" i="2" s="1"/>
  <c r="S13" i="1"/>
  <c r="D13" i="2" s="1"/>
  <c r="L13" i="2" s="1"/>
  <c r="S14" i="1"/>
  <c r="D14" i="2" s="1"/>
  <c r="AG7" i="4"/>
  <c r="L45" i="2" l="1"/>
  <c r="L48" i="2"/>
  <c r="L46" i="2"/>
  <c r="L47" i="2"/>
  <c r="L42" i="2"/>
  <c r="L44" i="2"/>
  <c r="L39" i="2"/>
  <c r="L43" i="2"/>
  <c r="L40" i="2"/>
  <c r="L41" i="2"/>
  <c r="L38" i="2"/>
  <c r="L36" i="2"/>
  <c r="L37" i="2"/>
  <c r="L35" i="2"/>
  <c r="L34" i="2"/>
  <c r="L32" i="2"/>
  <c r="L33" i="2"/>
  <c r="L30" i="2"/>
  <c r="L27" i="2"/>
  <c r="L31" i="2"/>
  <c r="L28" i="2"/>
  <c r="L25" i="2"/>
  <c r="L29" i="2"/>
  <c r="L26" i="2"/>
  <c r="L21" i="2"/>
  <c r="L22" i="2"/>
  <c r="L24" i="2"/>
  <c r="L23" i="2"/>
  <c r="L20" i="2"/>
  <c r="L18" i="2"/>
  <c r="L19" i="2"/>
  <c r="L14" i="2"/>
  <c r="L15" i="2"/>
  <c r="AJ10" i="1" a="1"/>
  <c r="AJ10" i="1" s="1"/>
  <c r="AW49" i="1" s="1"/>
  <c r="D49" i="3" s="1"/>
  <c r="AK10" i="1" a="1"/>
  <c r="AK10" i="1" s="1"/>
  <c r="AX49" i="1" s="1"/>
  <c r="AL10" i="1" a="1"/>
  <c r="AL10" i="1" s="1"/>
  <c r="M10" i="1" a="1"/>
  <c r="M10" i="1" s="1"/>
  <c r="AF49" i="1" s="1"/>
  <c r="AM10" i="1" a="1"/>
  <c r="AM10" i="1" s="1"/>
  <c r="L10" i="1" a="1"/>
  <c r="L10" i="1" s="1"/>
  <c r="AE49" i="1" s="1"/>
  <c r="AN10" i="1" a="1"/>
  <c r="AN10" i="1" s="1"/>
  <c r="AI10" i="1" a="1"/>
  <c r="AI10" i="1" s="1"/>
  <c r="AV49" i="1" s="1"/>
  <c r="C49" i="3" s="1"/>
  <c r="AT10" i="1" a="1"/>
  <c r="AT10" i="1" s="1"/>
  <c r="BG49" i="1" s="1"/>
  <c r="AO10" i="1" a="1"/>
  <c r="AO10" i="1" s="1"/>
  <c r="AP10" i="1" a="1"/>
  <c r="AP10" i="1" s="1"/>
  <c r="J10" i="1" a="1"/>
  <c r="J10" i="1" s="1"/>
  <c r="AQ10" i="1" a="1"/>
  <c r="AQ10" i="1" s="1"/>
  <c r="N10" i="1" a="1"/>
  <c r="N10" i="1" s="1"/>
  <c r="AG49" i="1" s="1"/>
  <c r="N49" i="3" s="1"/>
  <c r="AR10" i="1" a="1"/>
  <c r="AR10" i="1" s="1"/>
  <c r="BE49" i="1" s="1"/>
  <c r="L49" i="3" s="1"/>
  <c r="K10" i="1" a="1"/>
  <c r="K10" i="1" s="1"/>
  <c r="AS10" i="1" a="1"/>
  <c r="AS10" i="1" s="1"/>
  <c r="BF49" i="1" s="1"/>
  <c r="M49" i="3" s="1"/>
  <c r="D10" i="1" a="1"/>
  <c r="D10" i="1" s="1"/>
  <c r="W49" i="1" s="1"/>
  <c r="E10" i="1" a="1"/>
  <c r="E10" i="1" s="1"/>
  <c r="X49" i="1" s="1"/>
  <c r="E49" i="3" s="1"/>
  <c r="F10" i="1" a="1"/>
  <c r="F10" i="1" s="1"/>
  <c r="G10" i="1" a="1"/>
  <c r="G10" i="1" s="1"/>
  <c r="C10" i="1" a="1"/>
  <c r="C10" i="1" s="1"/>
  <c r="V49" i="1" s="1"/>
  <c r="H10" i="1" a="1"/>
  <c r="H10" i="1" s="1"/>
  <c r="I10" i="1" a="1"/>
  <c r="I10" i="1" s="1"/>
  <c r="AG3" i="4"/>
  <c r="AG1" i="4" s="1"/>
  <c r="AG5" i="4" s="1" a="1"/>
  <c r="AG5" i="4" s="1"/>
  <c r="V47" i="1" l="1"/>
  <c r="V48" i="1"/>
  <c r="X47" i="1"/>
  <c r="E47" i="3" s="1"/>
  <c r="X48" i="1"/>
  <c r="E48" i="3" s="1"/>
  <c r="W47" i="1"/>
  <c r="W48" i="1"/>
  <c r="BF47" i="1"/>
  <c r="M47" i="3" s="1"/>
  <c r="BF48" i="1"/>
  <c r="M48" i="3" s="1"/>
  <c r="BE47" i="1"/>
  <c r="L47" i="3" s="1"/>
  <c r="BE48" i="1"/>
  <c r="L48" i="3" s="1"/>
  <c r="AG47" i="1"/>
  <c r="N47" i="3" s="1"/>
  <c r="AG48" i="1"/>
  <c r="N48" i="3" s="1"/>
  <c r="BG47" i="1"/>
  <c r="BG48" i="1"/>
  <c r="AV47" i="1"/>
  <c r="C47" i="3" s="1"/>
  <c r="AV48" i="1"/>
  <c r="C48" i="3" s="1"/>
  <c r="AE47" i="1"/>
  <c r="AE48" i="1"/>
  <c r="AF47" i="1"/>
  <c r="AF48" i="1"/>
  <c r="AX47" i="1"/>
  <c r="AX48" i="1"/>
  <c r="AW47" i="1"/>
  <c r="D47" i="3" s="1"/>
  <c r="AW48" i="1"/>
  <c r="D48" i="3" s="1"/>
  <c r="AX45" i="1"/>
  <c r="AX46" i="1"/>
  <c r="AW45" i="1"/>
  <c r="D45" i="3" s="1"/>
  <c r="AW46" i="1"/>
  <c r="D46" i="3" s="1"/>
  <c r="BE45" i="1"/>
  <c r="L45" i="3" s="1"/>
  <c r="BE46" i="1"/>
  <c r="L46" i="3" s="1"/>
  <c r="X45" i="1"/>
  <c r="E45" i="3" s="1"/>
  <c r="X46" i="1"/>
  <c r="E46" i="3" s="1"/>
  <c r="W45" i="1"/>
  <c r="W46" i="1"/>
  <c r="AG45" i="1"/>
  <c r="N45" i="3" s="1"/>
  <c r="AG46" i="1"/>
  <c r="N46" i="3" s="1"/>
  <c r="BF45" i="1"/>
  <c r="M45" i="3" s="1"/>
  <c r="BF46" i="1"/>
  <c r="M46" i="3" s="1"/>
  <c r="BG45" i="1"/>
  <c r="BG46" i="1"/>
  <c r="AV45" i="1"/>
  <c r="C45" i="3" s="1"/>
  <c r="AV46" i="1"/>
  <c r="C46" i="3" s="1"/>
  <c r="AE45" i="1"/>
  <c r="AE46" i="1"/>
  <c r="V45" i="1"/>
  <c r="V46" i="1"/>
  <c r="AF45" i="1"/>
  <c r="AF46" i="1"/>
  <c r="V43" i="1"/>
  <c r="V44" i="1"/>
  <c r="X43" i="1"/>
  <c r="E43" i="3" s="1"/>
  <c r="X44" i="1"/>
  <c r="E44" i="3" s="1"/>
  <c r="W43" i="1"/>
  <c r="W44" i="1"/>
  <c r="BF43" i="1"/>
  <c r="M43" i="3" s="1"/>
  <c r="BF44" i="1"/>
  <c r="M44" i="3" s="1"/>
  <c r="BE43" i="1"/>
  <c r="L43" i="3" s="1"/>
  <c r="BE44" i="1"/>
  <c r="L44" i="3" s="1"/>
  <c r="AG43" i="1"/>
  <c r="N43" i="3" s="1"/>
  <c r="AG44" i="1"/>
  <c r="N44" i="3" s="1"/>
  <c r="BG43" i="1"/>
  <c r="BG44" i="1"/>
  <c r="AV43" i="1"/>
  <c r="C43" i="3" s="1"/>
  <c r="AV44" i="1"/>
  <c r="C44" i="3" s="1"/>
  <c r="AE43" i="1"/>
  <c r="AE44" i="1"/>
  <c r="AF43" i="1"/>
  <c r="AF44" i="1"/>
  <c r="AX43" i="1"/>
  <c r="AX44" i="1"/>
  <c r="AW43" i="1"/>
  <c r="D43" i="3" s="1"/>
  <c r="AW44" i="1"/>
  <c r="D44" i="3" s="1"/>
  <c r="V41" i="1"/>
  <c r="V42" i="1"/>
  <c r="X41" i="1"/>
  <c r="E41" i="3" s="1"/>
  <c r="X42" i="1"/>
  <c r="E42" i="3" s="1"/>
  <c r="W41" i="1"/>
  <c r="W42" i="1"/>
  <c r="BF41" i="1"/>
  <c r="M41" i="3" s="1"/>
  <c r="BF42" i="1"/>
  <c r="M42" i="3" s="1"/>
  <c r="BE41" i="1"/>
  <c r="L41" i="3" s="1"/>
  <c r="BE42" i="1"/>
  <c r="L42" i="3" s="1"/>
  <c r="AG41" i="1"/>
  <c r="N41" i="3" s="1"/>
  <c r="AG42" i="1"/>
  <c r="N42" i="3" s="1"/>
  <c r="BG41" i="1"/>
  <c r="BG42" i="1"/>
  <c r="AV41" i="1"/>
  <c r="C41" i="3" s="1"/>
  <c r="AV42" i="1"/>
  <c r="C42" i="3" s="1"/>
  <c r="AE41" i="1"/>
  <c r="AE42" i="1"/>
  <c r="AF41" i="1"/>
  <c r="AF42" i="1"/>
  <c r="AX41" i="1"/>
  <c r="AX42" i="1"/>
  <c r="AW41" i="1"/>
  <c r="D41" i="3" s="1"/>
  <c r="AW42" i="1"/>
  <c r="D42" i="3" s="1"/>
  <c r="BG39" i="1"/>
  <c r="BG40" i="1"/>
  <c r="AV39" i="1"/>
  <c r="C39" i="3" s="1"/>
  <c r="AV40" i="1"/>
  <c r="C40" i="3" s="1"/>
  <c r="V39" i="1"/>
  <c r="V40" i="1"/>
  <c r="AE39" i="1"/>
  <c r="AE40" i="1"/>
  <c r="AF39" i="1"/>
  <c r="AF40" i="1"/>
  <c r="AX39" i="1"/>
  <c r="AX40" i="1"/>
  <c r="AW39" i="1"/>
  <c r="D39" i="3" s="1"/>
  <c r="AW40" i="1"/>
  <c r="D40" i="3" s="1"/>
  <c r="X39" i="1"/>
  <c r="E39" i="3" s="1"/>
  <c r="X40" i="1"/>
  <c r="E40" i="3" s="1"/>
  <c r="W39" i="1"/>
  <c r="W40" i="1"/>
  <c r="BE39" i="1"/>
  <c r="L39" i="3" s="1"/>
  <c r="BE40" i="1"/>
  <c r="L40" i="3" s="1"/>
  <c r="AG39" i="1"/>
  <c r="N39" i="3" s="1"/>
  <c r="AG40" i="1"/>
  <c r="N40" i="3" s="1"/>
  <c r="BF39" i="1"/>
  <c r="M39" i="3" s="1"/>
  <c r="BF40" i="1"/>
  <c r="M40" i="3" s="1"/>
  <c r="V38" i="1"/>
  <c r="AE38" i="1"/>
  <c r="AF38" i="1"/>
  <c r="AX38" i="1"/>
  <c r="AW38" i="1"/>
  <c r="D38" i="3" s="1"/>
  <c r="BF38" i="1"/>
  <c r="M38" i="3" s="1"/>
  <c r="BE38" i="1"/>
  <c r="L38" i="3" s="1"/>
  <c r="AG38" i="1"/>
  <c r="N38" i="3" s="1"/>
  <c r="AV38" i="1"/>
  <c r="C38" i="3" s="1"/>
  <c r="X38" i="1"/>
  <c r="E38" i="3" s="1"/>
  <c r="W38" i="1"/>
  <c r="BG38" i="1"/>
  <c r="BG37" i="1"/>
  <c r="AV37" i="1"/>
  <c r="C37" i="3" s="1"/>
  <c r="AF37" i="1"/>
  <c r="AX37" i="1"/>
  <c r="BE37" i="1"/>
  <c r="L37" i="3" s="1"/>
  <c r="BF37" i="1"/>
  <c r="M37" i="3" s="1"/>
  <c r="V37" i="1"/>
  <c r="X37" i="1"/>
  <c r="E37" i="3" s="1"/>
  <c r="W37" i="1"/>
  <c r="AG37" i="1"/>
  <c r="N37" i="3" s="1"/>
  <c r="AE37" i="1"/>
  <c r="AW37" i="1"/>
  <c r="D37" i="3" s="1"/>
  <c r="V35" i="1"/>
  <c r="V36" i="1"/>
  <c r="X35" i="1"/>
  <c r="E35" i="3" s="1"/>
  <c r="X36" i="1"/>
  <c r="E36" i="3" s="1"/>
  <c r="W35" i="1"/>
  <c r="W36" i="1"/>
  <c r="BF35" i="1"/>
  <c r="M35" i="3" s="1"/>
  <c r="BF36" i="1"/>
  <c r="M36" i="3" s="1"/>
  <c r="BE35" i="1"/>
  <c r="L35" i="3" s="1"/>
  <c r="BE36" i="1"/>
  <c r="L36" i="3" s="1"/>
  <c r="AG35" i="1"/>
  <c r="N35" i="3" s="1"/>
  <c r="AG36" i="1"/>
  <c r="N36" i="3" s="1"/>
  <c r="BG35" i="1"/>
  <c r="BG36" i="1"/>
  <c r="AV35" i="1"/>
  <c r="C35" i="3" s="1"/>
  <c r="AV36" i="1"/>
  <c r="C36" i="3" s="1"/>
  <c r="AE35" i="1"/>
  <c r="AE36" i="1"/>
  <c r="AF35" i="1"/>
  <c r="AF36" i="1"/>
  <c r="AX35" i="1"/>
  <c r="AX36" i="1"/>
  <c r="AW35" i="1"/>
  <c r="D35" i="3" s="1"/>
  <c r="AW36" i="1"/>
  <c r="D36" i="3" s="1"/>
  <c r="V33" i="1"/>
  <c r="V34" i="1"/>
  <c r="X33" i="1"/>
  <c r="E33" i="3" s="1"/>
  <c r="X34" i="1"/>
  <c r="E34" i="3" s="1"/>
  <c r="W33" i="1"/>
  <c r="W34" i="1"/>
  <c r="BF33" i="1"/>
  <c r="M33" i="3" s="1"/>
  <c r="BF34" i="1"/>
  <c r="M34" i="3" s="1"/>
  <c r="BE33" i="1"/>
  <c r="L33" i="3" s="1"/>
  <c r="BE34" i="1"/>
  <c r="L34" i="3" s="1"/>
  <c r="AG33" i="1"/>
  <c r="N33" i="3" s="1"/>
  <c r="AG34" i="1"/>
  <c r="N34" i="3" s="1"/>
  <c r="BG33" i="1"/>
  <c r="BG34" i="1"/>
  <c r="AV33" i="1"/>
  <c r="C33" i="3" s="1"/>
  <c r="AV34" i="1"/>
  <c r="C34" i="3" s="1"/>
  <c r="AE33" i="1"/>
  <c r="AE34" i="1"/>
  <c r="AF33" i="1"/>
  <c r="AF34" i="1"/>
  <c r="AX33" i="1"/>
  <c r="AX34" i="1"/>
  <c r="AW33" i="1"/>
  <c r="D33" i="3" s="1"/>
  <c r="AW34" i="1"/>
  <c r="D34" i="3" s="1"/>
  <c r="V31" i="1"/>
  <c r="V32" i="1"/>
  <c r="X31" i="1"/>
  <c r="E31" i="3" s="1"/>
  <c r="X32" i="1"/>
  <c r="E32" i="3" s="1"/>
  <c r="W31" i="1"/>
  <c r="W32" i="1"/>
  <c r="BF31" i="1"/>
  <c r="M31" i="3" s="1"/>
  <c r="BF32" i="1"/>
  <c r="M32" i="3" s="1"/>
  <c r="BE31" i="1"/>
  <c r="L31" i="3" s="1"/>
  <c r="BE32" i="1"/>
  <c r="L32" i="3" s="1"/>
  <c r="AG31" i="1"/>
  <c r="N31" i="3" s="1"/>
  <c r="AG32" i="1"/>
  <c r="N32" i="3" s="1"/>
  <c r="BG31" i="1"/>
  <c r="BG32" i="1"/>
  <c r="AV31" i="1"/>
  <c r="C31" i="3" s="1"/>
  <c r="AV32" i="1"/>
  <c r="C32" i="3" s="1"/>
  <c r="AE31" i="1"/>
  <c r="AE32" i="1"/>
  <c r="AF31" i="1"/>
  <c r="AF32" i="1"/>
  <c r="AX31" i="1"/>
  <c r="AX32" i="1"/>
  <c r="AW31" i="1"/>
  <c r="D31" i="3" s="1"/>
  <c r="AW32" i="1"/>
  <c r="D32" i="3" s="1"/>
  <c r="AX29" i="1"/>
  <c r="AX30" i="1"/>
  <c r="AW29" i="1"/>
  <c r="D29" i="3" s="1"/>
  <c r="AW30" i="1"/>
  <c r="D30" i="3" s="1"/>
  <c r="X29" i="1"/>
  <c r="E29" i="3" s="1"/>
  <c r="X30" i="1"/>
  <c r="E30" i="3" s="1"/>
  <c r="W29" i="1"/>
  <c r="W30" i="1"/>
  <c r="BE29" i="1"/>
  <c r="L29" i="3" s="1"/>
  <c r="BE30" i="1"/>
  <c r="L30" i="3" s="1"/>
  <c r="AF29" i="1"/>
  <c r="AF30" i="1"/>
  <c r="AG29" i="1"/>
  <c r="N29" i="3" s="1"/>
  <c r="AG30" i="1"/>
  <c r="N30" i="3" s="1"/>
  <c r="BF29" i="1"/>
  <c r="M29" i="3" s="1"/>
  <c r="BF30" i="1"/>
  <c r="M30" i="3" s="1"/>
  <c r="BG29" i="1"/>
  <c r="BG30" i="1"/>
  <c r="AV29" i="1"/>
  <c r="C29" i="3" s="1"/>
  <c r="AV30" i="1"/>
  <c r="C30" i="3" s="1"/>
  <c r="V29" i="1"/>
  <c r="V30" i="1"/>
  <c r="AE29" i="1"/>
  <c r="AE30" i="1"/>
  <c r="AE27" i="1"/>
  <c r="AE28" i="1"/>
  <c r="V27" i="1"/>
  <c r="V28" i="1"/>
  <c r="AF27" i="1"/>
  <c r="AF28" i="1"/>
  <c r="AX27" i="1"/>
  <c r="AX28" i="1"/>
  <c r="AW27" i="1"/>
  <c r="D27" i="3" s="1"/>
  <c r="AW28" i="1"/>
  <c r="D28" i="3" s="1"/>
  <c r="X27" i="1"/>
  <c r="E27" i="3" s="1"/>
  <c r="X28" i="1"/>
  <c r="E28" i="3" s="1"/>
  <c r="W27" i="1"/>
  <c r="W28" i="1"/>
  <c r="BE27" i="1"/>
  <c r="L27" i="3" s="1"/>
  <c r="BE28" i="1"/>
  <c r="L28" i="3" s="1"/>
  <c r="AG27" i="1"/>
  <c r="N27" i="3" s="1"/>
  <c r="AG28" i="1"/>
  <c r="N28" i="3" s="1"/>
  <c r="BF27" i="1"/>
  <c r="M27" i="3" s="1"/>
  <c r="BF28" i="1"/>
  <c r="M28" i="3" s="1"/>
  <c r="BG27" i="1"/>
  <c r="BG28" i="1"/>
  <c r="AV27" i="1"/>
  <c r="C27" i="3" s="1"/>
  <c r="AV28" i="1"/>
  <c r="C28" i="3" s="1"/>
  <c r="V25" i="1"/>
  <c r="V26" i="1"/>
  <c r="X25" i="1"/>
  <c r="E25" i="3" s="1"/>
  <c r="X26" i="1"/>
  <c r="E26" i="3" s="1"/>
  <c r="W25" i="1"/>
  <c r="W26" i="1"/>
  <c r="BF25" i="1"/>
  <c r="M25" i="3" s="1"/>
  <c r="BF26" i="1"/>
  <c r="M26" i="3" s="1"/>
  <c r="BE25" i="1"/>
  <c r="L25" i="3" s="1"/>
  <c r="BE26" i="1"/>
  <c r="L26" i="3" s="1"/>
  <c r="AG25" i="1"/>
  <c r="N25" i="3" s="1"/>
  <c r="AG26" i="1"/>
  <c r="N26" i="3" s="1"/>
  <c r="BG25" i="1"/>
  <c r="BG26" i="1"/>
  <c r="AV25" i="1"/>
  <c r="C25" i="3" s="1"/>
  <c r="AV26" i="1"/>
  <c r="C26" i="3" s="1"/>
  <c r="AE25" i="1"/>
  <c r="AE26" i="1"/>
  <c r="AF25" i="1"/>
  <c r="AF26" i="1"/>
  <c r="AX25" i="1"/>
  <c r="AX26" i="1"/>
  <c r="AW25" i="1"/>
  <c r="D25" i="3" s="1"/>
  <c r="AW26" i="1"/>
  <c r="D26" i="3" s="1"/>
  <c r="AV23" i="1"/>
  <c r="C23" i="3" s="1"/>
  <c r="AV24" i="1"/>
  <c r="C24" i="3" s="1"/>
  <c r="V23" i="1"/>
  <c r="V24" i="1"/>
  <c r="AX23" i="1"/>
  <c r="AX24" i="1"/>
  <c r="AW23" i="1"/>
  <c r="D23" i="3" s="1"/>
  <c r="AW24" i="1"/>
  <c r="D24" i="3" s="1"/>
  <c r="X23" i="1"/>
  <c r="E23" i="3" s="1"/>
  <c r="X24" i="1"/>
  <c r="E24" i="3" s="1"/>
  <c r="W23" i="1"/>
  <c r="W24" i="1"/>
  <c r="AE23" i="1"/>
  <c r="AE24" i="1"/>
  <c r="AF23" i="1"/>
  <c r="AF24" i="1"/>
  <c r="BG23" i="1"/>
  <c r="BG24" i="1"/>
  <c r="BE23" i="1"/>
  <c r="L23" i="3" s="1"/>
  <c r="BE24" i="1"/>
  <c r="L24" i="3" s="1"/>
  <c r="BF23" i="1"/>
  <c r="M23" i="3" s="1"/>
  <c r="BF24" i="1"/>
  <c r="M24" i="3" s="1"/>
  <c r="AG23" i="1"/>
  <c r="N23" i="3" s="1"/>
  <c r="AG24" i="1"/>
  <c r="N24" i="3" s="1"/>
  <c r="BG21" i="1"/>
  <c r="BG22" i="1"/>
  <c r="AV21" i="1"/>
  <c r="C21" i="3" s="1"/>
  <c r="AV22" i="1"/>
  <c r="C22" i="3" s="1"/>
  <c r="V21" i="1"/>
  <c r="V22" i="1"/>
  <c r="AE21" i="1"/>
  <c r="AE22" i="1"/>
  <c r="AF21" i="1"/>
  <c r="AF22" i="1"/>
  <c r="AX21" i="1"/>
  <c r="AX22" i="1"/>
  <c r="AW21" i="1"/>
  <c r="D21" i="3" s="1"/>
  <c r="AW22" i="1"/>
  <c r="D22" i="3" s="1"/>
  <c r="W21" i="1"/>
  <c r="W22" i="1"/>
  <c r="BE21" i="1"/>
  <c r="L21" i="3" s="1"/>
  <c r="BE22" i="1"/>
  <c r="L22" i="3" s="1"/>
  <c r="X21" i="1"/>
  <c r="E21" i="3" s="1"/>
  <c r="X22" i="1"/>
  <c r="E22" i="3" s="1"/>
  <c r="AG21" i="1"/>
  <c r="N21" i="3" s="1"/>
  <c r="AG22" i="1"/>
  <c r="N22" i="3" s="1"/>
  <c r="BF21" i="1"/>
  <c r="M21" i="3" s="1"/>
  <c r="BF22" i="1"/>
  <c r="M22" i="3" s="1"/>
  <c r="BG20" i="1"/>
  <c r="BG19" i="1"/>
  <c r="AV18" i="1"/>
  <c r="C18" i="3" s="1"/>
  <c r="AV19" i="1"/>
  <c r="C19" i="3" s="1"/>
  <c r="AV20" i="1"/>
  <c r="C20" i="3" s="1"/>
  <c r="V18" i="1"/>
  <c r="V20" i="1"/>
  <c r="V19" i="1"/>
  <c r="AE19" i="1"/>
  <c r="AE20" i="1"/>
  <c r="AF20" i="1"/>
  <c r="AF19" i="1"/>
  <c r="AX18" i="1"/>
  <c r="AX19" i="1"/>
  <c r="AX20" i="1"/>
  <c r="AW18" i="1"/>
  <c r="D18" i="3" s="1"/>
  <c r="AW19" i="1"/>
  <c r="D19" i="3" s="1"/>
  <c r="AW20" i="1"/>
  <c r="D20" i="3" s="1"/>
  <c r="BF19" i="1"/>
  <c r="M19" i="3" s="1"/>
  <c r="BF20" i="1"/>
  <c r="M20" i="3" s="1"/>
  <c r="BE20" i="1"/>
  <c r="L20" i="3" s="1"/>
  <c r="BE19" i="1"/>
  <c r="L19" i="3" s="1"/>
  <c r="X19" i="1"/>
  <c r="E19" i="3" s="1"/>
  <c r="X20" i="1"/>
  <c r="E20" i="3" s="1"/>
  <c r="W18" i="1"/>
  <c r="W19" i="1"/>
  <c r="W20" i="1"/>
  <c r="AG20" i="1"/>
  <c r="N20" i="3" s="1"/>
  <c r="AG19" i="1"/>
  <c r="N19" i="3" s="1"/>
  <c r="X18" i="1"/>
  <c r="E18" i="3" s="1"/>
  <c r="AG17" i="1"/>
  <c r="N17" i="3" s="1"/>
  <c r="AG18" i="1"/>
  <c r="N18" i="3" s="1"/>
  <c r="BG17" i="1"/>
  <c r="BG18" i="1"/>
  <c r="AE17" i="1"/>
  <c r="AE18" i="1"/>
  <c r="AF17" i="1"/>
  <c r="AF18" i="1"/>
  <c r="BF17" i="1"/>
  <c r="M17" i="3" s="1"/>
  <c r="BF18" i="1"/>
  <c r="M18" i="3" s="1"/>
  <c r="BE17" i="1"/>
  <c r="L17" i="3" s="1"/>
  <c r="BE18" i="1"/>
  <c r="L18" i="3" s="1"/>
  <c r="AV16" i="1"/>
  <c r="C16" i="3" s="1"/>
  <c r="AV17" i="1"/>
  <c r="C17" i="3" s="1"/>
  <c r="V16" i="1"/>
  <c r="V17" i="1"/>
  <c r="AX16" i="1"/>
  <c r="AX17" i="1"/>
  <c r="AW16" i="1"/>
  <c r="D16" i="3" s="1"/>
  <c r="AW17" i="1"/>
  <c r="D17" i="3" s="1"/>
  <c r="X16" i="1"/>
  <c r="E16" i="3" s="1"/>
  <c r="X17" i="1"/>
  <c r="E17" i="3" s="1"/>
  <c r="W16" i="1"/>
  <c r="W17" i="1"/>
  <c r="BE14" i="1"/>
  <c r="L14" i="3" s="1"/>
  <c r="BE15" i="1"/>
  <c r="L15" i="3" s="1"/>
  <c r="AG14" i="1"/>
  <c r="N14" i="3" s="1"/>
  <c r="AG15" i="1"/>
  <c r="N15" i="3" s="1"/>
  <c r="V14" i="1"/>
  <c r="V15" i="1"/>
  <c r="X14" i="1"/>
  <c r="E14" i="3" s="1"/>
  <c r="X15" i="1"/>
  <c r="E15" i="3" s="1"/>
  <c r="W14" i="1"/>
  <c r="W15" i="1"/>
  <c r="BG14" i="1"/>
  <c r="BG15" i="1"/>
  <c r="AV14" i="1"/>
  <c r="C14" i="3" s="1"/>
  <c r="AV15" i="1"/>
  <c r="C15" i="3" s="1"/>
  <c r="AE14" i="1"/>
  <c r="AE15" i="1"/>
  <c r="AF14" i="1"/>
  <c r="AF15" i="1"/>
  <c r="AX14" i="1"/>
  <c r="AX15" i="1"/>
  <c r="AW14" i="1"/>
  <c r="D14" i="3" s="1"/>
  <c r="AW15" i="1"/>
  <c r="D15" i="3" s="1"/>
  <c r="BF14" i="1"/>
  <c r="M14" i="3" s="1"/>
  <c r="BF15" i="1"/>
  <c r="M15" i="3" s="1"/>
  <c r="X12" i="1"/>
  <c r="E12" i="3" s="1"/>
  <c r="X13" i="1"/>
  <c r="E13" i="3" s="1"/>
  <c r="W12" i="1"/>
  <c r="W13" i="1"/>
  <c r="BE12" i="1"/>
  <c r="L12" i="3" s="1"/>
  <c r="BE13" i="1"/>
  <c r="L13" i="3" s="1"/>
  <c r="V12" i="1"/>
  <c r="V13" i="1"/>
  <c r="AG12" i="1"/>
  <c r="N12" i="3" s="1"/>
  <c r="AG13" i="1"/>
  <c r="N13" i="3" s="1"/>
  <c r="BF12" i="1"/>
  <c r="M12" i="3" s="1"/>
  <c r="BF13" i="1"/>
  <c r="M13" i="3" s="1"/>
  <c r="BG12" i="1"/>
  <c r="BG13" i="1"/>
  <c r="AV12" i="1"/>
  <c r="C12" i="3" s="1"/>
  <c r="AV13" i="1"/>
  <c r="C13" i="3" s="1"/>
  <c r="AE12" i="1"/>
  <c r="AE13" i="1"/>
  <c r="AF12" i="1"/>
  <c r="AF13" i="1"/>
  <c r="AX12" i="1"/>
  <c r="AX13" i="1"/>
  <c r="AW12" i="1"/>
  <c r="D12" i="3" s="1"/>
  <c r="AW13" i="1"/>
  <c r="D13" i="3" s="1"/>
  <c r="N39" i="4"/>
  <c r="B39" i="4"/>
  <c r="N6" i="4"/>
  <c r="B6" i="4"/>
  <c r="AV11" i="1"/>
  <c r="C11" i="3" s="1"/>
  <c r="O10" i="1"/>
  <c r="R49" i="1" s="1"/>
  <c r="C49" i="2" s="1"/>
  <c r="AX11" i="1"/>
  <c r="AW11" i="1"/>
  <c r="D11" i="3" s="1"/>
  <c r="R47" i="1" l="1"/>
  <c r="C47" i="2" s="1"/>
  <c r="R48" i="1"/>
  <c r="C48" i="2" s="1"/>
  <c r="K48" i="2" s="1"/>
  <c r="R45" i="1"/>
  <c r="C45" i="2" s="1"/>
  <c r="R46" i="1"/>
  <c r="C46" i="2" s="1"/>
  <c r="R43" i="1"/>
  <c r="C43" i="2" s="1"/>
  <c r="R44" i="1"/>
  <c r="C44" i="2" s="1"/>
  <c r="K45" i="2" s="1"/>
  <c r="R41" i="1"/>
  <c r="C41" i="2" s="1"/>
  <c r="R42" i="1"/>
  <c r="C42" i="2" s="1"/>
  <c r="R39" i="1"/>
  <c r="C39" i="2" s="1"/>
  <c r="R40" i="1"/>
  <c r="C40" i="2" s="1"/>
  <c r="R38" i="1"/>
  <c r="C38" i="2" s="1"/>
  <c r="R37" i="1"/>
  <c r="C37" i="2" s="1"/>
  <c r="R35" i="1"/>
  <c r="C35" i="2" s="1"/>
  <c r="R36" i="1"/>
  <c r="C36" i="2" s="1"/>
  <c r="R33" i="1"/>
  <c r="C33" i="2" s="1"/>
  <c r="R34" i="1"/>
  <c r="C34" i="2" s="1"/>
  <c r="R31" i="1"/>
  <c r="C31" i="2" s="1"/>
  <c r="R32" i="1"/>
  <c r="C32" i="2" s="1"/>
  <c r="R29" i="1"/>
  <c r="C29" i="2" s="1"/>
  <c r="R30" i="1"/>
  <c r="C30" i="2" s="1"/>
  <c r="R27" i="1"/>
  <c r="C27" i="2" s="1"/>
  <c r="R28" i="1"/>
  <c r="C28" i="2" s="1"/>
  <c r="R25" i="1"/>
  <c r="C25" i="2" s="1"/>
  <c r="R26" i="1"/>
  <c r="C26" i="2" s="1"/>
  <c r="R23" i="1"/>
  <c r="C23" i="2" s="1"/>
  <c r="R24" i="1"/>
  <c r="C24" i="2" s="1"/>
  <c r="R21" i="1"/>
  <c r="C21" i="2" s="1"/>
  <c r="R22" i="1"/>
  <c r="C22" i="2" s="1"/>
  <c r="R19" i="1"/>
  <c r="C19" i="2" s="1"/>
  <c r="R20" i="1"/>
  <c r="C20" i="2" s="1"/>
  <c r="R17" i="1"/>
  <c r="C17" i="2" s="1"/>
  <c r="K17" i="2" s="1"/>
  <c r="R18" i="1"/>
  <c r="C18" i="2" s="1"/>
  <c r="R15" i="1"/>
  <c r="C15" i="2" s="1"/>
  <c r="K16" i="2" s="1"/>
  <c r="R12" i="1"/>
  <c r="C12" i="2" s="1"/>
  <c r="R13" i="1"/>
  <c r="C13" i="2" s="1"/>
  <c r="R14" i="1"/>
  <c r="C14" i="2" s="1"/>
  <c r="R11" i="1"/>
  <c r="C11" i="2" s="1"/>
  <c r="A3" i="6"/>
  <c r="K49" i="2" l="1"/>
  <c r="K46" i="2"/>
  <c r="K47" i="2"/>
  <c r="K40" i="2"/>
  <c r="K43" i="2"/>
  <c r="K44" i="2"/>
  <c r="K39" i="2"/>
  <c r="K42" i="2"/>
  <c r="K41" i="2"/>
  <c r="K38" i="2"/>
  <c r="K36" i="2"/>
  <c r="K37" i="2"/>
  <c r="K35" i="2"/>
  <c r="K31" i="2"/>
  <c r="K34" i="2"/>
  <c r="K32" i="2"/>
  <c r="K33" i="2"/>
  <c r="K30" i="2"/>
  <c r="K28" i="2"/>
  <c r="K29" i="2"/>
  <c r="K27" i="2"/>
  <c r="K26" i="2"/>
  <c r="K25" i="2"/>
  <c r="K23" i="2"/>
  <c r="K24" i="2"/>
  <c r="K22" i="2"/>
  <c r="K20" i="2"/>
  <c r="K21" i="2"/>
  <c r="K18" i="2"/>
  <c r="K19" i="2"/>
  <c r="K15" i="2"/>
  <c r="K13" i="2"/>
  <c r="K12" i="2"/>
  <c r="K14" i="2"/>
  <c r="F11" i="3"/>
  <c r="BG11" i="1" l="1"/>
  <c r="BF11" i="1"/>
  <c r="M11" i="3" s="1"/>
  <c r="BE11" i="1"/>
  <c r="L11" i="3" s="1"/>
  <c r="BD11" i="1"/>
  <c r="BC11" i="1"/>
  <c r="BB11" i="1"/>
  <c r="G11" i="3"/>
  <c r="AG11" i="1"/>
  <c r="N11" i="3" s="1"/>
  <c r="AF11" i="1"/>
  <c r="AE11" i="1"/>
  <c r="H11" i="3"/>
  <c r="X11" i="1"/>
  <c r="E11" i="3" s="1"/>
  <c r="W11" i="1"/>
  <c r="V11" i="1"/>
  <c r="B11" i="1" l="1"/>
  <c r="H10" i="3" l="1"/>
  <c r="G10" i="3"/>
  <c r="F10" i="3"/>
  <c r="D10" i="2"/>
  <c r="P10" i="1"/>
  <c r="D11" i="2" l="1"/>
  <c r="L12" i="2" s="1"/>
  <c r="Q10" i="1" l="1"/>
  <c r="A11" i="3"/>
  <c r="B11" i="3"/>
  <c r="B11" i="2"/>
  <c r="C10" i="2"/>
  <c r="B10" i="2"/>
  <c r="O11" i="3"/>
  <c r="O10" i="3"/>
  <c r="B10" i="3"/>
  <c r="A10" i="3"/>
  <c r="E10" i="3"/>
  <c r="D10" i="3"/>
  <c r="C10" i="3"/>
  <c r="E10" i="2"/>
  <c r="L10" i="3"/>
  <c r="M10" i="3"/>
  <c r="N10" i="3"/>
  <c r="A10" i="2"/>
  <c r="L11" i="2" l="1"/>
  <c r="A11" i="2"/>
  <c r="K11" i="2" l="1"/>
  <c r="M1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<sst xmlns="http://schemas.openxmlformats.org/spreadsheetml/2006/main" count="559" uniqueCount="225">
  <si>
    <t>PM</t>
  </si>
  <si>
    <t>Différences</t>
  </si>
  <si>
    <t>X</t>
  </si>
  <si>
    <t>Y</t>
  </si>
  <si>
    <t>Z</t>
  </si>
  <si>
    <t>H</t>
  </si>
  <si>
    <t>Laboratoire ANDRA - Bure</t>
  </si>
  <si>
    <t>Temps (j)</t>
  </si>
  <si>
    <t>Date</t>
  </si>
  <si>
    <t>Toutes les valeurs de déplacement sont en mm</t>
  </si>
  <si>
    <t>jours écoulés</t>
  </si>
  <si>
    <t>BG</t>
  </si>
  <si>
    <t>BD</t>
  </si>
  <si>
    <t>HG</t>
  </si>
  <si>
    <t>V</t>
  </si>
  <si>
    <r>
      <t>D</t>
    </r>
    <r>
      <rPr>
        <b/>
        <sz val="12"/>
        <rFont val="Arial"/>
        <family val="2"/>
      </rPr>
      <t>X</t>
    </r>
  </si>
  <si>
    <r>
      <t>D</t>
    </r>
    <r>
      <rPr>
        <b/>
        <sz val="12"/>
        <rFont val="Arial"/>
        <family val="2"/>
      </rPr>
      <t>Y</t>
    </r>
  </si>
  <si>
    <r>
      <t>D</t>
    </r>
    <r>
      <rPr>
        <b/>
        <sz val="12"/>
        <rFont val="Arial"/>
        <family val="2"/>
      </rPr>
      <t>Z</t>
    </r>
  </si>
  <si>
    <r>
      <t>D</t>
    </r>
    <r>
      <rPr>
        <b/>
        <sz val="12"/>
        <rFont val="Arial"/>
        <family val="2"/>
      </rPr>
      <t>H</t>
    </r>
  </si>
  <si>
    <r>
      <t>D</t>
    </r>
    <r>
      <rPr>
        <b/>
        <sz val="12"/>
        <rFont val="Arial"/>
        <family val="2"/>
      </rPr>
      <t>PM</t>
    </r>
  </si>
  <si>
    <t>Jours</t>
  </si>
  <si>
    <t>Date point 0</t>
  </si>
  <si>
    <t>Ecarts ( en mm )</t>
  </si>
  <si>
    <t>Vitesse de convergence ( en mm/j )</t>
  </si>
  <si>
    <t>IG</t>
  </si>
  <si>
    <t>Chantier 4</t>
  </si>
  <si>
    <t>commentaires</t>
  </si>
  <si>
    <t>CH</t>
  </si>
  <si>
    <t>referentiel</t>
  </si>
  <si>
    <t>conditions mesure</t>
  </si>
  <si>
    <t>contexte chantier</t>
  </si>
  <si>
    <t>RAS</t>
  </si>
  <si>
    <t>ok</t>
  </si>
  <si>
    <t>critere derniere mesure</t>
  </si>
  <si>
    <t>derniere mesure réelle</t>
  </si>
  <si>
    <t>derniere mesure graphique</t>
  </si>
  <si>
    <t>date premiere mesure</t>
  </si>
  <si>
    <t>BASE DONNEES MESURE</t>
  </si>
  <si>
    <t>DECALAGE</t>
  </si>
  <si>
    <t xml:space="preserve">PM </t>
  </si>
  <si>
    <t>X,Y début droite</t>
  </si>
  <si>
    <t>GIS</t>
  </si>
  <si>
    <t>Zo</t>
  </si>
  <si>
    <t>origine</t>
  </si>
  <si>
    <t>Pm début</t>
  </si>
  <si>
    <t>arrivé</t>
  </si>
  <si>
    <t>Zo début</t>
  </si>
  <si>
    <t>SAISIR CI-DESSOUS LES X Y Z</t>
  </si>
  <si>
    <t>Pente</t>
  </si>
  <si>
    <t>Gisement (gon)</t>
  </si>
  <si>
    <t>Dist.Horz</t>
  </si>
  <si>
    <t>DATE</t>
  </si>
  <si>
    <t>NO</t>
  </si>
  <si>
    <t>Z0</t>
  </si>
  <si>
    <t xml:space="preserve">AUSCULTATION GER - HA21-3 </t>
  </si>
  <si>
    <t>CHP1_Alv3 (A)</t>
  </si>
  <si>
    <t>CHP2_Alv3 (B)</t>
  </si>
  <si>
    <t>CL_Alv3 (C)</t>
  </si>
  <si>
    <t>CTR_Alv3 (D)</t>
  </si>
  <si>
    <t>AD</t>
  </si>
  <si>
    <t>CD</t>
  </si>
  <si>
    <t>d(AD)</t>
  </si>
  <si>
    <t>d(BD)</t>
  </si>
  <si>
    <t>d(CD)</t>
  </si>
  <si>
    <t>A</t>
  </si>
  <si>
    <t>B</t>
  </si>
  <si>
    <t>C</t>
  </si>
  <si>
    <t>D</t>
  </si>
  <si>
    <t>HA21.3.H</t>
  </si>
  <si>
    <t>HA21.3.M</t>
  </si>
  <si>
    <t>HA21.3.C</t>
  </si>
  <si>
    <t>axe linteau HA21-3</t>
  </si>
  <si>
    <t>INTERSECT ger HA21.3</t>
  </si>
  <si>
    <t>deplacement vers le GER (transversal à GER)</t>
  </si>
  <si>
    <t>ddeplacement latéral (dans le sens PM GER)</t>
  </si>
  <si>
    <t>deplacement alti</t>
  </si>
  <si>
    <t>point zero (2e point zero)</t>
  </si>
  <si>
    <t>avant travaux</t>
  </si>
  <si>
    <t>HA.HA21.3.1</t>
  </si>
  <si>
    <t>HA.HA21.3.2</t>
  </si>
  <si>
    <t>HA.HA21.3.3</t>
  </si>
  <si>
    <t>GALERIE GER - Alvéole HA21-3 - Mesures de cordes par rapport cible de contrôle</t>
  </si>
  <si>
    <t>GALERIE GER - Alvéole HA21-3 - Déplacement des cibles</t>
  </si>
  <si>
    <r>
      <t>D</t>
    </r>
    <r>
      <rPr>
        <b/>
        <sz val="14"/>
        <rFont val="Calibri"/>
        <family val="2"/>
      </rPr>
      <t>PM CTR</t>
    </r>
  </si>
  <si>
    <r>
      <t>D</t>
    </r>
    <r>
      <rPr>
        <b/>
        <sz val="14"/>
        <rFont val="Calibri"/>
        <family val="2"/>
      </rPr>
      <t>H CTR</t>
    </r>
  </si>
  <si>
    <r>
      <t>D</t>
    </r>
    <r>
      <rPr>
        <b/>
        <sz val="14"/>
        <rFont val="Calibri"/>
        <family val="2"/>
      </rPr>
      <t>Z CTR</t>
    </r>
  </si>
  <si>
    <t>CHP1 (A) - CTR (D)</t>
  </si>
  <si>
    <t>CHP2 (B) - CTR (D)</t>
  </si>
  <si>
    <t>CL (C ) - CTR (D)</t>
  </si>
  <si>
    <t>mesure 1</t>
  </si>
  <si>
    <t>mesures après  excavation linteaux</t>
  </si>
  <si>
    <t>CHP1 (A) - CTRL (D)</t>
  </si>
  <si>
    <t>CHP2 (B) - CTRL (D)</t>
  </si>
  <si>
    <t>CL (C ) - CTRL (D)</t>
  </si>
  <si>
    <t>HA21.3.01</t>
  </si>
  <si>
    <t>HA21.3.03</t>
  </si>
  <si>
    <t>mesure 2</t>
  </si>
  <si>
    <t>mesure apres coulage linteau</t>
  </si>
  <si>
    <t>HA21.3.04</t>
  </si>
  <si>
    <t>HA21.3.02</t>
  </si>
  <si>
    <t>HA21.3.1</t>
  </si>
  <si>
    <t>HA21.3.4</t>
  </si>
  <si>
    <t>HA21.3.2</t>
  </si>
  <si>
    <t>HA21.3.3</t>
  </si>
  <si>
    <t>mesure avant piquage</t>
  </si>
  <si>
    <t>mesure apres debut piquage massif avant</t>
  </si>
  <si>
    <t xml:space="preserve">point zero CL_Alv3 </t>
  </si>
  <si>
    <t>nouveau point zero CL_Alv3 (detruite pendant excavation)</t>
  </si>
  <si>
    <t>HA.HA213.1</t>
  </si>
  <si>
    <t>HA.HA213.2</t>
  </si>
  <si>
    <t>HA.HA213.3</t>
  </si>
  <si>
    <t>HA.HA213.4</t>
  </si>
  <si>
    <t>HA213.1</t>
  </si>
  <si>
    <t>HA213.3</t>
  </si>
  <si>
    <t>HA213.4</t>
  </si>
  <si>
    <t>E</t>
  </si>
  <si>
    <t>HA21.1</t>
  </si>
  <si>
    <t>HA21.2</t>
  </si>
  <si>
    <t>HA21.3</t>
  </si>
  <si>
    <t>HA21.4</t>
  </si>
  <si>
    <t xml:space="preserve">mesure avant pose étais </t>
  </si>
  <si>
    <t>IHA21.1</t>
  </si>
  <si>
    <t>IHA21.2</t>
  </si>
  <si>
    <t>IHA21.3</t>
  </si>
  <si>
    <t>IHA21.4</t>
  </si>
  <si>
    <t>mesure 23/09 matin apres week end , affectée au 22/09 pour la lecture des graphiques</t>
  </si>
  <si>
    <t xml:space="preserve">mesure 23/09 soir </t>
  </si>
  <si>
    <t>mesure apres excavation finale HA21.3</t>
  </si>
  <si>
    <t>mesures apres béton HA21.3</t>
  </si>
  <si>
    <t>en phase excavation virole</t>
  </si>
  <si>
    <t>piquage massif avant</t>
  </si>
  <si>
    <t>cible B : gené par grillage</t>
  </si>
  <si>
    <t>cible B : gené par grillage (cible de contrôle non mesurée ,
 SMC 131-HD à la place)</t>
  </si>
  <si>
    <t>cible B : gené par grillage - placement station en fonction engins</t>
  </si>
  <si>
    <t>HA.HA21.1</t>
  </si>
  <si>
    <t>HA.HA21.2</t>
  </si>
  <si>
    <t>HA.HA21.3</t>
  </si>
  <si>
    <t>HA.HA21.4</t>
  </si>
  <si>
    <t>GER.HA21.1</t>
  </si>
  <si>
    <t>GER.HA21.2</t>
  </si>
  <si>
    <t>GER.HA21.3</t>
  </si>
  <si>
    <t>GER.HA21.4</t>
  </si>
  <si>
    <t>HA3.1</t>
  </si>
  <si>
    <t>HA3.2</t>
  </si>
  <si>
    <t>HA3.3</t>
  </si>
  <si>
    <t>HA3.4</t>
  </si>
  <si>
    <t xml:space="preserve">apres étanchéité </t>
  </si>
  <si>
    <t>HA3.C1</t>
  </si>
  <si>
    <t>HA3.C2</t>
  </si>
  <si>
    <t>HA3.C3</t>
  </si>
  <si>
    <t>HA3.C4</t>
  </si>
  <si>
    <r>
      <t>D</t>
    </r>
    <r>
      <rPr>
        <b/>
        <sz val="14"/>
        <rFont val="Calibri"/>
        <family val="2"/>
      </rPr>
      <t>PM CHP1</t>
    </r>
  </si>
  <si>
    <r>
      <t>D</t>
    </r>
    <r>
      <rPr>
        <b/>
        <sz val="14"/>
        <rFont val="Calibri"/>
        <family val="2"/>
      </rPr>
      <t>H CHP1</t>
    </r>
  </si>
  <si>
    <r>
      <t>D</t>
    </r>
    <r>
      <rPr>
        <b/>
        <sz val="14"/>
        <rFont val="Calibri"/>
        <family val="2"/>
      </rPr>
      <t>Z CHP1</t>
    </r>
  </si>
  <si>
    <r>
      <t>D</t>
    </r>
    <r>
      <rPr>
        <b/>
        <sz val="14"/>
        <rFont val="Calibri"/>
        <family val="2"/>
      </rPr>
      <t>PM CHP2</t>
    </r>
  </si>
  <si>
    <r>
      <t>D</t>
    </r>
    <r>
      <rPr>
        <b/>
        <sz val="14"/>
        <rFont val="Calibri"/>
        <family val="2"/>
      </rPr>
      <t>H CHP2</t>
    </r>
  </si>
  <si>
    <r>
      <t>D</t>
    </r>
    <r>
      <rPr>
        <b/>
        <sz val="14"/>
        <rFont val="Calibri"/>
        <family val="2"/>
      </rPr>
      <t>Z CHP2</t>
    </r>
  </si>
  <si>
    <r>
      <t>D</t>
    </r>
    <r>
      <rPr>
        <b/>
        <sz val="14"/>
        <rFont val="Calibri"/>
        <family val="2"/>
      </rPr>
      <t>PM CL</t>
    </r>
  </si>
  <si>
    <r>
      <t>D</t>
    </r>
    <r>
      <rPr>
        <b/>
        <sz val="14"/>
        <rFont val="Calibri"/>
        <family val="2"/>
      </rPr>
      <t>H CL</t>
    </r>
  </si>
  <si>
    <r>
      <t>D</t>
    </r>
    <r>
      <rPr>
        <b/>
        <sz val="14"/>
        <rFont val="Calibri"/>
        <family val="2"/>
      </rPr>
      <t>Z CL</t>
    </r>
  </si>
  <si>
    <t>HA3.HA21.1</t>
  </si>
  <si>
    <t>HA3.HA21.2</t>
  </si>
  <si>
    <t>HA3.HA21.3</t>
  </si>
  <si>
    <t>HA3.HA21.4</t>
  </si>
  <si>
    <t>GER.HA213.1</t>
  </si>
  <si>
    <t>GER.HA213.2</t>
  </si>
  <si>
    <t>GER.HA213.3</t>
  </si>
  <si>
    <t>GER.HA213.4</t>
  </si>
  <si>
    <t>A.HA21.1</t>
  </si>
  <si>
    <t>A.HA21.2</t>
  </si>
  <si>
    <t>A.HA21.3</t>
  </si>
  <si>
    <t>A.HA21.4</t>
  </si>
  <si>
    <t>GER.HA.1</t>
  </si>
  <si>
    <t>GER.HA.2</t>
  </si>
  <si>
    <t>GER.HA.3</t>
  </si>
  <si>
    <t>GER.HA.4</t>
  </si>
  <si>
    <t>Cible 2 : gené par grillage + installations Bessac</t>
  </si>
  <si>
    <t>referentiel : OK mais un peu gené ^pour la position de la station , en raison instalaltions bessac</t>
  </si>
  <si>
    <t>HA9.3</t>
  </si>
  <si>
    <t>Cible 2 : gené par grillage + tuyau</t>
  </si>
  <si>
    <t xml:space="preserve">mesure apres que Bessac ait enlevé tous leurs installations </t>
  </si>
  <si>
    <t>mesure à la reprise</t>
  </si>
  <si>
    <t>RAS - champs libre</t>
  </si>
  <si>
    <t>pendant la realisation alvéole Bessac</t>
  </si>
  <si>
    <t>changement position station a cause des travaux radiers</t>
  </si>
  <si>
    <t>GER.HA21.E1.1</t>
  </si>
  <si>
    <t>GER.HA21.E1.2</t>
  </si>
  <si>
    <t>GER.HA21.E1.3</t>
  </si>
  <si>
    <t>GER.HA21.E1.4</t>
  </si>
  <si>
    <t>HA.E3.2</t>
  </si>
  <si>
    <t>HA1</t>
  </si>
  <si>
    <t>HA2</t>
  </si>
  <si>
    <t>HA3</t>
  </si>
  <si>
    <t>HA4</t>
  </si>
  <si>
    <t>Cible 2 : gené par grillage</t>
  </si>
  <si>
    <t>X_HA21-E3.1</t>
  </si>
  <si>
    <t>X_HA21-E3.2</t>
  </si>
  <si>
    <t>X_HA21-E3.3</t>
  </si>
  <si>
    <t>X_HA21-E3.4</t>
  </si>
  <si>
    <t>HA2.HA21-E3.1</t>
  </si>
  <si>
    <t>HA2.HA21-E3.2</t>
  </si>
  <si>
    <t>HA2.HA21-E3.3</t>
  </si>
  <si>
    <t>HA2.HA21-E3.4</t>
  </si>
  <si>
    <t>GER.HA3.1</t>
  </si>
  <si>
    <t>GER.HA3.2</t>
  </si>
  <si>
    <t>GER.HA3.3</t>
  </si>
  <si>
    <t>GER.HA3.4</t>
  </si>
  <si>
    <t>A.HA3.1</t>
  </si>
  <si>
    <t>A.HA3.2</t>
  </si>
  <si>
    <t>A.HA3.3</t>
  </si>
  <si>
    <t>A.HA3.4</t>
  </si>
  <si>
    <t>HA3.11</t>
  </si>
  <si>
    <t>HA3.22</t>
  </si>
  <si>
    <t>HA3.23</t>
  </si>
  <si>
    <t>HA3.24</t>
  </si>
  <si>
    <t>pendant installation geosonic</t>
  </si>
  <si>
    <t>mesures  avec angles d'incidence (et gene par grillage pour cible 2)</t>
  </si>
  <si>
    <t>HA21-E3.1</t>
  </si>
  <si>
    <t>HA21-E3.2</t>
  </si>
  <si>
    <t>HA21-E3.3</t>
  </si>
  <si>
    <t>HA21-E3.4</t>
  </si>
  <si>
    <t>B.HA213.1</t>
  </si>
  <si>
    <t>B.HA213.2</t>
  </si>
  <si>
    <t>B.HA213.3</t>
  </si>
  <si>
    <t>B.HA213.4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</si>
</sst>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\+\ 0.0;\-\ 0.0;\±\ 0.0"/>
    <numFmt numFmtId="165" formatCode="0.0"/>
    <numFmt numFmtId="166" formatCode="0.0000"/>
    <numFmt numFmtId="167" formatCode="0.000"/>
    <numFmt numFmtId="168" formatCode="dd\ /\ mm\ /\ yy"/>
    <numFmt numFmtId="169" formatCode="\+\ 0;\-\ 0;\±\ 0"/>
    <numFmt numFmtId="170" formatCode="\+0.0000;[Red]\-0.0000"/>
    <numFmt numFmtId="171" formatCode="0.00000"/>
  </numFmts>
  <fonts count="5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8"/>
      <name val="Symbol"/>
      <family val="1"/>
      <charset val="2"/>
    </font>
    <font>
      <sz val="8"/>
      <name val="Arial"/>
      <family val="2"/>
    </font>
    <font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0"/>
      <color theme="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4"/>
      <name val="Symbol"/>
      <family val="1"/>
      <charset val="2"/>
    </font>
    <font>
      <b/>
      <sz val="14"/>
      <name val="Calibri"/>
      <family val="2"/>
    </font>
    <font>
      <sz val="10"/>
      <name val="Arial"/>
      <family val="2"/>
    </font>
    <font>
      <sz val="20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0"/>
      <color indexed="10"/>
      <name val="Courier (W1)"/>
      <family val="3"/>
    </font>
    <font>
      <sz val="10"/>
      <color indexed="39"/>
      <name val="Courier (W1)"/>
      <family val="3"/>
    </font>
    <font>
      <sz val="11"/>
      <color indexed="39"/>
      <name val="Courier New"/>
      <family val="3"/>
    </font>
    <font>
      <sz val="10"/>
      <color theme="0"/>
      <name val="Arial"/>
      <family val="2"/>
    </font>
    <font>
      <sz val="10"/>
      <color theme="2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2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20" borderId="1" applyNumberFormat="0" applyAlignment="0" applyProtection="0"/>
    <xf numFmtId="0" fontId="9" fillId="0" borderId="2" applyNumberFormat="0" applyFill="0" applyAlignment="0" applyProtection="0"/>
    <xf numFmtId="0" fontId="10" fillId="21" borderId="3" applyNumberFormat="0" applyFont="0" applyAlignment="0" applyProtection="0"/>
    <xf numFmtId="0" fontId="11" fillId="7" borderId="1" applyNumberFormat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14" fillId="4" borderId="0" applyNumberFormat="0" applyBorder="0" applyAlignment="0" applyProtection="0"/>
    <xf numFmtId="0" fontId="15" fillId="20" borderId="4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8" applyNumberFormat="0" applyFill="0" applyAlignment="0" applyProtection="0"/>
    <xf numFmtId="0" fontId="22" fillId="23" borderId="9" applyNumberFormat="0" applyAlignment="0" applyProtection="0"/>
    <xf numFmtId="0" fontId="4" fillId="0" borderId="0"/>
    <xf numFmtId="0" fontId="4" fillId="27" borderId="23" applyNumberFormat="0" applyFont="0" applyAlignment="0" applyProtection="0"/>
    <xf numFmtId="0" fontId="10" fillId="0" borderId="0"/>
    <xf numFmtId="9" fontId="10" fillId="0" borderId="0" applyFont="0" applyFill="0" applyBorder="0" applyAlignment="0" applyProtection="0"/>
    <xf numFmtId="0" fontId="3" fillId="0" borderId="0"/>
    <xf numFmtId="0" fontId="3" fillId="27" borderId="23" applyNumberFormat="0" applyFont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42" fillId="0" borderId="0" applyFont="0" applyFill="0" applyBorder="0" applyAlignment="0" applyProtection="0"/>
  </cellStyleXfs>
  <cellXfs count="218">
    <xf numFmtId="0" fontId="0" fillId="0" borderId="0" xfId="0"/>
    <xf numFmtId="0" fontId="27" fillId="0" borderId="0" xfId="0" applyFont="1" applyAlignment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31" fillId="0" borderId="12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24" fillId="0" borderId="12" xfId="0" applyNumberFormat="1" applyFont="1" applyBorder="1" applyAlignment="1">
      <alignment vertical="center"/>
    </xf>
    <xf numFmtId="168" fontId="31" fillId="0" borderId="0" xfId="0" applyNumberFormat="1" applyFont="1" applyAlignment="1">
      <alignment vertical="center"/>
    </xf>
    <xf numFmtId="168" fontId="26" fillId="0" borderId="13" xfId="0" applyNumberFormat="1" applyFont="1" applyBorder="1" applyAlignment="1">
      <alignment horizontal="center" vertical="center" wrapText="1"/>
    </xf>
    <xf numFmtId="168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4" fillId="0" borderId="0" xfId="0" applyFont="1" applyAlignment="1">
      <alignment horizontal="center" wrapText="1"/>
    </xf>
    <xf numFmtId="0" fontId="32" fillId="0" borderId="0" xfId="0" applyFont="1" applyAlignment="1">
      <alignment horizontal="center" vertical="center"/>
    </xf>
    <xf numFmtId="1" fontId="26" fillId="24" borderId="11" xfId="0" applyNumberFormat="1" applyFont="1" applyFill="1" applyBorder="1" applyAlignment="1">
      <alignment horizontal="center" vertical="center"/>
    </xf>
    <xf numFmtId="168" fontId="10" fillId="24" borderId="1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24" borderId="0" xfId="0" applyFill="1" applyAlignment="1">
      <alignment vertical="center"/>
    </xf>
    <xf numFmtId="0" fontId="0" fillId="24" borderId="0" xfId="0" applyFill="1"/>
    <xf numFmtId="0" fontId="0" fillId="24" borderId="0" xfId="0" applyFill="1" applyAlignment="1">
      <alignment wrapText="1"/>
    </xf>
    <xf numFmtId="168" fontId="26" fillId="25" borderId="11" xfId="0" applyNumberFormat="1" applyFont="1" applyFill="1" applyBorder="1" applyAlignment="1">
      <alignment horizontal="center" vertical="center"/>
    </xf>
    <xf numFmtId="168" fontId="26" fillId="24" borderId="11" xfId="0" applyNumberFormat="1" applyFont="1" applyFill="1" applyBorder="1" applyAlignment="1">
      <alignment horizontal="center" vertical="center"/>
    </xf>
    <xf numFmtId="166" fontId="26" fillId="24" borderId="11" xfId="0" applyNumberFormat="1" applyFont="1" applyFill="1" applyBorder="1" applyAlignment="1">
      <alignment horizontal="center" vertical="center"/>
    </xf>
    <xf numFmtId="0" fontId="26" fillId="24" borderId="0" xfId="0" applyFont="1" applyFill="1" applyAlignment="1">
      <alignment vertical="center"/>
    </xf>
    <xf numFmtId="164" fontId="26" fillId="24" borderId="11" xfId="0" applyNumberFormat="1" applyFont="1" applyFill="1" applyBorder="1" applyAlignment="1">
      <alignment horizontal="center" vertical="center"/>
    </xf>
    <xf numFmtId="0" fontId="24" fillId="24" borderId="14" xfId="0" applyFont="1" applyFill="1" applyBorder="1" applyAlignment="1">
      <alignment horizontal="center" vertical="center"/>
    </xf>
    <xf numFmtId="1" fontId="26" fillId="25" borderId="11" xfId="0" applyNumberFormat="1" applyFont="1" applyFill="1" applyBorder="1" applyAlignment="1">
      <alignment horizontal="center" vertical="center"/>
    </xf>
    <xf numFmtId="164" fontId="0" fillId="24" borderId="11" xfId="0" applyNumberForma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24" borderId="11" xfId="0" applyFill="1" applyBorder="1" applyAlignment="1">
      <alignment horizontal="center" vertical="center"/>
    </xf>
    <xf numFmtId="168" fontId="0" fillId="24" borderId="11" xfId="0" applyNumberFormat="1" applyFill="1" applyBorder="1" applyAlignment="1">
      <alignment horizontal="center" vertical="center"/>
    </xf>
    <xf numFmtId="0" fontId="34" fillId="24" borderId="14" xfId="0" applyFont="1" applyFill="1" applyBorder="1" applyAlignment="1">
      <alignment horizontal="center" vertical="center"/>
    </xf>
    <xf numFmtId="0" fontId="24" fillId="24" borderId="17" xfId="0" applyFont="1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30" fillId="0" borderId="0" xfId="0" applyFont="1" applyAlignment="1">
      <alignment vertical="center"/>
    </xf>
    <xf numFmtId="0" fontId="0" fillId="0" borderId="27" xfId="0" applyBorder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12" xfId="0" applyBorder="1"/>
    <xf numFmtId="0" fontId="0" fillId="0" borderId="21" xfId="0" applyBorder="1"/>
    <xf numFmtId="0" fontId="0" fillId="0" borderId="28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1" xfId="0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/>
    <xf numFmtId="14" fontId="0" fillId="0" borderId="0" xfId="0" applyNumberFormat="1" applyAlignment="1">
      <alignment vertical="center"/>
    </xf>
    <xf numFmtId="0" fontId="0" fillId="29" borderId="0" xfId="0" applyFill="1" applyAlignment="1">
      <alignment vertical="center"/>
    </xf>
    <xf numFmtId="0" fontId="0" fillId="29" borderId="0" xfId="0" applyFill="1"/>
    <xf numFmtId="0" fontId="24" fillId="29" borderId="25" xfId="0" applyFont="1" applyFill="1" applyBorder="1" applyAlignment="1">
      <alignment horizontal="center" vertical="center"/>
    </xf>
    <xf numFmtId="0" fontId="24" fillId="29" borderId="0" xfId="0" applyFont="1" applyFill="1" applyAlignment="1">
      <alignment horizontal="center" vertical="center"/>
    </xf>
    <xf numFmtId="14" fontId="0" fillId="29" borderId="0" xfId="0" applyNumberFormat="1" applyFill="1" applyAlignment="1">
      <alignment horizontal="center" vertical="center"/>
    </xf>
    <xf numFmtId="0" fontId="26" fillId="29" borderId="0" xfId="0" applyFont="1" applyFill="1" applyAlignment="1">
      <alignment horizontal="center" vertical="center"/>
    </xf>
    <xf numFmtId="0" fontId="0" fillId="29" borderId="12" xfId="0" applyFill="1" applyBorder="1"/>
    <xf numFmtId="0" fontId="0" fillId="29" borderId="12" xfId="0" applyFill="1" applyBorder="1" applyAlignment="1">
      <alignment vertical="center"/>
    </xf>
    <xf numFmtId="1" fontId="37" fillId="24" borderId="11" xfId="0" applyNumberFormat="1" applyFont="1" applyFill="1" applyBorder="1" applyAlignment="1">
      <alignment horizontal="center" vertical="center"/>
    </xf>
    <xf numFmtId="168" fontId="36" fillId="24" borderId="11" xfId="0" applyNumberFormat="1" applyFont="1" applyFill="1" applyBorder="1" applyAlignment="1">
      <alignment horizontal="center" vertical="center"/>
    </xf>
    <xf numFmtId="164" fontId="36" fillId="0" borderId="11" xfId="0" applyNumberFormat="1" applyFont="1" applyBorder="1" applyAlignment="1">
      <alignment horizontal="center" vertical="center"/>
    </xf>
    <xf numFmtId="164" fontId="36" fillId="24" borderId="1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 wrapText="1"/>
    </xf>
    <xf numFmtId="0" fontId="0" fillId="29" borderId="26" xfId="0" applyFill="1" applyBorder="1"/>
    <xf numFmtId="0" fontId="0" fillId="29" borderId="27" xfId="0" applyFill="1" applyBorder="1"/>
    <xf numFmtId="0" fontId="0" fillId="29" borderId="26" xfId="0" applyFill="1" applyBorder="1" applyAlignment="1">
      <alignment vertical="center"/>
    </xf>
    <xf numFmtId="0" fontId="0" fillId="29" borderId="27" xfId="0" applyFill="1" applyBorder="1" applyAlignment="1">
      <alignment vertical="center"/>
    </xf>
    <xf numFmtId="168" fontId="26" fillId="30" borderId="11" xfId="0" applyNumberFormat="1" applyFont="1" applyFill="1" applyBorder="1" applyAlignment="1">
      <alignment horizontal="center" vertical="center"/>
    </xf>
    <xf numFmtId="1" fontId="26" fillId="30" borderId="11" xfId="0" applyNumberFormat="1" applyFont="1" applyFill="1" applyBorder="1" applyAlignment="1">
      <alignment horizontal="center" vertical="center"/>
    </xf>
    <xf numFmtId="166" fontId="26" fillId="30" borderId="11" xfId="0" applyNumberFormat="1" applyFont="1" applyFill="1" applyBorder="1" applyAlignment="1">
      <alignment horizontal="center" vertical="center"/>
    </xf>
    <xf numFmtId="166" fontId="33" fillId="30" borderId="11" xfId="0" applyNumberFormat="1" applyFont="1" applyFill="1" applyBorder="1" applyAlignment="1">
      <alignment horizontal="center" vertical="center"/>
    </xf>
    <xf numFmtId="169" fontId="26" fillId="30" borderId="10" xfId="0" applyNumberFormat="1" applyFont="1" applyFill="1" applyBorder="1" applyAlignment="1">
      <alignment horizontal="center" vertical="center"/>
    </xf>
    <xf numFmtId="0" fontId="26" fillId="30" borderId="0" xfId="0" applyFont="1" applyFill="1" applyAlignment="1">
      <alignment vertical="center"/>
    </xf>
    <xf numFmtId="169" fontId="26" fillId="30" borderId="11" xfId="0" applyNumberFormat="1" applyFont="1" applyFill="1" applyBorder="1" applyAlignment="1">
      <alignment horizontal="center" vertical="center"/>
    </xf>
    <xf numFmtId="164" fontId="26" fillId="30" borderId="11" xfId="0" applyNumberFormat="1" applyFont="1" applyFill="1" applyBorder="1" applyAlignment="1">
      <alignment horizontal="center" vertical="center"/>
    </xf>
    <xf numFmtId="0" fontId="0" fillId="30" borderId="0" xfId="0" applyFill="1" applyAlignment="1">
      <alignment vertical="center"/>
    </xf>
    <xf numFmtId="0" fontId="39" fillId="24" borderId="0" xfId="0" applyFont="1" applyFill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/>
    <xf numFmtId="0" fontId="40" fillId="0" borderId="11" xfId="0" applyFont="1" applyBorder="1" applyAlignment="1">
      <alignment horizontal="center" vertical="center" wrapText="1"/>
    </xf>
    <xf numFmtId="170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44" fillId="0" borderId="0" xfId="0" applyFont="1" applyAlignment="1">
      <alignment horizontal="center" vertical="center"/>
    </xf>
    <xf numFmtId="0" fontId="45" fillId="3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2" fontId="35" fillId="32" borderId="17" xfId="0" applyNumberFormat="1" applyFont="1" applyFill="1" applyBorder="1"/>
    <xf numFmtId="2" fontId="35" fillId="32" borderId="19" xfId="0" applyNumberFormat="1" applyFont="1" applyFill="1" applyBorder="1"/>
    <xf numFmtId="2" fontId="0" fillId="0" borderId="10" xfId="0" applyNumberFormat="1" applyBorder="1" applyAlignment="1">
      <alignment horizontal="center"/>
    </xf>
    <xf numFmtId="167" fontId="35" fillId="32" borderId="0" xfId="0" applyNumberFormat="1" applyFont="1" applyFill="1" applyAlignment="1">
      <alignment horizontal="center"/>
    </xf>
    <xf numFmtId="2" fontId="0" fillId="0" borderId="11" xfId="0" applyNumberFormat="1" applyBorder="1" applyAlignment="1">
      <alignment horizontal="center"/>
    </xf>
    <xf numFmtId="14" fontId="0" fillId="0" borderId="0" xfId="0" applyNumberFormat="1"/>
    <xf numFmtId="2" fontId="35" fillId="33" borderId="17" xfId="0" applyNumberFormat="1" applyFont="1" applyFill="1" applyBorder="1"/>
    <xf numFmtId="2" fontId="35" fillId="33" borderId="19" xfId="0" applyNumberFormat="1" applyFont="1" applyFill="1" applyBorder="1"/>
    <xf numFmtId="167" fontId="30" fillId="31" borderId="11" xfId="0" applyNumberFormat="1" applyFont="1" applyFill="1" applyBorder="1" applyAlignment="1">
      <alignment horizontal="center" vertical="center"/>
    </xf>
    <xf numFmtId="167" fontId="30" fillId="31" borderId="11" xfId="0" applyNumberFormat="1" applyFont="1" applyFill="1" applyBorder="1" applyAlignment="1">
      <alignment horizontal="center"/>
    </xf>
    <xf numFmtId="2" fontId="10" fillId="0" borderId="10" xfId="0" applyNumberFormat="1" applyFont="1" applyBorder="1" applyAlignment="1">
      <alignment horizontal="center"/>
    </xf>
    <xf numFmtId="2" fontId="35" fillId="33" borderId="0" xfId="0" applyNumberFormat="1" applyFont="1" applyFill="1" applyAlignment="1">
      <alignment horizontal="center"/>
    </xf>
    <xf numFmtId="0" fontId="30" fillId="31" borderId="1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2" fontId="10" fillId="0" borderId="11" xfId="0" applyNumberFormat="1" applyFont="1" applyBorder="1" applyAlignment="1">
      <alignment horizontal="center"/>
    </xf>
    <xf numFmtId="167" fontId="0" fillId="0" borderId="0" xfId="0" applyNumberFormat="1" applyAlignment="1">
      <alignment horizontal="center"/>
    </xf>
    <xf numFmtId="0" fontId="30" fillId="34" borderId="11" xfId="0" applyFont="1" applyFill="1" applyBorder="1" applyAlignment="1">
      <alignment horizontal="center" vertical="center"/>
    </xf>
    <xf numFmtId="1" fontId="46" fillId="24" borderId="0" xfId="0" applyNumberFormat="1" applyFont="1" applyFill="1" applyAlignment="1">
      <alignment horizontal="center"/>
    </xf>
    <xf numFmtId="166" fontId="46" fillId="24" borderId="0" xfId="0" applyNumberFormat="1" applyFont="1" applyFill="1" applyAlignment="1">
      <alignment horizontal="center"/>
    </xf>
    <xf numFmtId="166" fontId="0" fillId="24" borderId="0" xfId="0" applyNumberFormat="1" applyFill="1" applyAlignment="1">
      <alignment horizontal="center"/>
    </xf>
    <xf numFmtId="166" fontId="24" fillId="35" borderId="11" xfId="0" applyNumberFormat="1" applyFont="1" applyFill="1" applyBorder="1" applyAlignment="1">
      <alignment horizontal="center" vertical="center"/>
    </xf>
    <xf numFmtId="0" fontId="46" fillId="24" borderId="0" xfId="0" applyFont="1" applyFill="1" applyAlignment="1">
      <alignment horizontal="centerContinuous"/>
    </xf>
    <xf numFmtId="0" fontId="44" fillId="0" borderId="0" xfId="0" applyFont="1"/>
    <xf numFmtId="14" fontId="25" fillId="36" borderId="35" xfId="0" applyNumberFormat="1" applyFont="1" applyFill="1" applyBorder="1" applyAlignment="1">
      <alignment horizontal="center"/>
    </xf>
    <xf numFmtId="0" fontId="25" fillId="36" borderId="35" xfId="0" applyFont="1" applyFill="1" applyBorder="1" applyAlignment="1">
      <alignment horizontal="center"/>
    </xf>
    <xf numFmtId="166" fontId="25" fillId="36" borderId="36" xfId="0" applyNumberFormat="1" applyFont="1" applyFill="1" applyBorder="1" applyAlignment="1">
      <alignment horizontal="center"/>
    </xf>
    <xf numFmtId="166" fontId="25" fillId="36" borderId="37" xfId="0" applyNumberFormat="1" applyFont="1" applyFill="1" applyBorder="1" applyAlignment="1">
      <alignment horizontal="center"/>
    </xf>
    <xf numFmtId="0" fontId="46" fillId="0" borderId="0" xfId="0" applyFont="1"/>
    <xf numFmtId="166" fontId="47" fillId="24" borderId="0" xfId="0" applyNumberFormat="1" applyFont="1" applyFill="1" applyAlignment="1">
      <alignment horizontal="center"/>
    </xf>
    <xf numFmtId="2" fontId="25" fillId="0" borderId="35" xfId="0" applyNumberFormat="1" applyFont="1" applyBorder="1" applyAlignment="1">
      <alignment horizontal="center"/>
    </xf>
    <xf numFmtId="2" fontId="25" fillId="0" borderId="36" xfId="0" applyNumberFormat="1" applyFont="1" applyBorder="1" applyAlignment="1">
      <alignment horizontal="center"/>
    </xf>
    <xf numFmtId="2" fontId="25" fillId="0" borderId="37" xfId="0" applyNumberFormat="1" applyFont="1" applyBorder="1" applyAlignment="1">
      <alignment horizontal="center"/>
    </xf>
    <xf numFmtId="0" fontId="25" fillId="36" borderId="38" xfId="0" applyFont="1" applyFill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6" fontId="0" fillId="0" borderId="40" xfId="0" applyNumberFormat="1" applyBorder="1" applyAlignment="1">
      <alignment horizontal="center" vertical="center"/>
    </xf>
    <xf numFmtId="2" fontId="48" fillId="30" borderId="39" xfId="0" applyNumberFormat="1" applyFont="1" applyFill="1" applyBorder="1" applyAlignment="1">
      <alignment horizontal="center"/>
    </xf>
    <xf numFmtId="2" fontId="48" fillId="30" borderId="11" xfId="0" applyNumberFormat="1" applyFont="1" applyFill="1" applyBorder="1" applyAlignment="1">
      <alignment horizontal="center"/>
    </xf>
    <xf numFmtId="2" fontId="0" fillId="30" borderId="11" xfId="0" applyNumberFormat="1" applyFill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6" fontId="0" fillId="0" borderId="39" xfId="0" applyNumberFormat="1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167" fontId="0" fillId="0" borderId="40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6" fontId="10" fillId="0" borderId="11" xfId="0" applyNumberFormat="1" applyFont="1" applyBorder="1" applyAlignment="1">
      <alignment horizontal="center" vertical="center"/>
    </xf>
    <xf numFmtId="1" fontId="0" fillId="0" borderId="0" xfId="0" applyNumberFormat="1"/>
    <xf numFmtId="0" fontId="0" fillId="0" borderId="11" xfId="0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10" fillId="0" borderId="0" xfId="0" applyFont="1" applyAlignment="1">
      <alignment horizontal="center"/>
    </xf>
    <xf numFmtId="167" fontId="0" fillId="0" borderId="0" xfId="0" applyNumberFormat="1"/>
    <xf numFmtId="0" fontId="0" fillId="37" borderId="11" xfId="0" applyFill="1" applyBorder="1" applyAlignment="1">
      <alignment horizontal="center" vertical="center"/>
    </xf>
    <xf numFmtId="167" fontId="48" fillId="30" borderId="39" xfId="0" applyNumberFormat="1" applyFont="1" applyFill="1" applyBorder="1" applyAlignment="1">
      <alignment horizontal="center"/>
    </xf>
    <xf numFmtId="167" fontId="48" fillId="30" borderId="11" xfId="0" applyNumberFormat="1" applyFont="1" applyFill="1" applyBorder="1" applyAlignment="1">
      <alignment horizontal="center"/>
    </xf>
    <xf numFmtId="167" fontId="0" fillId="30" borderId="11" xfId="0" applyNumberFormat="1" applyFill="1" applyBorder="1" applyAlignment="1">
      <alignment horizontal="center"/>
    </xf>
    <xf numFmtId="167" fontId="0" fillId="0" borderId="40" xfId="0" applyNumberFormat="1" applyBorder="1" applyAlignment="1">
      <alignment horizontal="center"/>
    </xf>
    <xf numFmtId="9" fontId="35" fillId="33" borderId="0" xfId="61" applyFont="1" applyFill="1" applyAlignment="1">
      <alignment horizontal="center"/>
    </xf>
    <xf numFmtId="166" fontId="26" fillId="0" borderId="11" xfId="0" applyNumberFormat="1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10" fillId="0" borderId="11" xfId="0" applyFont="1" applyBorder="1"/>
    <xf numFmtId="0" fontId="26" fillId="0" borderId="11" xfId="0" applyFont="1" applyBorder="1" applyAlignment="1">
      <alignment horizontal="center" vertical="center" wrapText="1"/>
    </xf>
    <xf numFmtId="168" fontId="26" fillId="0" borderId="16" xfId="0" applyNumberFormat="1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 vertical="center" wrapText="1"/>
    </xf>
    <xf numFmtId="0" fontId="26" fillId="0" borderId="0" xfId="0" applyFont="1" applyAlignment="1">
      <alignment vertical="center"/>
    </xf>
    <xf numFmtId="166" fontId="26" fillId="31" borderId="11" xfId="0" applyNumberFormat="1" applyFont="1" applyFill="1" applyBorder="1" applyAlignment="1">
      <alignment horizontal="center" vertical="center"/>
    </xf>
    <xf numFmtId="164" fontId="26" fillId="38" borderId="11" xfId="0" applyNumberFormat="1" applyFont="1" applyFill="1" applyBorder="1" applyAlignment="1">
      <alignment horizontal="center" vertical="center"/>
    </xf>
    <xf numFmtId="1" fontId="26" fillId="25" borderId="11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66" fontId="0" fillId="0" borderId="0" xfId="0" applyNumberFormat="1"/>
    <xf numFmtId="14" fontId="26" fillId="30" borderId="11" xfId="0" applyNumberFormat="1" applyFont="1" applyFill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169" fontId="26" fillId="24" borderId="17" xfId="0" applyNumberFormat="1" applyFont="1" applyFill="1" applyBorder="1" applyAlignment="1">
      <alignment horizontal="center" vertical="center"/>
    </xf>
    <xf numFmtId="169" fontId="26" fillId="24" borderId="18" xfId="0" applyNumberFormat="1" applyFont="1" applyFill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170" fontId="43" fillId="30" borderId="29" xfId="0" applyNumberFormat="1" applyFont="1" applyFill="1" applyBorder="1" applyAlignment="1">
      <alignment horizontal="center" vertical="center"/>
    </xf>
    <xf numFmtId="170" fontId="43" fillId="30" borderId="30" xfId="0" applyNumberFormat="1" applyFont="1" applyFill="1" applyBorder="1" applyAlignment="1">
      <alignment horizontal="center" vertical="center"/>
    </xf>
    <xf numFmtId="170" fontId="43" fillId="30" borderId="31" xfId="0" applyNumberFormat="1" applyFont="1" applyFill="1" applyBorder="1" applyAlignment="1">
      <alignment horizontal="center" vertical="center"/>
    </xf>
    <xf numFmtId="170" fontId="43" fillId="30" borderId="32" xfId="0" applyNumberFormat="1" applyFont="1" applyFill="1" applyBorder="1" applyAlignment="1">
      <alignment horizontal="center" vertical="center"/>
    </xf>
    <xf numFmtId="170" fontId="43" fillId="30" borderId="0" xfId="0" applyNumberFormat="1" applyFont="1" applyFill="1" applyAlignment="1">
      <alignment horizontal="center" vertical="center"/>
    </xf>
    <xf numFmtId="170" fontId="43" fillId="30" borderId="33" xfId="0" applyNumberFormat="1" applyFont="1" applyFill="1" applyBorder="1" applyAlignment="1">
      <alignment horizontal="center" vertical="center"/>
    </xf>
    <xf numFmtId="170" fontId="43" fillId="30" borderId="34" xfId="0" applyNumberFormat="1" applyFont="1" applyFill="1" applyBorder="1" applyAlignment="1">
      <alignment horizontal="center" vertical="center"/>
    </xf>
    <xf numFmtId="170" fontId="43" fillId="30" borderId="14" xfId="0" applyNumberFormat="1" applyFont="1" applyFill="1" applyBorder="1" applyAlignment="1">
      <alignment horizontal="center" vertical="center"/>
    </xf>
    <xf numFmtId="170" fontId="43" fillId="30" borderId="15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/>
    </xf>
    <xf numFmtId="0" fontId="1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5" fillId="26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17" xfId="0" applyFont="1" applyBorder="1" applyAlignment="1">
      <alignment horizontal="center"/>
    </xf>
    <xf numFmtId="0" fontId="24" fillId="0" borderId="18" xfId="0" applyFont="1" applyBorder="1" applyAlignment="1">
      <alignment horizontal="center"/>
    </xf>
    <xf numFmtId="0" fontId="24" fillId="0" borderId="19" xfId="0" applyFont="1" applyBorder="1" applyAlignment="1">
      <alignment horizontal="center"/>
    </xf>
    <xf numFmtId="0" fontId="26" fillId="0" borderId="1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6" fillId="26" borderId="26" xfId="0" applyFont="1" applyFill="1" applyBorder="1" applyAlignment="1">
      <alignment horizontal="center" vertical="center"/>
    </xf>
    <xf numFmtId="0" fontId="26" fillId="26" borderId="0" xfId="0" applyFont="1" applyFill="1" applyAlignment="1">
      <alignment horizontal="center" vertical="center"/>
    </xf>
    <xf numFmtId="0" fontId="26" fillId="26" borderId="2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0" fontId="35" fillId="28" borderId="22" xfId="0" applyFont="1" applyFill="1" applyBorder="1" applyAlignment="1">
      <alignment horizontal="center" vertical="center"/>
    </xf>
    <xf numFmtId="0" fontId="35" fillId="28" borderId="10" xfId="0" applyFont="1" applyFill="1" applyBorder="1" applyAlignment="1">
      <alignment horizontal="center" vertical="center"/>
    </xf>
    <xf numFmtId="0" fontId="35" fillId="28" borderId="20" xfId="0" applyFont="1" applyFill="1" applyBorder="1" applyAlignment="1">
      <alignment horizontal="center" vertical="center"/>
    </xf>
    <xf numFmtId="0" fontId="35" fillId="28" borderId="21" xfId="0" applyFont="1" applyFill="1" applyBorder="1" applyAlignment="1">
      <alignment horizontal="center" vertical="center"/>
    </xf>
  </cellXfs>
  <cellStyles count="62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43" xr:uid="{00000000-0005-0000-0000-00001C000000}"/>
    <cellStyle name="Commentaire 3" xfId="47" xr:uid="{00000000-0005-0000-0000-00001D000000}"/>
    <cellStyle name="Entrée" xfId="29" builtinId="20" customBuiltin="1"/>
    <cellStyle name="Insatisfaisant" xfId="30" builtinId="27" customBuiltin="1"/>
    <cellStyle name="Neutre" xfId="31" builtinId="28" customBuiltin="1"/>
    <cellStyle name="Normal" xfId="0" builtinId="0"/>
    <cellStyle name="Normal 2" xfId="42" xr:uid="{00000000-0005-0000-0000-000022000000}"/>
    <cellStyle name="Normal 2 2" xfId="44" xr:uid="{00000000-0005-0000-0000-000023000000}"/>
    <cellStyle name="Normal 2 2 2" xfId="60" xr:uid="{00000000-0005-0000-0000-000024000000}"/>
    <cellStyle name="Normal 3" xfId="46" xr:uid="{00000000-0005-0000-0000-000025000000}"/>
    <cellStyle name="Normal 3 2" xfId="49" xr:uid="{00000000-0005-0000-0000-000026000000}"/>
    <cellStyle name="Normal 3 2 2" xfId="58" xr:uid="{00000000-0005-0000-0000-000027000000}"/>
    <cellStyle name="Normal 3 2 3" xfId="53" xr:uid="{00000000-0005-0000-0000-000028000000}"/>
    <cellStyle name="Normal 3 3" xfId="57" xr:uid="{00000000-0005-0000-0000-000029000000}"/>
    <cellStyle name="Normal 3 4" xfId="52" xr:uid="{00000000-0005-0000-0000-00002A000000}"/>
    <cellStyle name="Normal 4" xfId="48" xr:uid="{00000000-0005-0000-0000-00002B000000}"/>
    <cellStyle name="Normal 4 2" xfId="56" xr:uid="{00000000-0005-0000-0000-00002C000000}"/>
    <cellStyle name="Normal 4 3" xfId="51" xr:uid="{00000000-0005-0000-0000-00002D000000}"/>
    <cellStyle name="Normal 5" xfId="54" xr:uid="{00000000-0005-0000-0000-00002E000000}"/>
    <cellStyle name="Normal 5 2" xfId="59" xr:uid="{00000000-0005-0000-0000-00002F000000}"/>
    <cellStyle name="Normal 6" xfId="55" xr:uid="{00000000-0005-0000-0000-000030000000}"/>
    <cellStyle name="Normal 7" xfId="50" xr:uid="{00000000-0005-0000-0000-000031000000}"/>
    <cellStyle name="Note" xfId="28" builtinId="10" customBuiltin="1"/>
    <cellStyle name="Pourcentage" xfId="61" builtinId="5"/>
    <cellStyle name="Pourcentage 2" xfId="45" xr:uid="{00000000-0005-0000-0000-000032000000}"/>
    <cellStyle name="Satisfaisant" xfId="32" builtinId="26" customBuiltin="1"/>
    <cellStyle name="Sortie" xfId="33" builtinId="21" customBuiltin="1"/>
    <cellStyle name="Texte explicatif" xfId="34" builtinId="53" customBuiltin="1"/>
    <cellStyle name="Titre" xfId="35" builtinId="15" customBuiltin="1"/>
    <cellStyle name="Titre 1" xfId="36" builtinId="16" customBuiltin="1"/>
    <cellStyle name="Titre 2" xfId="37" builtinId="17" customBuiltin="1"/>
    <cellStyle name="Titre 3" xfId="38" builtinId="18" customBuiltin="1"/>
    <cellStyle name="Titre 4" xfId="39" builtinId="19" customBuiltin="1"/>
    <cellStyle name="Total" xfId="40" builtinId="25" customBuiltin="1"/>
    <cellStyle name="Vérification" xfId="41" builtinId="23" customBuiltin="1"/>
  </cellStyles>
  <dxfs count="0"/>
  <tableStyles count="0" defaultTableStyle="TableStyleMedium9" defaultPivotStyle="PivotStyleLight16"/>
  <colors>
    <mruColors>
      <color rgb="FF00FFFF"/>
      <color rgb="FFFF6600"/>
      <color rgb="FF00FF00"/>
      <color rgb="FFFF00FF"/>
      <color rgb="FFD5A5A4"/>
      <color rgb="FF800000"/>
      <color rgb="FFFF0000"/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Déplacement en Z</a:t>
            </a:r>
          </a:p>
        </c:rich>
      </c:tx>
      <c:layout>
        <c:manualLayout>
          <c:xMode val="edge"/>
          <c:yMode val="edge"/>
          <c:x val="0.42116532057287082"/>
          <c:y val="9.202358673775652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5.7452773560255632E-2"/>
          <c:w val="0.82298957241880821"/>
          <c:h val="0.72137110188676556"/>
        </c:manualLayout>
      </c:layout>
      <c:scatterChart>
        <c:scatterStyle val="lineMarker"/>
        <c:varyColors val="0"/>
        <c:ser>
          <c:idx val="11"/>
          <c:order val="0"/>
          <c:tx>
            <c:strRef>
              <c:f>Déplacements!$E$9</c:f>
              <c:strCache>
                <c:ptCount val="1"/>
                <c:pt idx="0">
                  <c:v>DZ CHP1</c:v>
                </c:pt>
              </c:strCache>
            </c:strRef>
          </c:tx>
          <c:spPr>
            <a:ln w="1587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Déplacements!$E$10:$E$103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-1.8999999999920192</c:v>
                </c:pt>
                <c:pt idx="2">
                  <c:v>-2.0999999999986585</c:v>
                </c:pt>
                <c:pt idx="3">
                  <c:v>-2.299999999991087</c:v>
                </c:pt>
                <c:pt idx="4">
                  <c:v>-2.0999999999986585</c:v>
                </c:pt>
                <c:pt idx="5">
                  <c:v>-2.3999999999944066</c:v>
                </c:pt>
                <c:pt idx="6">
                  <c:v>-2.8200000000140335</c:v>
                </c:pt>
                <c:pt idx="7">
                  <c:v>-3.1999999999925421</c:v>
                </c:pt>
                <c:pt idx="8">
                  <c:v>-3.0000000000001137</c:v>
                </c:pt>
                <c:pt idx="9">
                  <c:v>-2.6999999999901547</c:v>
                </c:pt>
                <c:pt idx="10">
                  <c:v>-2.7999999999934744</c:v>
                </c:pt>
                <c:pt idx="11">
                  <c:v>-2.7999999999934744</c:v>
                </c:pt>
                <c:pt idx="12">
                  <c:v>-3.0000000000001137</c:v>
                </c:pt>
                <c:pt idx="13">
                  <c:v>-2.7999999999934744</c:v>
                </c:pt>
                <c:pt idx="14">
                  <c:v>-3.0999999999892225</c:v>
                </c:pt>
                <c:pt idx="15">
                  <c:v>-2.7999999999934744</c:v>
                </c:pt>
                <c:pt idx="16">
                  <c:v>-3.1999999999925421</c:v>
                </c:pt>
                <c:pt idx="17">
                  <c:v>-3.1999999999925421</c:v>
                </c:pt>
                <c:pt idx="18">
                  <c:v>-3.1999999999925421</c:v>
                </c:pt>
                <c:pt idx="19">
                  <c:v>-3.1999999999925421</c:v>
                </c:pt>
                <c:pt idx="20">
                  <c:v>-3.0000000000001137</c:v>
                </c:pt>
                <c:pt idx="21">
                  <c:v>-3.899999999987358</c:v>
                </c:pt>
                <c:pt idx="22">
                  <c:v>-3.7999999999982492</c:v>
                </c:pt>
                <c:pt idx="23">
                  <c:v>-4.3000000000006366</c:v>
                </c:pt>
                <c:pt idx="24">
                  <c:v>-4.199999999997317</c:v>
                </c:pt>
                <c:pt idx="25">
                  <c:v>-4.2999999999864258</c:v>
                </c:pt>
                <c:pt idx="26">
                  <c:v>-4.4999999999930651</c:v>
                </c:pt>
                <c:pt idx="27">
                  <c:v>-4.3999999999897454</c:v>
                </c:pt>
                <c:pt idx="28">
                  <c:v>-4.3999999999897454</c:v>
                </c:pt>
                <c:pt idx="29">
                  <c:v>-4.0999999999939973</c:v>
                </c:pt>
                <c:pt idx="30">
                  <c:v>-4.0999999999797865</c:v>
                </c:pt>
                <c:pt idx="31">
                  <c:v>-4.199999999997317</c:v>
                </c:pt>
                <c:pt idx="32">
                  <c:v>-4.0999999999939973</c:v>
                </c:pt>
                <c:pt idx="33">
                  <c:v>-4.4999999999930651</c:v>
                </c:pt>
                <c:pt idx="34">
                  <c:v>-4.3000000000006366</c:v>
                </c:pt>
                <c:pt idx="35">
                  <c:v>-4.5999999999963848</c:v>
                </c:pt>
                <c:pt idx="36">
                  <c:v>-4.0999999999939973</c:v>
                </c:pt>
                <c:pt idx="37">
                  <c:v>-4.4999999999930651</c:v>
                </c:pt>
                <c:pt idx="38">
                  <c:v>-4.7999999999888132</c:v>
                </c:pt>
                <c:pt idx="39">
                  <c:v>-4.7999999999888132</c:v>
                </c:pt>
                <c:pt idx="40">
                  <c:v>-4.6999999999997044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55-47B1-93FC-018D816F1820}"/>
            </c:ext>
          </c:extLst>
        </c:ser>
        <c:ser>
          <c:idx val="7"/>
          <c:order val="1"/>
          <c:tx>
            <c:strRef>
              <c:f>Déplacements!$H$9</c:f>
              <c:strCache>
                <c:ptCount val="1"/>
                <c:pt idx="0">
                  <c:v>DZ CHP2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Déplacements!$H$10:$H$103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0</c:v>
                </c:pt>
                <c:pt idx="3">
                  <c:v>-0.29999999999574811</c:v>
                </c:pt>
                <c:pt idx="4">
                  <c:v>-0.39999999999906777</c:v>
                </c:pt>
                <c:pt idx="5">
                  <c:v>-0.59999999999149622</c:v>
                </c:pt>
                <c:pt idx="7">
                  <c:v>-1.1999999999972033</c:v>
                </c:pt>
                <c:pt idx="8">
                  <c:v>-1.0999999999938836</c:v>
                </c:pt>
                <c:pt idx="9">
                  <c:v>-0.99999999999056399</c:v>
                </c:pt>
                <c:pt idx="10">
                  <c:v>-1.300000000000523</c:v>
                </c:pt>
                <c:pt idx="11">
                  <c:v>-1.1000000000080945</c:v>
                </c:pt>
                <c:pt idx="12">
                  <c:v>-0.79999999999813554</c:v>
                </c:pt>
                <c:pt idx="13">
                  <c:v>-0.90000000000145519</c:v>
                </c:pt>
                <c:pt idx="14">
                  <c:v>-1.300000000000523</c:v>
                </c:pt>
                <c:pt idx="15">
                  <c:v>-1.300000000000523</c:v>
                </c:pt>
                <c:pt idx="16">
                  <c:v>-1.1999999999972033</c:v>
                </c:pt>
                <c:pt idx="17">
                  <c:v>-1.6999999999995907</c:v>
                </c:pt>
                <c:pt idx="18">
                  <c:v>-1.9500000000078899</c:v>
                </c:pt>
                <c:pt idx="19">
                  <c:v>-2.0999999999986585</c:v>
                </c:pt>
                <c:pt idx="20">
                  <c:v>-2.0999999999986585</c:v>
                </c:pt>
                <c:pt idx="21">
                  <c:v>-1.8999999999920192</c:v>
                </c:pt>
                <c:pt idx="22">
                  <c:v>-2.3999999999944066</c:v>
                </c:pt>
                <c:pt idx="23">
                  <c:v>-2.3999999999944066</c:v>
                </c:pt>
                <c:pt idx="24">
                  <c:v>-2.3999999999944066</c:v>
                </c:pt>
                <c:pt idx="25">
                  <c:v>-2.5999999999868351</c:v>
                </c:pt>
                <c:pt idx="26">
                  <c:v>-2.7999999999934744</c:v>
                </c:pt>
                <c:pt idx="27">
                  <c:v>-2.299999999991087</c:v>
                </c:pt>
                <c:pt idx="28">
                  <c:v>-2.3499999999927468</c:v>
                </c:pt>
                <c:pt idx="29">
                  <c:v>-2.3000000000052978</c:v>
                </c:pt>
                <c:pt idx="30">
                  <c:v>-1.8999999999778083</c:v>
                </c:pt>
                <c:pt idx="31">
                  <c:v>-2.3999999999944066</c:v>
                </c:pt>
                <c:pt idx="32">
                  <c:v>-2.3999999999944066</c:v>
                </c:pt>
                <c:pt idx="33">
                  <c:v>-2.6999999999901547</c:v>
                </c:pt>
                <c:pt idx="34">
                  <c:v>-2.6999999999901547</c:v>
                </c:pt>
                <c:pt idx="35">
                  <c:v>-3.0000000000001137</c:v>
                </c:pt>
                <c:pt idx="36">
                  <c:v>-3.1999999999925421</c:v>
                </c:pt>
                <c:pt idx="37">
                  <c:v>-3.0000000000001137</c:v>
                </c:pt>
                <c:pt idx="38">
                  <c:v>-3.0000000000001137</c:v>
                </c:pt>
                <c:pt idx="39">
                  <c:v>-3.3999999999991815</c:v>
                </c:pt>
                <c:pt idx="40">
                  <c:v>-3.0000000000001137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55-47B1-93FC-018D816F1820}"/>
            </c:ext>
          </c:extLst>
        </c:ser>
        <c:ser>
          <c:idx val="8"/>
          <c:order val="2"/>
          <c:tx>
            <c:strRef>
              <c:f>Déplacements!$K$9</c:f>
              <c:strCache>
                <c:ptCount val="1"/>
                <c:pt idx="0">
                  <c:v>DZ CL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Déplacements!$K$10:$K$103</c:f>
              <c:numCache>
                <c:formatCode>\+\ 0.0;\-\ 0.0;\±\ 0.0</c:formatCode>
                <c:ptCount val="94"/>
                <c:pt idx="3">
                  <c:v>0</c:v>
                </c:pt>
                <c:pt idx="4">
                  <c:v>0</c:v>
                </c:pt>
                <c:pt idx="5">
                  <c:v>-0.10000000000331966</c:v>
                </c:pt>
                <c:pt idx="6">
                  <c:v>-0.42857142858565567</c:v>
                </c:pt>
                <c:pt idx="7">
                  <c:v>-1.0999999999938836</c:v>
                </c:pt>
                <c:pt idx="8">
                  <c:v>-0.86666666668122616</c:v>
                </c:pt>
                <c:pt idx="9">
                  <c:v>-0.90000000000145519</c:v>
                </c:pt>
                <c:pt idx="10">
                  <c:v>-0.69999999999481588</c:v>
                </c:pt>
                <c:pt idx="11">
                  <c:v>-0.79999999999813554</c:v>
                </c:pt>
                <c:pt idx="12">
                  <c:v>-1.0000000000047748</c:v>
                </c:pt>
                <c:pt idx="13">
                  <c:v>-0.79999999999813554</c:v>
                </c:pt>
                <c:pt idx="14">
                  <c:v>-0.99999999999056399</c:v>
                </c:pt>
                <c:pt idx="15">
                  <c:v>-0.90000000000145519</c:v>
                </c:pt>
                <c:pt idx="16">
                  <c:v>-1.0999999999938836</c:v>
                </c:pt>
                <c:pt idx="17">
                  <c:v>-1.300000000000523</c:v>
                </c:pt>
                <c:pt idx="18">
                  <c:v>-1.3500000000021828</c:v>
                </c:pt>
                <c:pt idx="19">
                  <c:v>-1.3999999999896318</c:v>
                </c:pt>
                <c:pt idx="20">
                  <c:v>-1.300000000000523</c:v>
                </c:pt>
                <c:pt idx="21">
                  <c:v>-1.8999999999920192</c:v>
                </c:pt>
                <c:pt idx="22">
                  <c:v>-2.299999999991087</c:v>
                </c:pt>
                <c:pt idx="23">
                  <c:v>-3.1999999999925421</c:v>
                </c:pt>
                <c:pt idx="24">
                  <c:v>-3.1000000000034333</c:v>
                </c:pt>
                <c:pt idx="25">
                  <c:v>-3.1999999999925421</c:v>
                </c:pt>
                <c:pt idx="26">
                  <c:v>-3.5000000000025011</c:v>
                </c:pt>
                <c:pt idx="27">
                  <c:v>-3.2999999999958618</c:v>
                </c:pt>
                <c:pt idx="28">
                  <c:v>-3.3499999999975216</c:v>
                </c:pt>
                <c:pt idx="29">
                  <c:v>-3.3999999999991815</c:v>
                </c:pt>
                <c:pt idx="30">
                  <c:v>-3.3999999999849706</c:v>
                </c:pt>
                <c:pt idx="31">
                  <c:v>-3.3999999999991815</c:v>
                </c:pt>
                <c:pt idx="32">
                  <c:v>-3.5999999999916099</c:v>
                </c:pt>
                <c:pt idx="33">
                  <c:v>-3.2999999999958618</c:v>
                </c:pt>
                <c:pt idx="34">
                  <c:v>-3.5999999999916099</c:v>
                </c:pt>
                <c:pt idx="35">
                  <c:v>-3.9000000000015689</c:v>
                </c:pt>
                <c:pt idx="36">
                  <c:v>-3.7999999999982492</c:v>
                </c:pt>
                <c:pt idx="37">
                  <c:v>-3.7999999999982492</c:v>
                </c:pt>
                <c:pt idx="38">
                  <c:v>-4.3000000000006366</c:v>
                </c:pt>
                <c:pt idx="39">
                  <c:v>-4.3999999999897454</c:v>
                </c:pt>
                <c:pt idx="40">
                  <c:v>-4.199999999997317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55-47B1-93FC-018D816F1820}"/>
            </c:ext>
          </c:extLst>
        </c:ser>
        <c:ser>
          <c:idx val="13"/>
          <c:order val="3"/>
          <c:tx>
            <c:strRef>
              <c:f>Déplacements!$N$9</c:f>
              <c:strCache>
                <c:ptCount val="1"/>
                <c:pt idx="0">
                  <c:v>DZ CTR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Déplacements!$N$10:$N$103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-9.9999999989108801E-2</c:v>
                </c:pt>
                <c:pt idx="2">
                  <c:v>1.4210854715202004E-11</c:v>
                </c:pt>
                <c:pt idx="3">
                  <c:v>0.10000000000331966</c:v>
                </c:pt>
                <c:pt idx="4">
                  <c:v>0.30000000000995897</c:v>
                </c:pt>
                <c:pt idx="5">
                  <c:v>0.20000000000663931</c:v>
                </c:pt>
                <c:pt idx="7">
                  <c:v>-9.9999999989108801E-2</c:v>
                </c:pt>
                <c:pt idx="8">
                  <c:v>1.4210854715202004E-11</c:v>
                </c:pt>
                <c:pt idx="9">
                  <c:v>0.10000000000331966</c:v>
                </c:pt>
                <c:pt idx="10">
                  <c:v>0.125000000011255</c:v>
                </c:pt>
                <c:pt idx="11">
                  <c:v>0.20000000000663931</c:v>
                </c:pt>
                <c:pt idx="12">
                  <c:v>0.10000000000331966</c:v>
                </c:pt>
                <c:pt idx="13">
                  <c:v>0.30000000000995897</c:v>
                </c:pt>
                <c:pt idx="14">
                  <c:v>0.10000000000331966</c:v>
                </c:pt>
                <c:pt idx="15">
                  <c:v>0.30000000000995897</c:v>
                </c:pt>
                <c:pt idx="16">
                  <c:v>0.10000000000331966</c:v>
                </c:pt>
                <c:pt idx="17">
                  <c:v>0.10000000000331966</c:v>
                </c:pt>
                <c:pt idx="18">
                  <c:v>-0.10000000000331966</c:v>
                </c:pt>
                <c:pt idx="19">
                  <c:v>-0.29999999999574811</c:v>
                </c:pt>
                <c:pt idx="20">
                  <c:v>1.4210854715202004E-11</c:v>
                </c:pt>
                <c:pt idx="21">
                  <c:v>-0.19999999999242846</c:v>
                </c:pt>
                <c:pt idx="22">
                  <c:v>-9.9999999989108801E-2</c:v>
                </c:pt>
                <c:pt idx="23">
                  <c:v>-0.49999999998817657</c:v>
                </c:pt>
                <c:pt idx="24">
                  <c:v>-0.39999999998485691</c:v>
                </c:pt>
                <c:pt idx="25">
                  <c:v>-0.39999999998485691</c:v>
                </c:pt>
                <c:pt idx="26">
                  <c:v>-0.59999999999149622</c:v>
                </c:pt>
                <c:pt idx="27">
                  <c:v>-0.39999999998485691</c:v>
                </c:pt>
                <c:pt idx="28">
                  <c:v>-0.44999999998651674</c:v>
                </c:pt>
                <c:pt idx="29">
                  <c:v>1.4210854715202004E-11</c:v>
                </c:pt>
                <c:pt idx="30">
                  <c:v>-0.1999999999782176</c:v>
                </c:pt>
                <c:pt idx="31">
                  <c:v>-0.39999999998485691</c:v>
                </c:pt>
                <c:pt idx="32">
                  <c:v>1.4210854715202004E-11</c:v>
                </c:pt>
                <c:pt idx="33">
                  <c:v>-0.29999999999574811</c:v>
                </c:pt>
                <c:pt idx="34">
                  <c:v>-0.29999999999574811</c:v>
                </c:pt>
                <c:pt idx="35">
                  <c:v>-0.49999999998817657</c:v>
                </c:pt>
                <c:pt idx="36">
                  <c:v>-0.73333333331504491</c:v>
                </c:pt>
                <c:pt idx="37">
                  <c:v>-0.56666666665705634</c:v>
                </c:pt>
                <c:pt idx="38">
                  <c:v>-0.99999999999056399</c:v>
                </c:pt>
                <c:pt idx="39">
                  <c:v>-0.59999999999149622</c:v>
                </c:pt>
                <c:pt idx="40">
                  <c:v>-0.79999999999813554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55-47B1-93FC-018D816F1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385656"/>
        <c:axId val="454386048"/>
        <c:extLst/>
      </c:scatterChart>
      <c:valAx>
        <c:axId val="454385656"/>
        <c:scaling>
          <c:orientation val="minMax"/>
          <c:max val="45808"/>
          <c:min val="455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88909976285118764"/>
              <c:y val="0.864887774678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\ /\ mm\ /\ yy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386048"/>
        <c:crossesAt val="0"/>
        <c:crossBetween val="midCat"/>
        <c:majorUnit val="7"/>
      </c:valAx>
      <c:valAx>
        <c:axId val="454386048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DEPLACEMENT ALTIMETRIQUE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385656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517654510883311"/>
          <c:y val="0.54353103433905103"/>
          <c:w val="0.30109395767303959"/>
          <c:h val="0.207800025273581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11" footer="0.49212598450000511"/>
    <c:pageSetup paperSize="9"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Déplacement latéral GER = PM sur axe alvéole</a:t>
            </a:r>
          </a:p>
        </c:rich>
      </c:tx>
      <c:layout>
        <c:manualLayout>
          <c:xMode val="edge"/>
          <c:yMode val="edge"/>
          <c:x val="0.37962532904233215"/>
          <c:y val="9.202257409890786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5.7452773560255632E-2"/>
          <c:w val="0.82298957241880821"/>
          <c:h val="0.72137110188676556"/>
        </c:manualLayout>
      </c:layout>
      <c:scatterChart>
        <c:scatterStyle val="lineMarker"/>
        <c:varyColors val="0"/>
        <c:ser>
          <c:idx val="11"/>
          <c:order val="0"/>
          <c:tx>
            <c:strRef>
              <c:f>Déplacements!$C$9</c:f>
              <c:strCache>
                <c:ptCount val="1"/>
                <c:pt idx="0">
                  <c:v>DPM CHP1</c:v>
                </c:pt>
              </c:strCache>
            </c:strRef>
          </c:tx>
          <c:spPr>
            <a:ln w="1587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Déplacements!$C$10:$C$103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-0.63440553437876801</c:v>
                </c:pt>
                <c:pt idx="2">
                  <c:v>-0.83963015057486601</c:v>
                </c:pt>
                <c:pt idx="3">
                  <c:v>-0.67667041811425577</c:v>
                </c:pt>
                <c:pt idx="4">
                  <c:v>-0.93635927699420307</c:v>
                </c:pt>
                <c:pt idx="5">
                  <c:v>-0.62830583030315523</c:v>
                </c:pt>
                <c:pt idx="6">
                  <c:v>-0.74316075678559912</c:v>
                </c:pt>
                <c:pt idx="7">
                  <c:v>-0.80956467499015972</c:v>
                </c:pt>
                <c:pt idx="8">
                  <c:v>-0.67057071403864299</c:v>
                </c:pt>
                <c:pt idx="9">
                  <c:v>-0.89409439325871531</c:v>
                </c:pt>
                <c:pt idx="10">
                  <c:v>-0.50151127750241997</c:v>
                </c:pt>
                <c:pt idx="11">
                  <c:v>-0.76120013638192319</c:v>
                </c:pt>
                <c:pt idx="12">
                  <c:v>-1.0030225058019759</c:v>
                </c:pt>
                <c:pt idx="13">
                  <c:v>-0.89409439325871531</c:v>
                </c:pt>
                <c:pt idx="14">
                  <c:v>-0.48321237628945468</c:v>
                </c:pt>
                <c:pt idx="15">
                  <c:v>-0.39258295394617448</c:v>
                </c:pt>
                <c:pt idx="16">
                  <c:v>-0.97252440745165813</c:v>
                </c:pt>
                <c:pt idx="17">
                  <c:v>-0.53157691489769121</c:v>
                </c:pt>
                <c:pt idx="18">
                  <c:v>-0.66752094290611907</c:v>
                </c:pt>
                <c:pt idx="19">
                  <c:v>-0.64617205954808909</c:v>
                </c:pt>
                <c:pt idx="20">
                  <c:v>-0.42874808440318546</c:v>
                </c:pt>
                <c:pt idx="21">
                  <c:v>-1.1237176147433914</c:v>
                </c:pt>
                <c:pt idx="22">
                  <c:v>-1.2383127593937893</c:v>
                </c:pt>
                <c:pt idx="23">
                  <c:v>-1.3895059666855225</c:v>
                </c:pt>
                <c:pt idx="24">
                  <c:v>-1.4679359316756013</c:v>
                </c:pt>
                <c:pt idx="25">
                  <c:v>-1.6130296459051507</c:v>
                </c:pt>
                <c:pt idx="26">
                  <c:v>-1.8304534100366254</c:v>
                </c:pt>
                <c:pt idx="27">
                  <c:v>-1.4439702093684836</c:v>
                </c:pt>
                <c:pt idx="28">
                  <c:v>-1.5857974999620161</c:v>
                </c:pt>
                <c:pt idx="29">
                  <c:v>-1.4679359316756013</c:v>
                </c:pt>
                <c:pt idx="30">
                  <c:v>-1.6008302377548134</c:v>
                </c:pt>
                <c:pt idx="31">
                  <c:v>-1.7881885755035576</c:v>
                </c:pt>
                <c:pt idx="32">
                  <c:v>-2.0600768425342864</c:v>
                </c:pt>
                <c:pt idx="33">
                  <c:v>-2.277500606665761</c:v>
                </c:pt>
                <c:pt idx="34">
                  <c:v>-2.3559308318716887</c:v>
                </c:pt>
                <c:pt idx="35">
                  <c:v>-2.0962419729917414</c:v>
                </c:pt>
                <c:pt idx="36">
                  <c:v>-2.1565895274622271</c:v>
                </c:pt>
                <c:pt idx="37">
                  <c:v>-2.4526597472771527</c:v>
                </c:pt>
                <c:pt idx="38">
                  <c:v>-1.7759893783662051</c:v>
                </c:pt>
                <c:pt idx="39">
                  <c:v>-1.8727182937721132</c:v>
                </c:pt>
                <c:pt idx="40">
                  <c:v>-1.9873136494354959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C-4C1D-967E-810A6B261E58}"/>
            </c:ext>
          </c:extLst>
        </c:ser>
        <c:ser>
          <c:idx val="7"/>
          <c:order val="1"/>
          <c:tx>
            <c:strRef>
              <c:f>Déplacements!$F$9</c:f>
              <c:strCache>
                <c:ptCount val="1"/>
                <c:pt idx="0">
                  <c:v>DPM CHP2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Déplacements!$F$10:$F$103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0</c:v>
                </c:pt>
                <c:pt idx="3">
                  <c:v>0.77339928431685578</c:v>
                </c:pt>
                <c:pt idx="4">
                  <c:v>-0.14466083124853313</c:v>
                </c:pt>
                <c:pt idx="5">
                  <c:v>-1.1766525169321085E-2</c:v>
                </c:pt>
                <c:pt idx="7">
                  <c:v>0.35685044625344275</c:v>
                </c:pt>
                <c:pt idx="8">
                  <c:v>0.21785664711249098</c:v>
                </c:pt>
                <c:pt idx="9">
                  <c:v>-3.5732458488979546E-2</c:v>
                </c:pt>
                <c:pt idx="10">
                  <c:v>0.26012153084797873</c:v>
                </c:pt>
                <c:pt idx="11">
                  <c:v>0.32068526659356777</c:v>
                </c:pt>
                <c:pt idx="12">
                  <c:v>-0.22309084544103186</c:v>
                </c:pt>
                <c:pt idx="13">
                  <c:v>-0.40434969012848043</c:v>
                </c:pt>
                <c:pt idx="14">
                  <c:v>-0.45271422873671696</c:v>
                </c:pt>
                <c:pt idx="15">
                  <c:v>-0.18082596170598819</c:v>
                </c:pt>
                <c:pt idx="16">
                  <c:v>-7.7997342224911392E-2</c:v>
                </c:pt>
                <c:pt idx="17">
                  <c:v>-4.1832211767456329E-2</c:v>
                </c:pt>
                <c:pt idx="18">
                  <c:v>-0.93309306437117101</c:v>
                </c:pt>
                <c:pt idx="19">
                  <c:v>-1.3620575902648646</c:v>
                </c:pt>
                <c:pt idx="20">
                  <c:v>-1.4618364386129734</c:v>
                </c:pt>
                <c:pt idx="21">
                  <c:v>-0.56120966931105798</c:v>
                </c:pt>
                <c:pt idx="22">
                  <c:v>-1.4797026678579073</c:v>
                </c:pt>
                <c:pt idx="23">
                  <c:v>-0.83919742940441466</c:v>
                </c:pt>
                <c:pt idx="24">
                  <c:v>-1.6125969739371193</c:v>
                </c:pt>
                <c:pt idx="25">
                  <c:v>-1.6609615125449118</c:v>
                </c:pt>
                <c:pt idx="26">
                  <c:v>-1.3468086219949882</c:v>
                </c:pt>
                <c:pt idx="27">
                  <c:v>-1.0566214537512941</c:v>
                </c:pt>
                <c:pt idx="28">
                  <c:v>-1.0171900614683871</c:v>
                </c:pt>
                <c:pt idx="29">
                  <c:v>-1.6849274950669901</c:v>
                </c:pt>
                <c:pt idx="30">
                  <c:v>-1.0021573728784539</c:v>
                </c:pt>
                <c:pt idx="31">
                  <c:v>-1.4069397349745216</c:v>
                </c:pt>
                <c:pt idx="32">
                  <c:v>-1.6727280869166528</c:v>
                </c:pt>
                <c:pt idx="33">
                  <c:v>-1.594298072724154</c:v>
                </c:pt>
                <c:pt idx="34">
                  <c:v>-2.4522270753086772</c:v>
                </c:pt>
                <c:pt idx="35">
                  <c:v>-2.0897095969480972</c:v>
                </c:pt>
                <c:pt idx="36">
                  <c:v>-2.6879500008694102</c:v>
                </c:pt>
                <c:pt idx="37">
                  <c:v>-2.3132333253710335</c:v>
                </c:pt>
                <c:pt idx="38">
                  <c:v>-1.6182640060442566</c:v>
                </c:pt>
                <c:pt idx="39">
                  <c:v>-2.5066913671953905</c:v>
                </c:pt>
                <c:pt idx="40">
                  <c:v>-2.1136755302677557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C-4C1D-967E-810A6B261E58}"/>
            </c:ext>
          </c:extLst>
        </c:ser>
        <c:ser>
          <c:idx val="8"/>
          <c:order val="2"/>
          <c:tx>
            <c:strRef>
              <c:f>Déplacements!$I$9</c:f>
              <c:strCache>
                <c:ptCount val="1"/>
                <c:pt idx="0">
                  <c:v>DPM CL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Déplacements!$I$10:$I$103</c:f>
              <c:numCache>
                <c:formatCode>\+\ 0.0;\-\ 0.0;\±\ 0.0</c:formatCode>
                <c:ptCount val="94"/>
                <c:pt idx="3">
                  <c:v>0</c:v>
                </c:pt>
                <c:pt idx="4">
                  <c:v>0</c:v>
                </c:pt>
                <c:pt idx="5">
                  <c:v>0.18735833774918831</c:v>
                </c:pt>
                <c:pt idx="6">
                  <c:v>-1.173293598455416E-2</c:v>
                </c:pt>
                <c:pt idx="7">
                  <c:v>-0.4470471966295797</c:v>
                </c:pt>
                <c:pt idx="8">
                  <c:v>-0.51356644526290296</c:v>
                </c:pt>
                <c:pt idx="9">
                  <c:v>-0.40274925167960163</c:v>
                </c:pt>
                <c:pt idx="10">
                  <c:v>-0.23572287635742484</c:v>
                </c:pt>
                <c:pt idx="11">
                  <c:v>-0.35641798529839619</c:v>
                </c:pt>
                <c:pt idx="12">
                  <c:v>-0.45924660477991708</c:v>
                </c:pt>
                <c:pt idx="13">
                  <c:v>-0.48931203116220345</c:v>
                </c:pt>
                <c:pt idx="14">
                  <c:v>0.33245184096575287</c:v>
                </c:pt>
                <c:pt idx="15">
                  <c:v>-0.39868281983146403</c:v>
                </c:pt>
                <c:pt idx="16">
                  <c:v>-0.4348479994917831</c:v>
                </c:pt>
                <c:pt idx="17">
                  <c:v>-0.35031828122367159</c:v>
                </c:pt>
                <c:pt idx="18">
                  <c:v>-0.64028900797641342</c:v>
                </c:pt>
                <c:pt idx="19">
                  <c:v>-0.6039073868255862</c:v>
                </c:pt>
                <c:pt idx="20">
                  <c:v>-0.8879949001960874</c:v>
                </c:pt>
                <c:pt idx="21">
                  <c:v>-1.0631537805925184</c:v>
                </c:pt>
                <c:pt idx="22">
                  <c:v>-3.2016606373193035</c:v>
                </c:pt>
                <c:pt idx="23">
                  <c:v>-5.358466395259498</c:v>
                </c:pt>
                <c:pt idx="24">
                  <c:v>-5.485261159072774</c:v>
                </c:pt>
                <c:pt idx="25">
                  <c:v>-5.7571492150905179</c:v>
                </c:pt>
                <c:pt idx="26">
                  <c:v>-5.8900435211692859</c:v>
                </c:pt>
                <c:pt idx="27">
                  <c:v>-5.9506072569148749</c:v>
                </c:pt>
                <c:pt idx="28">
                  <c:v>-6.3704223568037399</c:v>
                </c:pt>
                <c:pt idx="29">
                  <c:v>-6.657343101410973</c:v>
                </c:pt>
                <c:pt idx="30">
                  <c:v>-6.6451439042731764</c:v>
                </c:pt>
                <c:pt idx="31">
                  <c:v>-6.9292313684417017</c:v>
                </c:pt>
                <c:pt idx="32">
                  <c:v>-7.3401132235999533</c:v>
                </c:pt>
                <c:pt idx="33">
                  <c:v>-7.5453380016070604</c:v>
                </c:pt>
                <c:pt idx="34">
                  <c:v>-7.6721325544077956</c:v>
                </c:pt>
                <c:pt idx="35">
                  <c:v>-7.6843317515451481</c:v>
                </c:pt>
                <c:pt idx="36">
                  <c:v>-7.6115688186622066</c:v>
                </c:pt>
                <c:pt idx="37">
                  <c:v>-8.0689260821862341</c:v>
                </c:pt>
                <c:pt idx="38">
                  <c:v>-7.8594908921569839</c:v>
                </c:pt>
                <c:pt idx="39">
                  <c:v>-8.1797435359858284</c:v>
                </c:pt>
                <c:pt idx="40">
                  <c:v>-8.2943386806362263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C-4C1D-967E-810A6B261E58}"/>
            </c:ext>
          </c:extLst>
        </c:ser>
        <c:ser>
          <c:idx val="13"/>
          <c:order val="3"/>
          <c:tx>
            <c:strRef>
              <c:f>Déplacements!$L$9</c:f>
              <c:strCache>
                <c:ptCount val="1"/>
                <c:pt idx="0">
                  <c:v>DPM CTR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Déplacements!$L$10:$L$103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5.1198079263237162E-2</c:v>
                </c:pt>
                <c:pt idx="2">
                  <c:v>-6.9496980475314274E-2</c:v>
                </c:pt>
                <c:pt idx="3">
                  <c:v>0.54050994861487567</c:v>
                </c:pt>
                <c:pt idx="4">
                  <c:v>1.5032737792797235E-2</c:v>
                </c:pt>
                <c:pt idx="5">
                  <c:v>0.20239107554242963</c:v>
                </c:pt>
                <c:pt idx="7">
                  <c:v>0.34138503649305818</c:v>
                </c:pt>
                <c:pt idx="8">
                  <c:v>0.28082130074791323</c:v>
                </c:pt>
                <c:pt idx="9">
                  <c:v>0.19629158247980172</c:v>
                </c:pt>
                <c:pt idx="10">
                  <c:v>0.35184293117529464</c:v>
                </c:pt>
                <c:pt idx="11">
                  <c:v>0.19629158247980172</c:v>
                </c:pt>
                <c:pt idx="12">
                  <c:v>0.13572779753090458</c:v>
                </c:pt>
                <c:pt idx="13">
                  <c:v>2.1132441867965923E-2</c:v>
                </c:pt>
                <c:pt idx="14">
                  <c:v>0.60717338843518931</c:v>
                </c:pt>
                <c:pt idx="15">
                  <c:v>0.38364992022899003</c:v>
                </c:pt>
                <c:pt idx="16">
                  <c:v>0.11786135727387403</c:v>
                </c:pt>
                <c:pt idx="17">
                  <c:v>0.38364992022899003</c:v>
                </c:pt>
                <c:pt idx="18">
                  <c:v>0.30500346454598315</c:v>
                </c:pt>
                <c:pt idx="19">
                  <c:v>0.71566904002384746</c:v>
                </c:pt>
                <c:pt idx="20">
                  <c:v>0.49214557181720409</c:v>
                </c:pt>
                <c:pt idx="21">
                  <c:v>0.51654417710533806</c:v>
                </c:pt>
                <c:pt idx="22">
                  <c:v>0.51044447302972529</c:v>
                </c:pt>
                <c:pt idx="23">
                  <c:v>0.73680148189136929</c:v>
                </c:pt>
                <c:pt idx="24">
                  <c:v>0.75793392375933522</c:v>
                </c:pt>
                <c:pt idx="25">
                  <c:v>0.89082818063523916</c:v>
                </c:pt>
                <c:pt idx="26">
                  <c:v>0.81239821564516035</c:v>
                </c:pt>
                <c:pt idx="27">
                  <c:v>0.78233252904746919</c:v>
                </c:pt>
                <c:pt idx="28">
                  <c:v>0.71283554857171083</c:v>
                </c:pt>
                <c:pt idx="29">
                  <c:v>0.52874337424269058</c:v>
                </c:pt>
                <c:pt idx="30">
                  <c:v>0.61327309251124618</c:v>
                </c:pt>
                <c:pt idx="31">
                  <c:v>0.51044447302972529</c:v>
                </c:pt>
                <c:pt idx="32">
                  <c:v>0.10566211093365752</c:v>
                </c:pt>
                <c:pt idx="33">
                  <c:v>0.14792699466914527</c:v>
                </c:pt>
                <c:pt idx="34">
                  <c:v>6.3397276401033764E-2</c:v>
                </c:pt>
                <c:pt idx="35">
                  <c:v>0.28082130074791323</c:v>
                </c:pt>
                <c:pt idx="36">
                  <c:v>0.55067603533531795</c:v>
                </c:pt>
                <c:pt idx="37">
                  <c:v>0.34719635819380201</c:v>
                </c:pt>
                <c:pt idx="38">
                  <c:v>0.89082818063523916</c:v>
                </c:pt>
                <c:pt idx="39">
                  <c:v>0.41981505068688918</c:v>
                </c:pt>
                <c:pt idx="40">
                  <c:v>0.8668622473155807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C-4C1D-967E-810A6B261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549928"/>
        <c:axId val="656550320"/>
      </c:scatterChart>
      <c:valAx>
        <c:axId val="656549928"/>
        <c:scaling>
          <c:orientation val="minMax"/>
          <c:max val="45808"/>
          <c:min val="455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88909976285118764"/>
              <c:y val="0.864887774678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\ /\ mm\ /\ yy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6550320"/>
        <c:crossesAt val="0"/>
        <c:crossBetween val="midCat"/>
        <c:majorUnit val="7"/>
      </c:valAx>
      <c:valAx>
        <c:axId val="656550320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vers interieur GER [mm]                         vers exterieur GER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654992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2780104913891999"/>
          <c:y val="0.49241041620298243"/>
          <c:w val="0.21008764507371544"/>
          <c:h val="0.2476595717135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11" footer="0.49212598450000511"/>
    <c:pageSetup paperSize="9"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Déplacement PM GER = déport sur axe alvéole</a:t>
            </a:r>
          </a:p>
        </c:rich>
      </c:tx>
      <c:layout>
        <c:manualLayout>
          <c:xMode val="edge"/>
          <c:yMode val="edge"/>
          <c:x val="0.34864525221211207"/>
          <c:y val="6.452423150252313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5.7452773560255632E-2"/>
          <c:w val="0.82298957241880821"/>
          <c:h val="0.72137110188676556"/>
        </c:manualLayout>
      </c:layout>
      <c:scatterChart>
        <c:scatterStyle val="lineMarker"/>
        <c:varyColors val="0"/>
        <c:ser>
          <c:idx val="11"/>
          <c:order val="0"/>
          <c:tx>
            <c:strRef>
              <c:f>Déplacements!$D$9</c:f>
              <c:strCache>
                <c:ptCount val="1"/>
                <c:pt idx="0">
                  <c:v>DH CHP1</c:v>
                </c:pt>
              </c:strCache>
            </c:strRef>
          </c:tx>
          <c:spPr>
            <a:ln w="1587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Déplacements!$D$10:$D$103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-0.29585398933624008</c:v>
                </c:pt>
                <c:pt idx="2">
                  <c:v>0.3808165342833727</c:v>
                </c:pt>
                <c:pt idx="3">
                  <c:v>-0.2052245669922747</c:v>
                </c:pt>
                <c:pt idx="4">
                  <c:v>0.11502802763174204</c:v>
                </c:pt>
                <c:pt idx="5">
                  <c:v>-7.2330366420464073E-2</c:v>
                </c:pt>
                <c:pt idx="6">
                  <c:v>-0.34657181045625196</c:v>
                </c:pt>
                <c:pt idx="7">
                  <c:v>-0.15686013389211267</c:v>
                </c:pt>
                <c:pt idx="8">
                  <c:v>1.8299055923703435E-2</c:v>
                </c:pt>
                <c:pt idx="9">
                  <c:v>2.439860528960329E-2</c:v>
                </c:pt>
                <c:pt idx="10">
                  <c:v>-0.34421842243880385</c:v>
                </c:pt>
                <c:pt idx="11">
                  <c:v>-2.3965827813027252E-2</c:v>
                </c:pt>
                <c:pt idx="12">
                  <c:v>-0.68843695038293873</c:v>
                </c:pt>
                <c:pt idx="13">
                  <c:v>2.439860528960329E-2</c:v>
                </c:pt>
                <c:pt idx="14">
                  <c:v>0.32635234790369655</c:v>
                </c:pt>
                <c:pt idx="15">
                  <c:v>0.3686172316406241</c:v>
                </c:pt>
                <c:pt idx="16">
                  <c:v>0.42918096738604661</c:v>
                </c:pt>
                <c:pt idx="17">
                  <c:v>0.19345804182616977</c:v>
                </c:pt>
                <c:pt idx="18">
                  <c:v>0.13006076542540837</c:v>
                </c:pt>
                <c:pt idx="19">
                  <c:v>0.9123933436758257</c:v>
                </c:pt>
                <c:pt idx="20">
                  <c:v>0.68277017139322438</c:v>
                </c:pt>
                <c:pt idx="21">
                  <c:v>-0.19302526434928668</c:v>
                </c:pt>
                <c:pt idx="22">
                  <c:v>0.52591003750003273</c:v>
                </c:pt>
                <c:pt idx="23">
                  <c:v>-9.6296194233585874E-2</c:v>
                </c:pt>
                <c:pt idx="24">
                  <c:v>0.30848606235536152</c:v>
                </c:pt>
                <c:pt idx="25">
                  <c:v>-9.0196644868658332E-2</c:v>
                </c:pt>
                <c:pt idx="26">
                  <c:v>0.13942662582050197</c:v>
                </c:pt>
                <c:pt idx="27">
                  <c:v>-0.45271412322900328</c:v>
                </c:pt>
                <c:pt idx="28">
                  <c:v>8.8012266876301593E-2</c:v>
                </c:pt>
                <c:pt idx="29">
                  <c:v>0.30848606235536152</c:v>
                </c:pt>
                <c:pt idx="30">
                  <c:v>0.35685060096365356</c:v>
                </c:pt>
                <c:pt idx="31">
                  <c:v>4.8797308983581505E-2</c:v>
                </c:pt>
                <c:pt idx="32">
                  <c:v>-7.7997342223934743E-2</c:v>
                </c:pt>
                <c:pt idx="33">
                  <c:v>0.15162592846330955</c:v>
                </c:pt>
                <c:pt idx="34">
                  <c:v>0.55640819215354353</c:v>
                </c:pt>
                <c:pt idx="35">
                  <c:v>0.23615559752992055</c:v>
                </c:pt>
                <c:pt idx="36">
                  <c:v>0.48386144054713126</c:v>
                </c:pt>
                <c:pt idx="37">
                  <c:v>0.29061978390956722</c:v>
                </c:pt>
                <c:pt idx="38">
                  <c:v>0.49584445640891894</c:v>
                </c:pt>
                <c:pt idx="39">
                  <c:v>0.2300560481624499</c:v>
                </c:pt>
                <c:pt idx="40">
                  <c:v>0.948991251608018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02-46EF-8F97-AC7696BAB569}"/>
            </c:ext>
          </c:extLst>
        </c:ser>
        <c:ser>
          <c:idx val="7"/>
          <c:order val="1"/>
          <c:tx>
            <c:strRef>
              <c:f>Déplacements!$G$9</c:f>
              <c:strCache>
                <c:ptCount val="1"/>
                <c:pt idx="0">
                  <c:v>DH CHP2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Déplacements!$G$10:$G$103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0</c:v>
                </c:pt>
                <c:pt idx="3">
                  <c:v>0.47101308074630821</c:v>
                </c:pt>
                <c:pt idx="4">
                  <c:v>1.2566118716179526</c:v>
                </c:pt>
                <c:pt idx="5">
                  <c:v>1.2082473330101637</c:v>
                </c:pt>
                <c:pt idx="7">
                  <c:v>1.6008302940566792</c:v>
                </c:pt>
                <c:pt idx="8">
                  <c:v>1.425671308154415</c:v>
                </c:pt>
                <c:pt idx="9">
                  <c:v>1.9694474201887544</c:v>
                </c:pt>
                <c:pt idx="10">
                  <c:v>1.3350418858108504</c:v>
                </c:pt>
                <c:pt idx="11">
                  <c:v>1.9149833393175726</c:v>
                </c:pt>
                <c:pt idx="12">
                  <c:v>1.6613942337135243</c:v>
                </c:pt>
                <c:pt idx="13">
                  <c:v>1.5768644662438533</c:v>
                </c:pt>
                <c:pt idx="14">
                  <c:v>1.4439701601634201</c:v>
                </c:pt>
                <c:pt idx="15">
                  <c:v>1.5707648113717081</c:v>
                </c:pt>
                <c:pt idx="16">
                  <c:v>2.0600768425334155</c:v>
                </c:pt>
                <c:pt idx="17">
                  <c:v>1.7459239027801665</c:v>
                </c:pt>
                <c:pt idx="18">
                  <c:v>1.05443702655399</c:v>
                </c:pt>
                <c:pt idx="19">
                  <c:v>0.9095599085235766</c:v>
                </c:pt>
                <c:pt idx="20">
                  <c:v>0.53200958686322808</c:v>
                </c:pt>
                <c:pt idx="21">
                  <c:v>2.3864290849293508</c:v>
                </c:pt>
                <c:pt idx="22">
                  <c:v>1.5167332969597096</c:v>
                </c:pt>
                <c:pt idx="23">
                  <c:v>2.036110909212248</c:v>
                </c:pt>
                <c:pt idx="24">
                  <c:v>1.5650978355669052</c:v>
                </c:pt>
                <c:pt idx="25">
                  <c:v>1.4322035294889526</c:v>
                </c:pt>
                <c:pt idx="26">
                  <c:v>1.4683687654515678</c:v>
                </c:pt>
                <c:pt idx="27">
                  <c:v>2.2657341870020962</c:v>
                </c:pt>
                <c:pt idx="28">
                  <c:v>2.8909901406649792</c:v>
                </c:pt>
                <c:pt idx="29">
                  <c:v>2.1934037221742164</c:v>
                </c:pt>
                <c:pt idx="30">
                  <c:v>2.6221519120844734</c:v>
                </c:pt>
                <c:pt idx="31">
                  <c:v>2.5437218978907503</c:v>
                </c:pt>
                <c:pt idx="32">
                  <c:v>2.6404509680058688</c:v>
                </c:pt>
                <c:pt idx="33">
                  <c:v>2.235668605911175</c:v>
                </c:pt>
                <c:pt idx="34">
                  <c:v>1.9459142643431273</c:v>
                </c:pt>
                <c:pt idx="35">
                  <c:v>2.1149737008799954</c:v>
                </c:pt>
                <c:pt idx="36">
                  <c:v>1.5049667717901734</c:v>
                </c:pt>
                <c:pt idx="37">
                  <c:v>2.121073355752956</c:v>
                </c:pt>
                <c:pt idx="38">
                  <c:v>2.9968686930899882</c:v>
                </c:pt>
                <c:pt idx="39">
                  <c:v>1.5894964408558963</c:v>
                </c:pt>
                <c:pt idx="40">
                  <c:v>2.8761737880602758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02-46EF-8F97-AC7696BAB569}"/>
            </c:ext>
          </c:extLst>
        </c:ser>
        <c:ser>
          <c:idx val="8"/>
          <c:order val="2"/>
          <c:tx>
            <c:strRef>
              <c:f>Déplacements!$J$9</c:f>
              <c:strCache>
                <c:ptCount val="1"/>
                <c:pt idx="0">
                  <c:v>DH CL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Déplacements!$J$10:$J$103</c:f>
              <c:numCache>
                <c:formatCode>\+\ 0.0;\-\ 0.0;\±\ 0.0</c:formatCode>
                <c:ptCount val="94"/>
                <c:pt idx="3">
                  <c:v>0</c:v>
                </c:pt>
                <c:pt idx="4">
                  <c:v>0</c:v>
                </c:pt>
                <c:pt idx="5">
                  <c:v>0.30805329198124731</c:v>
                </c:pt>
                <c:pt idx="6">
                  <c:v>-0.31284607577758416</c:v>
                </c:pt>
                <c:pt idx="7">
                  <c:v>1.2199302644677612E-2</c:v>
                </c:pt>
                <c:pt idx="8">
                  <c:v>-0.23950087662634456</c:v>
                </c:pt>
                <c:pt idx="9">
                  <c:v>-3.9222406583022673E-3</c:v>
                </c:pt>
                <c:pt idx="10">
                  <c:v>-0.44094759806073691</c:v>
                </c:pt>
                <c:pt idx="11">
                  <c:v>5.4464087974978592E-2</c:v>
                </c:pt>
                <c:pt idx="12">
                  <c:v>-0.43484794318773834</c:v>
                </c:pt>
                <c:pt idx="13">
                  <c:v>0.10282861948304745</c:v>
                </c:pt>
                <c:pt idx="14">
                  <c:v>0.70673590080159998</c:v>
                </c:pt>
                <c:pt idx="15">
                  <c:v>0.14509340481110022</c:v>
                </c:pt>
                <c:pt idx="16">
                  <c:v>0.45924645007082432</c:v>
                </c:pt>
                <c:pt idx="17">
                  <c:v>0.27798771088975716</c:v>
                </c:pt>
                <c:pt idx="18">
                  <c:v>0.30826957876409211</c:v>
                </c:pt>
                <c:pt idx="19">
                  <c:v>0.82176382292638295</c:v>
                </c:pt>
                <c:pt idx="20">
                  <c:v>0.24792212979966866</c:v>
                </c:pt>
                <c:pt idx="21">
                  <c:v>0.38691597814291545</c:v>
                </c:pt>
                <c:pt idx="22">
                  <c:v>0.71370099801459919</c:v>
                </c:pt>
                <c:pt idx="23">
                  <c:v>0.36991524754496907</c:v>
                </c:pt>
                <c:pt idx="24">
                  <c:v>0.64180320515763722</c:v>
                </c:pt>
                <c:pt idx="25">
                  <c:v>0.51500865235634685</c:v>
                </c:pt>
                <c:pt idx="26">
                  <c:v>0.56337319096411154</c:v>
                </c:pt>
                <c:pt idx="27">
                  <c:v>-1.6568262540858636E-2</c:v>
                </c:pt>
                <c:pt idx="28">
                  <c:v>0.17384005735304742</c:v>
                </c:pt>
                <c:pt idx="29">
                  <c:v>0.31588373313336249</c:v>
                </c:pt>
                <c:pt idx="30">
                  <c:v>0.76293088055826019</c:v>
                </c:pt>
                <c:pt idx="31">
                  <c:v>0.18908908192541429</c:v>
                </c:pt>
                <c:pt idx="32">
                  <c:v>-0.11286445677592682</c:v>
                </c:pt>
                <c:pt idx="33">
                  <c:v>0.56380586293058865</c:v>
                </c:pt>
                <c:pt idx="34">
                  <c:v>0.83569391894997014</c:v>
                </c:pt>
                <c:pt idx="35">
                  <c:v>0.38864677152183891</c:v>
                </c:pt>
                <c:pt idx="36">
                  <c:v>1.41563537245408</c:v>
                </c:pt>
                <c:pt idx="37">
                  <c:v>0.50353050246114417</c:v>
                </c:pt>
                <c:pt idx="38">
                  <c:v>0.52764062696782077</c:v>
                </c:pt>
                <c:pt idx="39">
                  <c:v>0.2679518735933667</c:v>
                </c:pt>
                <c:pt idx="40">
                  <c:v>0.98688717544338778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02-46EF-8F97-AC7696BAB569}"/>
            </c:ext>
          </c:extLst>
        </c:ser>
        <c:ser>
          <c:idx val="13"/>
          <c:order val="3"/>
          <c:tx>
            <c:strRef>
              <c:f>Déplacements!$M$9</c:f>
              <c:strCache>
                <c:ptCount val="1"/>
                <c:pt idx="0">
                  <c:v>DH CTR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Déplacements!$B$10:$B$103</c:f>
              <c:numCache>
                <c:formatCode>dd\ /\ mm\ /\ yy</c:formatCode>
                <c:ptCount val="94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Déplacements!$M$10:$M$103</c:f>
              <c:numCache>
                <c:formatCode>\+\ 0.0;\-\ 0.0;\±\ 0.0</c:formatCode>
                <c:ptCount val="94"/>
                <c:pt idx="0">
                  <c:v>0</c:v>
                </c:pt>
                <c:pt idx="1">
                  <c:v>-0.58299117543464218</c:v>
                </c:pt>
                <c:pt idx="2">
                  <c:v>-8.7579594906845096E-2</c:v>
                </c:pt>
                <c:pt idx="3">
                  <c:v>-0.6858199988278233</c:v>
                </c:pt>
                <c:pt idx="4">
                  <c:v>-0.26883833408825747</c:v>
                </c:pt>
                <c:pt idx="5">
                  <c:v>3.9214957893324645E-2</c:v>
                </c:pt>
                <c:pt idx="7">
                  <c:v>0.21437414770864199</c:v>
                </c:pt>
                <c:pt idx="8">
                  <c:v>-0.3655673057965988</c:v>
                </c:pt>
                <c:pt idx="9">
                  <c:v>-0.18430856661688297</c:v>
                </c:pt>
                <c:pt idx="10">
                  <c:v>-0.22210690179106513</c:v>
                </c:pt>
                <c:pt idx="11">
                  <c:v>-0.18430856661688297</c:v>
                </c:pt>
                <c:pt idx="12">
                  <c:v>-0.76424991461561576</c:v>
                </c:pt>
                <c:pt idx="13">
                  <c:v>-4.531471117204082E-2</c:v>
                </c:pt>
                <c:pt idx="14">
                  <c:v>0.11764507759341042</c:v>
                </c:pt>
                <c:pt idx="15">
                  <c:v>0.1237447253651016</c:v>
                </c:pt>
                <c:pt idx="16">
                  <c:v>0.22047369707429815</c:v>
                </c:pt>
                <c:pt idx="17">
                  <c:v>0.1237447253651016</c:v>
                </c:pt>
                <c:pt idx="18">
                  <c:v>-0.29912020196027483</c:v>
                </c:pt>
                <c:pt idx="19">
                  <c:v>-0.82481374876680613</c:v>
                </c:pt>
                <c:pt idx="20">
                  <c:v>-0.81871410099523811</c:v>
                </c:pt>
                <c:pt idx="21">
                  <c:v>7.5380292263725265E-2</c:v>
                </c:pt>
                <c:pt idx="22">
                  <c:v>-0.14814333065265273</c:v>
                </c:pt>
                <c:pt idx="23">
                  <c:v>-0.87012845993883303</c:v>
                </c:pt>
                <c:pt idx="24">
                  <c:v>-0.91544317110948092</c:v>
                </c:pt>
                <c:pt idx="25">
                  <c:v>-0.96380760421123191</c:v>
                </c:pt>
                <c:pt idx="26">
                  <c:v>-0.5590253476219168</c:v>
                </c:pt>
                <c:pt idx="27">
                  <c:v>-2.1348777852250519E-2</c:v>
                </c:pt>
                <c:pt idx="28">
                  <c:v>-0.10892837275887357</c:v>
                </c:pt>
                <c:pt idx="29">
                  <c:v>0.52242743968948169</c:v>
                </c:pt>
                <c:pt idx="30">
                  <c:v>0.34116870050962705</c:v>
                </c:pt>
                <c:pt idx="31">
                  <c:v>-0.14814333065265273</c:v>
                </c:pt>
                <c:pt idx="32">
                  <c:v>-0.22657334484610034</c:v>
                </c:pt>
                <c:pt idx="33">
                  <c:v>-0.31720276718896767</c:v>
                </c:pt>
                <c:pt idx="34">
                  <c:v>-0.13594402800929523</c:v>
                </c:pt>
                <c:pt idx="35">
                  <c:v>-0.3655673057965988</c:v>
                </c:pt>
                <c:pt idx="36">
                  <c:v>-0.31328062493423892</c:v>
                </c:pt>
                <c:pt idx="37">
                  <c:v>-0.66563202367673868</c:v>
                </c:pt>
                <c:pt idx="38">
                  <c:v>-0.96380760421123191</c:v>
                </c:pt>
                <c:pt idx="39">
                  <c:v>-0.19040821438790281</c:v>
                </c:pt>
                <c:pt idx="40">
                  <c:v>-0.20260751703172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02-46EF-8F97-AC7696BAB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483104"/>
        <c:axId val="658483496"/>
        <c:extLst/>
      </c:scatterChart>
      <c:valAx>
        <c:axId val="658483104"/>
        <c:scaling>
          <c:orientation val="minMax"/>
          <c:max val="45808"/>
          <c:min val="455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88909976285118764"/>
              <c:y val="0.864887774678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\ /\ mm\ /\ yy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8483496"/>
        <c:crossesAt val="0"/>
        <c:crossBetween val="midCat"/>
        <c:majorUnit val="7"/>
      </c:valAx>
      <c:valAx>
        <c:axId val="658483496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900" b="0" i="0" u="none" strike="noStrike" kern="1200" cap="all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VERs Galerie GT1 (mm)                                           VERs front ger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84831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957600739019528"/>
          <c:y val="0.46427413758197073"/>
          <c:w val="0.19737208950747309"/>
          <c:h val="0.272058662722905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11" footer="0.49212598450000511"/>
    <c:pageSetup paperSize="9"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Mesure des cordes</a:t>
            </a:r>
          </a:p>
        </c:rich>
      </c:tx>
      <c:layout>
        <c:manualLayout>
          <c:xMode val="edge"/>
          <c:yMode val="edge"/>
          <c:x val="0.42116532057287082"/>
          <c:y val="9.202358673775652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183293123625E-2"/>
          <c:y val="6.3130134027008358E-2"/>
          <c:w val="0.82298957241880821"/>
          <c:h val="0.71253829577845151"/>
        </c:manualLayout>
      </c:layout>
      <c:scatterChart>
        <c:scatterStyle val="lineMarker"/>
        <c:varyColors val="0"/>
        <c:ser>
          <c:idx val="7"/>
          <c:order val="0"/>
          <c:tx>
            <c:strRef>
              <c:f>Cordes!$C$9</c:f>
              <c:strCache>
                <c:ptCount val="1"/>
                <c:pt idx="0">
                  <c:v>CHP1 (A) - CTRL (D)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Cordes!$B$10:$B$118</c:f>
              <c:numCache>
                <c:formatCode>dd\ /\ mm\ /\ yy</c:formatCode>
                <c:ptCount val="109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Cordes!$C$10:$C$118</c:f>
              <c:numCache>
                <c:formatCode>\+\ 0.0;\-\ 0.0;\±\ 0.0</c:formatCode>
                <c:ptCount val="109"/>
                <c:pt idx="0">
                  <c:v>0</c:v>
                </c:pt>
                <c:pt idx="1">
                  <c:v>-0.75528292042115197</c:v>
                </c:pt>
                <c:pt idx="2">
                  <c:v>-0.85154837162626507</c:v>
                </c:pt>
                <c:pt idx="3">
                  <c:v>-1.3098459006455343</c:v>
                </c:pt>
                <c:pt idx="4">
                  <c:v>-1.0441417221649374</c:v>
                </c:pt>
                <c:pt idx="5">
                  <c:v>-0.93063220626543597</c:v>
                </c:pt>
                <c:pt idx="7">
                  <c:v>-1.2695390441210819</c:v>
                </c:pt>
                <c:pt idx="8">
                  <c:v>-1.0672306741552617</c:v>
                </c:pt>
                <c:pt idx="9">
                  <c:v>-1.1982228588731658</c:v>
                </c:pt>
                <c:pt idx="10">
                  <c:v>-0.96576187601815633</c:v>
                </c:pt>
                <c:pt idx="11">
                  <c:v>-1.0730572562183127</c:v>
                </c:pt>
                <c:pt idx="12">
                  <c:v>-1.2579198478706033</c:v>
                </c:pt>
                <c:pt idx="13">
                  <c:v>-1.0345539456642072</c:v>
                </c:pt>
                <c:pt idx="14">
                  <c:v>-1.2135939902151449</c:v>
                </c:pt>
                <c:pt idx="15">
                  <c:v>-0.89587677604363591</c:v>
                </c:pt>
                <c:pt idx="16">
                  <c:v>-1.21743230929372</c:v>
                </c:pt>
                <c:pt idx="17">
                  <c:v>-1.0422321470171525</c:v>
                </c:pt>
                <c:pt idx="18">
                  <c:v>-1.0922426475996616</c:v>
                </c:pt>
                <c:pt idx="19">
                  <c:v>-1.4749657560928497</c:v>
                </c:pt>
                <c:pt idx="20">
                  <c:v>-1.0379623281924211</c:v>
                </c:pt>
                <c:pt idx="21">
                  <c:v>-1.7816401133234905</c:v>
                </c:pt>
                <c:pt idx="22">
                  <c:v>-1.8912003849251846</c:v>
                </c:pt>
                <c:pt idx="23">
                  <c:v>-2.272415011488782</c:v>
                </c:pt>
                <c:pt idx="24">
                  <c:v>-2.3723861600366547</c:v>
                </c:pt>
                <c:pt idx="25">
                  <c:v>-2.653626691256683</c:v>
                </c:pt>
                <c:pt idx="26">
                  <c:v>-2.792324287231196</c:v>
                </c:pt>
                <c:pt idx="27">
                  <c:v>-2.3785209799243034</c:v>
                </c:pt>
                <c:pt idx="28">
                  <c:v>-2.4496847514248188</c:v>
                </c:pt>
                <c:pt idx="29">
                  <c:v>-2.153175056459844</c:v>
                </c:pt>
                <c:pt idx="30">
                  <c:v>-2.3630802402729856</c:v>
                </c:pt>
                <c:pt idx="31">
                  <c:v>-2.4439429553888559</c:v>
                </c:pt>
                <c:pt idx="32">
                  <c:v>-2.3225666699007164</c:v>
                </c:pt>
                <c:pt idx="33">
                  <c:v>-2.5862710230022401</c:v>
                </c:pt>
                <c:pt idx="34">
                  <c:v>-2.5727844336973504</c:v>
                </c:pt>
                <c:pt idx="35">
                  <c:v>-2.5342725322241577</c:v>
                </c:pt>
                <c:pt idx="36">
                  <c:v>-2.8363610414201545</c:v>
                </c:pt>
                <c:pt idx="37">
                  <c:v>-2.9507734306220001</c:v>
                </c:pt>
                <c:pt idx="38">
                  <c:v>-2.8132479429761048</c:v>
                </c:pt>
                <c:pt idx="39">
                  <c:v>-2.4534173328074615</c:v>
                </c:pt>
                <c:pt idx="40">
                  <c:v>-3.0039847549634402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69C-4170-BFFE-D66EA486D088}"/>
            </c:ext>
          </c:extLst>
        </c:ser>
        <c:ser>
          <c:idx val="10"/>
          <c:order val="1"/>
          <c:tx>
            <c:strRef>
              <c:f>Cordes!$E$9</c:f>
              <c:strCache>
                <c:ptCount val="1"/>
                <c:pt idx="0">
                  <c:v>CL (C ) - CTRL (D)</c:v>
                </c:pt>
              </c:strCache>
            </c:strRef>
          </c:tx>
          <c:spPr>
            <a:ln w="1587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5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5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Cordes!$B$10:$B$118</c:f>
              <c:numCache>
                <c:formatCode>dd\ /\ mm\ /\ yy</c:formatCode>
                <c:ptCount val="109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Cordes!$E$10:$E$118</c:f>
              <c:numCache>
                <c:formatCode>\+\ 0.0;\-\ 0.0;\±\ 0.0</c:formatCode>
                <c:ptCount val="109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7">
                  <c:v>-0.70606792271821206</c:v>
                </c:pt>
                <c:pt idx="8">
                  <c:v>-0.72190413958139743</c:v>
                </c:pt>
                <c:pt idx="9">
                  <c:v>-0.51401945698525964</c:v>
                </c:pt>
                <c:pt idx="10">
                  <c:v>-0.52333192157849595</c:v>
                </c:pt>
                <c:pt idx="11">
                  <c:v>-0.4673638527536994</c:v>
                </c:pt>
                <c:pt idx="12">
                  <c:v>-0.49885270529603787</c:v>
                </c:pt>
                <c:pt idx="13">
                  <c:v>-0.41642303689304327</c:v>
                </c:pt>
                <c:pt idx="14">
                  <c:v>-0.17769305771153654</c:v>
                </c:pt>
                <c:pt idx="15">
                  <c:v>-0.67846608604504866</c:v>
                </c:pt>
                <c:pt idx="16">
                  <c:v>-0.44791166467028631</c:v>
                </c:pt>
                <c:pt idx="17">
                  <c:v>-0.60963380018907998</c:v>
                </c:pt>
                <c:pt idx="18">
                  <c:v>-0.83029072933449299</c:v>
                </c:pt>
                <c:pt idx="19">
                  <c:v>-1.2074945479492172</c:v>
                </c:pt>
                <c:pt idx="20">
                  <c:v>-1.2538472498997422</c:v>
                </c:pt>
                <c:pt idx="21">
                  <c:v>-1.4206344450578001</c:v>
                </c:pt>
                <c:pt idx="22">
                  <c:v>-3.4888982657106382</c:v>
                </c:pt>
                <c:pt idx="23">
                  <c:v>-5.8082121098381734</c:v>
                </c:pt>
                <c:pt idx="24">
                  <c:v>-5.9523929707436807</c:v>
                </c:pt>
                <c:pt idx="25">
                  <c:v>-6.3462107374325782</c:v>
                </c:pt>
                <c:pt idx="26">
                  <c:v>-6.3940489817326807</c:v>
                </c:pt>
                <c:pt idx="27">
                  <c:v>-6.4349282829807564</c:v>
                </c:pt>
                <c:pt idx="28">
                  <c:v>-6.7809571823671533</c:v>
                </c:pt>
                <c:pt idx="29">
                  <c:v>-6.8389982323653342</c:v>
                </c:pt>
                <c:pt idx="30">
                  <c:v>-6.924656803389162</c:v>
                </c:pt>
                <c:pt idx="31">
                  <c:v>-7.1253758500597897</c:v>
                </c:pt>
                <c:pt idx="32">
                  <c:v>-7.0748923133452379</c:v>
                </c:pt>
                <c:pt idx="33">
                  <c:v>-7.3726130549465196</c:v>
                </c:pt>
                <c:pt idx="34">
                  <c:v>-7.3844971450762742</c:v>
                </c:pt>
                <c:pt idx="35">
                  <c:v>-7.6052938680817306</c:v>
                </c:pt>
                <c:pt idx="36">
                  <c:v>-7.824717380216839</c:v>
                </c:pt>
                <c:pt idx="37">
                  <c:v>-8.0664379277592957</c:v>
                </c:pt>
                <c:pt idx="38">
                  <c:v>-8.3894222886931047</c:v>
                </c:pt>
                <c:pt idx="39">
                  <c:v>-8.2002956296856055</c:v>
                </c:pt>
                <c:pt idx="40">
                  <c:v>-8.7914242149302879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69C-4170-BFFE-D66EA486D088}"/>
            </c:ext>
          </c:extLst>
        </c:ser>
        <c:ser>
          <c:idx val="13"/>
          <c:order val="2"/>
          <c:tx>
            <c:strRef>
              <c:f>Cordes!$D$9</c:f>
              <c:strCache>
                <c:ptCount val="1"/>
                <c:pt idx="0">
                  <c:v>CHP2 (B) - CTRL (D)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Cordes!$B$10:$B$118</c:f>
              <c:numCache>
                <c:formatCode>dd\ /\ mm\ /\ yy</c:formatCode>
                <c:ptCount val="109"/>
                <c:pt idx="0">
                  <c:v>45532</c:v>
                </c:pt>
                <c:pt idx="1">
                  <c:v>45540</c:v>
                </c:pt>
                <c:pt idx="2">
                  <c:v>45544</c:v>
                </c:pt>
                <c:pt idx="3">
                  <c:v>45548</c:v>
                </c:pt>
                <c:pt idx="4">
                  <c:v>45552</c:v>
                </c:pt>
                <c:pt idx="5">
                  <c:v>45553</c:v>
                </c:pt>
                <c:pt idx="6">
                  <c:v>45554</c:v>
                </c:pt>
                <c:pt idx="7">
                  <c:v>45557</c:v>
                </c:pt>
                <c:pt idx="8">
                  <c:v>45558</c:v>
                </c:pt>
                <c:pt idx="9">
                  <c:v>45559</c:v>
                </c:pt>
                <c:pt idx="10">
                  <c:v>45560</c:v>
                </c:pt>
                <c:pt idx="11">
                  <c:v>45562</c:v>
                </c:pt>
                <c:pt idx="12">
                  <c:v>45565</c:v>
                </c:pt>
                <c:pt idx="13">
                  <c:v>45567</c:v>
                </c:pt>
                <c:pt idx="14">
                  <c:v>45569</c:v>
                </c:pt>
                <c:pt idx="15">
                  <c:v>45572</c:v>
                </c:pt>
                <c:pt idx="16">
                  <c:v>45579</c:v>
                </c:pt>
                <c:pt idx="17">
                  <c:v>45586</c:v>
                </c:pt>
                <c:pt idx="18">
                  <c:v>45593</c:v>
                </c:pt>
                <c:pt idx="19">
                  <c:v>45601</c:v>
                </c:pt>
                <c:pt idx="20">
                  <c:v>45609</c:v>
                </c:pt>
                <c:pt idx="21">
                  <c:v>45622</c:v>
                </c:pt>
                <c:pt idx="22">
                  <c:v>45644</c:v>
                </c:pt>
                <c:pt idx="23">
                  <c:v>45663</c:v>
                </c:pt>
                <c:pt idx="24">
                  <c:v>45666</c:v>
                </c:pt>
                <c:pt idx="25">
                  <c:v>45670</c:v>
                </c:pt>
                <c:pt idx="26">
                  <c:v>45674</c:v>
                </c:pt>
                <c:pt idx="27">
                  <c:v>45681</c:v>
                </c:pt>
                <c:pt idx="28">
                  <c:v>45686</c:v>
                </c:pt>
                <c:pt idx="29">
                  <c:v>45695</c:v>
                </c:pt>
                <c:pt idx="30">
                  <c:v>45701</c:v>
                </c:pt>
                <c:pt idx="31">
                  <c:v>45708</c:v>
                </c:pt>
                <c:pt idx="32">
                  <c:v>45715</c:v>
                </c:pt>
                <c:pt idx="33">
                  <c:v>45722</c:v>
                </c:pt>
                <c:pt idx="34">
                  <c:v>45729</c:v>
                </c:pt>
                <c:pt idx="35">
                  <c:v>45733</c:v>
                </c:pt>
                <c:pt idx="36">
                  <c:v>45742</c:v>
                </c:pt>
                <c:pt idx="37">
                  <c:v>45755</c:v>
                </c:pt>
                <c:pt idx="38">
                  <c:v>45769</c:v>
                </c:pt>
                <c:pt idx="39">
                  <c:v>45782</c:v>
                </c:pt>
                <c:pt idx="40">
                  <c:v>45798</c:v>
                </c:pt>
              </c:numCache>
            </c:numRef>
          </c:xVal>
          <c:yVal>
            <c:numRef>
              <c:f>Cordes!$D$10:$D$118</c:f>
              <c:numCache>
                <c:formatCode>\+\ 0.0;\-\ 0.0;\±\ 0.0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0.29605890875483709</c:v>
                </c:pt>
                <c:pt idx="4">
                  <c:v>-8.9106111182069014E-2</c:v>
                </c:pt>
                <c:pt idx="5">
                  <c:v>-0.14208484507083341</c:v>
                </c:pt>
                <c:pt idx="7">
                  <c:v>9.4517110256653325E-2</c:v>
                </c:pt>
                <c:pt idx="8">
                  <c:v>1.6944755447667603E-2</c:v>
                </c:pt>
                <c:pt idx="9">
                  <c:v>-0.15129788255485721</c:v>
                </c:pt>
                <c:pt idx="10">
                  <c:v>-5.1295291561004319E-3</c:v>
                </c:pt>
                <c:pt idx="11">
                  <c:v>0.20932084664337935</c:v>
                </c:pt>
                <c:pt idx="12">
                  <c:v>-0.28186429840904026</c:v>
                </c:pt>
                <c:pt idx="13">
                  <c:v>-0.34363537322512627</c:v>
                </c:pt>
                <c:pt idx="14">
                  <c:v>-0.97408190928760519</c:v>
                </c:pt>
                <c:pt idx="15">
                  <c:v>-0.47412885311182151</c:v>
                </c:pt>
                <c:pt idx="16">
                  <c:v>-0.11140824837596597</c:v>
                </c:pt>
                <c:pt idx="17">
                  <c:v>-0.33038400369012066</c:v>
                </c:pt>
                <c:pt idx="18">
                  <c:v>-1.1422420003128764</c:v>
                </c:pt>
                <c:pt idx="19">
                  <c:v>-1.9819856222635934</c:v>
                </c:pt>
                <c:pt idx="20">
                  <c:v>-1.8524123869765319</c:v>
                </c:pt>
                <c:pt idx="21">
                  <c:v>-0.98323467576832968</c:v>
                </c:pt>
                <c:pt idx="22">
                  <c:v>-1.8834791002166895</c:v>
                </c:pt>
                <c:pt idx="23">
                  <c:v>-1.4755882390362629</c:v>
                </c:pt>
                <c:pt idx="24">
                  <c:v>-2.2686705054013601</c:v>
                </c:pt>
                <c:pt idx="25">
                  <c:v>-2.4456322236403594</c:v>
                </c:pt>
                <c:pt idx="26">
                  <c:v>-2.0539514065127662</c:v>
                </c:pt>
                <c:pt idx="27">
                  <c:v>-1.7398705534095171</c:v>
                </c:pt>
                <c:pt idx="28">
                  <c:v>-1.6293601601518048</c:v>
                </c:pt>
                <c:pt idx="29">
                  <c:v>-2.1069343685411468</c:v>
                </c:pt>
                <c:pt idx="30">
                  <c:v>-1.5208444175378588</c:v>
                </c:pt>
                <c:pt idx="31">
                  <c:v>-1.8151615197625759</c:v>
                </c:pt>
                <c:pt idx="32">
                  <c:v>-1.6669170561716129</c:v>
                </c:pt>
                <c:pt idx="33">
                  <c:v>-1.6314737515017441</c:v>
                </c:pt>
                <c:pt idx="34">
                  <c:v>-2.4057159999042455</c:v>
                </c:pt>
                <c:pt idx="35">
                  <c:v>-2.2575581595978278</c:v>
                </c:pt>
                <c:pt idx="36">
                  <c:v>-3.1276160510502748</c:v>
                </c:pt>
                <c:pt idx="37">
                  <c:v>-2.5481779247700231</c:v>
                </c:pt>
                <c:pt idx="38">
                  <c:v>-2.4037059992343401</c:v>
                </c:pt>
                <c:pt idx="39">
                  <c:v>-2.8082240214946097</c:v>
                </c:pt>
                <c:pt idx="40">
                  <c:v>-2.8727206682130912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69C-4170-BFFE-D66EA486D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823864"/>
        <c:axId val="658824256"/>
        <c:extLst/>
      </c:scatterChart>
      <c:valAx>
        <c:axId val="658823864"/>
        <c:scaling>
          <c:orientation val="minMax"/>
          <c:max val="45808"/>
          <c:min val="4553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88909976285118764"/>
              <c:y val="0.8648877746783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\ /\ mm\ /\ yy" sourceLinked="0"/>
        <c:majorTickMark val="cross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8824256"/>
        <c:crossesAt val="0"/>
        <c:crossBetween val="midCat"/>
        <c:majorUnit val="7"/>
      </c:valAx>
      <c:valAx>
        <c:axId val="658824256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Convergence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882386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865125553883025"/>
          <c:y val="0.52989938387546387"/>
          <c:w val="0.22014696751471194"/>
          <c:h val="0.1871974707629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05" footer="0.49212598450000505"/>
    <c:pageSetup paperSize="9"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659946</xdr:colOff>
      <xdr:row>3</xdr:row>
      <xdr:rowOff>38100</xdr:rowOff>
    </xdr:to>
    <xdr:pic>
      <xdr:nvPicPr>
        <xdr:cNvPr id="1030" name="Image 7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0" y="104775"/>
          <a:ext cx="1981200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262709</xdr:colOff>
      <xdr:row>13</xdr:row>
      <xdr:rowOff>81643</xdr:rowOff>
    </xdr:from>
    <xdr:to>
      <xdr:col>35</xdr:col>
      <xdr:colOff>407489</xdr:colOff>
      <xdr:row>15</xdr:row>
      <xdr:rowOff>129177</xdr:rowOff>
    </xdr:to>
    <xdr:sp macro="" textlink="">
      <xdr:nvSpPr>
        <xdr:cNvPr id="2" name="Flèche gauch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72959" y="2615293"/>
          <a:ext cx="1363980" cy="42853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61003</xdr:colOff>
      <xdr:row>12</xdr:row>
      <xdr:rowOff>189139</xdr:rowOff>
    </xdr:from>
    <xdr:to>
      <xdr:col>46</xdr:col>
      <xdr:colOff>396283</xdr:colOff>
      <xdr:row>15</xdr:row>
      <xdr:rowOff>46173</xdr:rowOff>
    </xdr:to>
    <xdr:sp macro="" textlink="">
      <xdr:nvSpPr>
        <xdr:cNvPr id="3" name="Flèche gauch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8857621" y="2508757"/>
          <a:ext cx="1175721" cy="42853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485775</xdr:colOff>
          <xdr:row>8</xdr:row>
          <xdr:rowOff>104775</xdr:rowOff>
        </xdr:from>
        <xdr:to>
          <xdr:col>35</xdr:col>
          <xdr:colOff>581025</xdr:colOff>
          <xdr:row>11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2</xdr:col>
      <xdr:colOff>585513</xdr:colOff>
      <xdr:row>3</xdr:row>
      <xdr:rowOff>161925</xdr:rowOff>
    </xdr:to>
    <xdr:pic>
      <xdr:nvPicPr>
        <xdr:cNvPr id="2049" name="Image 3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8100"/>
          <a:ext cx="17621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0</xdr:colOff>
      <xdr:row>104</xdr:row>
      <xdr:rowOff>0</xdr:rowOff>
    </xdr:from>
    <xdr:to>
      <xdr:col>26</xdr:col>
      <xdr:colOff>0</xdr:colOff>
      <xdr:row>140</xdr:row>
      <xdr:rowOff>10084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8441" y="28967206"/>
          <a:ext cx="6096000" cy="565785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18</xdr:row>
      <xdr:rowOff>0</xdr:rowOff>
    </xdr:from>
    <xdr:to>
      <xdr:col>31</xdr:col>
      <xdr:colOff>17619</xdr:colOff>
      <xdr:row>44</xdr:row>
      <xdr:rowOff>89853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C01C4CE-008D-1761-63AF-FC38D8035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32727" y="4433455"/>
          <a:ext cx="11447619" cy="6438095"/>
        </a:xfrm>
        <a:prstGeom prst="rect">
          <a:avLst/>
        </a:prstGeom>
      </xdr:spPr>
    </xdr:pic>
    <xdr:clientData/>
  </xdr:twoCellAnchor>
  <xdr:twoCellAnchor editAs="oneCell">
    <xdr:from>
      <xdr:col>5</xdr:col>
      <xdr:colOff>450274</xdr:colOff>
      <xdr:row>11</xdr:row>
      <xdr:rowOff>34637</xdr:rowOff>
    </xdr:from>
    <xdr:to>
      <xdr:col>9</xdr:col>
      <xdr:colOff>935183</xdr:colOff>
      <xdr:row>23</xdr:row>
      <xdr:rowOff>125003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425827E-B9D0-4947-B528-524BEA854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63592" y="2770910"/>
          <a:ext cx="5334000" cy="29998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38100</xdr:rowOff>
    </xdr:from>
    <xdr:to>
      <xdr:col>1</xdr:col>
      <xdr:colOff>0</xdr:colOff>
      <xdr:row>2</xdr:row>
      <xdr:rowOff>76200</xdr:rowOff>
    </xdr:to>
    <xdr:sp macro="" textlink="">
      <xdr:nvSpPr>
        <xdr:cNvPr id="3073" name="Text Box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0</xdr:colOff>
      <xdr:row>7</xdr:row>
      <xdr:rowOff>28575</xdr:rowOff>
    </xdr:to>
    <xdr:sp macro="" textlink="">
      <xdr:nvSpPr>
        <xdr:cNvPr id="3074" name="Freeform 2">
          <a:extLs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>
          <a:spLocks/>
        </xdr:cNvSpPr>
      </xdr:nvSpPr>
      <xdr:spPr bwMode="auto">
        <a:xfrm>
          <a:off x="514350" y="1543050"/>
          <a:ext cx="0" cy="28575"/>
        </a:xfrm>
        <a:custGeom>
          <a:avLst/>
          <a:gdLst>
            <a:gd name="T0" fmla="*/ 0 w 143"/>
            <a:gd name="T1" fmla="*/ 0 h 1"/>
            <a:gd name="T2" fmla="*/ 0 w 143"/>
            <a:gd name="T3" fmla="*/ 0 h 1"/>
            <a:gd name="T4" fmla="*/ 0 60000 65536"/>
            <a:gd name="T5" fmla="*/ 0 60000 65536"/>
            <a:gd name="T6" fmla="*/ 0 w 143"/>
            <a:gd name="T7" fmla="*/ 0 h 1"/>
            <a:gd name="T8" fmla="*/ 0 w 143"/>
            <a:gd name="T9" fmla="*/ 1 h 1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43" h="1">
              <a:moveTo>
                <a:pt x="0" y="0"/>
              </a:moveTo>
              <a:lnTo>
                <a:pt x="143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6" name="Text Box 5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428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2</xdr:row>
      <xdr:rowOff>76200</xdr:rowOff>
    </xdr:to>
    <xdr:sp macro="" textlink="">
      <xdr:nvSpPr>
        <xdr:cNvPr id="3077" name="Text Box 31">
          <a:extLs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8" name="Text Box 32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428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9" name="Text Box 33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514350" y="590550"/>
          <a:ext cx="0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38100</xdr:rowOff>
    </xdr:from>
    <xdr:to>
      <xdr:col>1</xdr:col>
      <xdr:colOff>0</xdr:colOff>
      <xdr:row>4</xdr:row>
      <xdr:rowOff>76200</xdr:rowOff>
    </xdr:to>
    <xdr:sp macro="" textlink="">
      <xdr:nvSpPr>
        <xdr:cNvPr id="3080" name="Text Box 34">
          <a:extLst>
            <a:ext uri="{FF2B5EF4-FFF2-40B4-BE49-F238E27FC236}">
              <a16:creationId xmlns:a16="http://schemas.microsoft.com/office/drawing/2014/main" id="{00000000-0008-0000-0200-0000080C0000}"/>
            </a:ext>
          </a:extLst>
        </xdr:cNvPr>
        <xdr:cNvSpPr txBox="1">
          <a:spLocks noChangeArrowheads="1"/>
        </xdr:cNvSpPr>
      </xdr:nvSpPr>
      <xdr:spPr bwMode="auto">
        <a:xfrm>
          <a:off x="514350" y="590550"/>
          <a:ext cx="0" cy="4191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38100</xdr:rowOff>
    </xdr:from>
    <xdr:to>
      <xdr:col>1</xdr:col>
      <xdr:colOff>0</xdr:colOff>
      <xdr:row>5</xdr:row>
      <xdr:rowOff>76200</xdr:rowOff>
    </xdr:to>
    <xdr:sp macro="" textlink="">
      <xdr:nvSpPr>
        <xdr:cNvPr id="3081" name="Text Box 35">
          <a:extLs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 txBox="1">
          <a:spLocks noChangeArrowheads="1"/>
        </xdr:cNvSpPr>
      </xdr:nvSpPr>
      <xdr:spPr bwMode="auto">
        <a:xfrm>
          <a:off x="514350" y="971550"/>
          <a:ext cx="0" cy="2667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47625</xdr:rowOff>
    </xdr:from>
    <xdr:to>
      <xdr:col>2</xdr:col>
      <xdr:colOff>566057</xdr:colOff>
      <xdr:row>3</xdr:row>
      <xdr:rowOff>95250</xdr:rowOff>
    </xdr:to>
    <xdr:pic>
      <xdr:nvPicPr>
        <xdr:cNvPr id="3082" name="Image 12">
          <a:extLst>
            <a:ext uri="{FF2B5EF4-FFF2-40B4-BE49-F238E27FC236}">
              <a16:creationId xmlns:a16="http://schemas.microsoft.com/office/drawing/2014/main" id="{00000000-0008-0000-0200-00000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7625"/>
          <a:ext cx="2000250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16</xdr:col>
      <xdr:colOff>0</xdr:colOff>
      <xdr:row>10</xdr:row>
      <xdr:rowOff>0</xdr:rowOff>
    </xdr:from>
    <xdr:to>
      <xdr:col>31</xdr:col>
      <xdr:colOff>17619</xdr:colOff>
      <xdr:row>30</xdr:row>
      <xdr:rowOff>178810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C5744CBC-6068-5F52-1DA3-2A14D5487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11500" y="2830286"/>
          <a:ext cx="11447619" cy="643809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0</xdr:rowOff>
    </xdr:from>
    <xdr:to>
      <xdr:col>4</xdr:col>
      <xdr:colOff>56030</xdr:colOff>
      <xdr:row>5</xdr:row>
      <xdr:rowOff>107016</xdr:rowOff>
    </xdr:to>
    <xdr:pic>
      <xdr:nvPicPr>
        <xdr:cNvPr id="4099" name="Image 9">
          <a:extLst>
            <a:ext uri="{FF2B5EF4-FFF2-40B4-BE49-F238E27FC236}">
              <a16:creationId xmlns:a16="http://schemas.microsoft.com/office/drawing/2014/main" id="{00000000-0008-0000-04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0"/>
          <a:ext cx="19907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127908</xdr:colOff>
      <xdr:row>1</xdr:row>
      <xdr:rowOff>0</xdr:rowOff>
    </xdr:from>
    <xdr:to>
      <xdr:col>16</xdr:col>
      <xdr:colOff>171691</xdr:colOff>
      <xdr:row>5</xdr:row>
      <xdr:rowOff>107016</xdr:rowOff>
    </xdr:to>
    <xdr:pic>
      <xdr:nvPicPr>
        <xdr:cNvPr id="4100" name="Image 13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60872" y="0"/>
          <a:ext cx="2001610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400050</xdr:colOff>
      <xdr:row>34</xdr:row>
      <xdr:rowOff>0</xdr:rowOff>
    </xdr:from>
    <xdr:to>
      <xdr:col>3</xdr:col>
      <xdr:colOff>610721</xdr:colOff>
      <xdr:row>38</xdr:row>
      <xdr:rowOff>7283</xdr:rowOff>
    </xdr:to>
    <xdr:pic>
      <xdr:nvPicPr>
        <xdr:cNvPr id="7" name="Image 1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0" y="0"/>
          <a:ext cx="1981200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400050</xdr:colOff>
      <xdr:row>34</xdr:row>
      <xdr:rowOff>0</xdr:rowOff>
    </xdr:from>
    <xdr:to>
      <xdr:col>15</xdr:col>
      <xdr:colOff>610721</xdr:colOff>
      <xdr:row>38</xdr:row>
      <xdr:rowOff>7283</xdr:rowOff>
    </xdr:to>
    <xdr:pic>
      <xdr:nvPicPr>
        <xdr:cNvPr id="8" name="Image 1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0050" y="5581650"/>
          <a:ext cx="1504950" cy="676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99732</xdr:colOff>
      <xdr:row>6</xdr:row>
      <xdr:rowOff>87406</xdr:rowOff>
    </xdr:from>
    <xdr:to>
      <xdr:col>23</xdr:col>
      <xdr:colOff>571500</xdr:colOff>
      <xdr:row>32</xdr:row>
      <xdr:rowOff>95250</xdr:rowOff>
    </xdr:to>
    <xdr:graphicFrame macro="">
      <xdr:nvGraphicFramePr>
        <xdr:cNvPr id="9" name="Graphique 13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101414</xdr:colOff>
      <xdr:row>39</xdr:row>
      <xdr:rowOff>63312</xdr:rowOff>
    </xdr:from>
    <xdr:to>
      <xdr:col>11</xdr:col>
      <xdr:colOff>601755</xdr:colOff>
      <xdr:row>65</xdr:row>
      <xdr:rowOff>98612</xdr:rowOff>
    </xdr:to>
    <xdr:graphicFrame macro="">
      <xdr:nvGraphicFramePr>
        <xdr:cNvPr id="14" name="Graphique 1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89648</xdr:colOff>
      <xdr:row>39</xdr:row>
      <xdr:rowOff>64994</xdr:rowOff>
    </xdr:from>
    <xdr:to>
      <xdr:col>23</xdr:col>
      <xdr:colOff>563177</xdr:colOff>
      <xdr:row>65</xdr:row>
      <xdr:rowOff>84044</xdr:rowOff>
    </xdr:to>
    <xdr:graphicFrame macro="">
      <xdr:nvGraphicFramePr>
        <xdr:cNvPr id="17" name="Graphique 15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34019</xdr:colOff>
      <xdr:row>6</xdr:row>
      <xdr:rowOff>69475</xdr:rowOff>
    </xdr:from>
    <xdr:to>
      <xdr:col>11</xdr:col>
      <xdr:colOff>581025</xdr:colOff>
      <xdr:row>32</xdr:row>
      <xdr:rowOff>85724</xdr:rowOff>
    </xdr:to>
    <xdr:graphicFrame macro="">
      <xdr:nvGraphicFramePr>
        <xdr:cNvPr id="20" name="Graphique 10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561975</xdr:colOff>
          <xdr:row>3</xdr:row>
          <xdr:rowOff>142875</xdr:rowOff>
        </xdr:from>
        <xdr:to>
          <xdr:col>28</xdr:col>
          <xdr:colOff>666750</xdr:colOff>
          <xdr:row>5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35</xdr:col>
      <xdr:colOff>0</xdr:colOff>
      <xdr:row>8</xdr:row>
      <xdr:rowOff>0</xdr:rowOff>
    </xdr:from>
    <xdr:to>
      <xdr:col>41</xdr:col>
      <xdr:colOff>751809</xdr:colOff>
      <xdr:row>16</xdr:row>
      <xdr:rowOff>156286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023286" y="1401536"/>
          <a:ext cx="5323809" cy="1571429"/>
        </a:xfrm>
        <a:prstGeom prst="rect">
          <a:avLst/>
        </a:prstGeom>
      </xdr:spPr>
    </xdr:pic>
    <xdr:clientData/>
  </xdr:twoCellAnchor>
  <xdr:twoCellAnchor editAs="oneCell">
    <xdr:from>
      <xdr:col>27</xdr:col>
      <xdr:colOff>435429</xdr:colOff>
      <xdr:row>24</xdr:row>
      <xdr:rowOff>69893</xdr:rowOff>
    </xdr:from>
    <xdr:to>
      <xdr:col>29</xdr:col>
      <xdr:colOff>176893</xdr:colOff>
      <xdr:row>29</xdr:row>
      <xdr:rowOff>27214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C140ED5D-B12C-99AD-2F0C-D809CEE74E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31393" y="4301714"/>
          <a:ext cx="1496786" cy="841786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0.12966</cdr:x>
      <cdr:y>0.45359</cdr:y>
    </cdr:from>
    <cdr:to>
      <cdr:x>0.48287</cdr:x>
      <cdr:y>0.75555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FCDEA2AF-AD48-2552-D86B-C046410D1AE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908050" y="2089737"/>
          <a:ext cx="2473564" cy="1391123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0.11753</cdr:x>
      <cdr:y>0.43229</cdr:y>
    </cdr:from>
    <cdr:to>
      <cdr:x>0.48677</cdr:x>
      <cdr:y>0.74737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9C07AA0B-41C9-3403-AA35-4DB3A8687AD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26409" y="2003459"/>
          <a:ext cx="2596428" cy="1460221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0.1238</cdr:x>
      <cdr:y>0.43233</cdr:y>
    </cdr:from>
    <cdr:to>
      <cdr:x>0.49446</cdr:x>
      <cdr:y>0.74852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F18AC45D-8A97-0AA9-32BA-DF725B0F13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67229" y="1996621"/>
          <a:ext cx="2596428" cy="1460221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0.12444</cdr:x>
      <cdr:y>0.38123</cdr:y>
    </cdr:from>
    <cdr:to>
      <cdr:x>0.52191</cdr:x>
      <cdr:y>0.72406</cdr:y>
    </cdr:to>
    <cdr:pic>
      <cdr:nvPicPr>
        <cdr:cNvPr id="3" name="Image 2">
          <a:extLst xmlns:a="http://schemas.openxmlformats.org/drawingml/2006/main">
            <a:ext uri="{FF2B5EF4-FFF2-40B4-BE49-F238E27FC236}">
              <a16:creationId xmlns:a16="http://schemas.microsoft.com/office/drawing/2014/main" id="{C140ED5D-B12C-99AD-2F0C-D809CEE74E6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80834" y="1759569"/>
          <a:ext cx="2813503" cy="1582303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BG83"/>
  <sheetViews>
    <sheetView tabSelected="1" zoomScale="70" zoomScaleNormal="70" zoomScaleSheetLayoutView="85" workbookViewId="0">
      <pane xSplit="2" ySplit="9" topLeftCell="C10" activePane="bottomRight" state="frozenSplit"/>
      <selection activeCell="C7" sqref="C7"/>
      <selection pane="topRight" activeCell="C7" sqref="C7"/>
      <selection pane="bottomLeft" activeCell="C7" sqref="C7"/>
      <selection pane="bottomRight" activeCell="F20" sqref="F20"/>
    </sheetView>
  </sheetViews>
  <sheetFormatPr baseColWidth="10" defaultColWidth="11.42578125" defaultRowHeight="12.75" outlineLevelCol="2"/>
  <cols>
    <col min="1" max="1" width="14.7109375" style="2" customWidth="1"/>
    <col min="2" max="2" width="7.7109375" style="2" customWidth="1"/>
    <col min="3" max="14" width="18.140625" style="2" customWidth="1"/>
    <col min="15" max="16" width="11.7109375" style="2" customWidth="1" outlineLevel="2"/>
    <col min="17" max="17" width="13" style="2" customWidth="1" outlineLevel="2"/>
    <col min="18" max="18" width="18.85546875" style="2" bestFit="1" customWidth="1" outlineLevel="2"/>
    <col min="19" max="20" width="14.7109375" style="2" customWidth="1" outlineLevel="2"/>
    <col min="21" max="21" width="11.42578125" style="2" customWidth="1" outlineLevel="1"/>
    <col min="22" max="33" width="14.140625" style="2" customWidth="1" outlineLevel="2"/>
    <col min="34" max="34" width="11.42578125" style="2" customWidth="1" outlineLevel="1"/>
    <col min="35" max="47" width="16.7109375" style="2" customWidth="1" outlineLevel="1"/>
    <col min="48" max="59" width="16.7109375" style="2" customWidth="1" outlineLevel="2"/>
    <col min="60" max="16384" width="11.42578125" style="2"/>
  </cols>
  <sheetData>
    <row r="1" spans="1:59" ht="41.25" customHeight="1">
      <c r="D1" s="180" t="s">
        <v>54</v>
      </c>
      <c r="E1" s="180"/>
      <c r="F1" s="180"/>
      <c r="G1" s="180"/>
      <c r="H1" s="180"/>
      <c r="I1" s="180"/>
      <c r="J1" s="180"/>
      <c r="K1" s="180"/>
      <c r="L1" s="180"/>
      <c r="M1" s="180"/>
      <c r="N1" s="180"/>
      <c r="R1" s="7"/>
      <c r="S1" s="7"/>
      <c r="T1" s="7"/>
    </row>
    <row r="2" spans="1:59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59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59" s="161" customFormat="1">
      <c r="A4" s="160"/>
      <c r="B4" s="160"/>
      <c r="C4" s="160" t="s">
        <v>64</v>
      </c>
      <c r="D4" s="160" t="s">
        <v>64</v>
      </c>
      <c r="E4" s="160" t="s">
        <v>64</v>
      </c>
      <c r="F4" s="160" t="s">
        <v>65</v>
      </c>
      <c r="G4" s="160" t="s">
        <v>65</v>
      </c>
      <c r="H4" s="160" t="s">
        <v>65</v>
      </c>
      <c r="I4" s="160" t="s">
        <v>66</v>
      </c>
      <c r="J4" s="160" t="s">
        <v>66</v>
      </c>
      <c r="K4" s="160" t="s">
        <v>66</v>
      </c>
      <c r="L4" s="160" t="s">
        <v>67</v>
      </c>
      <c r="M4" s="160" t="s">
        <v>67</v>
      </c>
      <c r="N4" s="160" t="s">
        <v>67</v>
      </c>
      <c r="O4" s="160"/>
      <c r="P4" s="160"/>
      <c r="Q4" s="160"/>
      <c r="AI4" s="160" t="s">
        <v>64</v>
      </c>
      <c r="AJ4" s="160" t="s">
        <v>64</v>
      </c>
      <c r="AK4" s="160" t="s">
        <v>64</v>
      </c>
      <c r="AL4" s="160" t="s">
        <v>65</v>
      </c>
      <c r="AM4" s="160" t="s">
        <v>65</v>
      </c>
      <c r="AN4" s="160" t="s">
        <v>65</v>
      </c>
      <c r="AO4" s="160" t="s">
        <v>66</v>
      </c>
      <c r="AP4" s="160" t="s">
        <v>66</v>
      </c>
      <c r="AQ4" s="160" t="s">
        <v>66</v>
      </c>
      <c r="AR4" s="160" t="s">
        <v>67</v>
      </c>
      <c r="AS4" s="160" t="s">
        <v>67</v>
      </c>
      <c r="AT4" s="160" t="s">
        <v>67</v>
      </c>
    </row>
    <row r="5" spans="1:59" s="161" customFormat="1">
      <c r="A5" s="160"/>
      <c r="B5" s="160"/>
      <c r="C5" s="160">
        <v>3</v>
      </c>
      <c r="D5" s="160">
        <v>4</v>
      </c>
      <c r="E5" s="160">
        <v>5</v>
      </c>
      <c r="F5" s="160">
        <v>3</v>
      </c>
      <c r="G5" s="160">
        <v>4</v>
      </c>
      <c r="H5" s="160">
        <v>5</v>
      </c>
      <c r="I5" s="160">
        <v>3</v>
      </c>
      <c r="J5" s="160">
        <v>4</v>
      </c>
      <c r="K5" s="160">
        <v>5</v>
      </c>
      <c r="L5" s="160">
        <v>3</v>
      </c>
      <c r="M5" s="160">
        <v>4</v>
      </c>
      <c r="N5" s="160">
        <v>5</v>
      </c>
      <c r="O5" s="160"/>
      <c r="P5" s="160"/>
      <c r="Q5" s="160"/>
      <c r="R5" s="160"/>
      <c r="S5" s="160"/>
      <c r="T5" s="160"/>
      <c r="AI5" s="161">
        <v>6</v>
      </c>
      <c r="AJ5" s="161">
        <v>7</v>
      </c>
      <c r="AK5" s="161">
        <v>8</v>
      </c>
      <c r="AL5" s="161">
        <v>6</v>
      </c>
      <c r="AM5" s="161">
        <v>7</v>
      </c>
      <c r="AN5" s="161">
        <v>8</v>
      </c>
      <c r="AO5" s="161">
        <v>6</v>
      </c>
      <c r="AP5" s="161">
        <v>7</v>
      </c>
      <c r="AQ5" s="161">
        <v>8</v>
      </c>
      <c r="AR5" s="161">
        <v>6</v>
      </c>
      <c r="AS5" s="161">
        <v>7</v>
      </c>
      <c r="AT5" s="161">
        <v>8</v>
      </c>
    </row>
    <row r="6" spans="1:59">
      <c r="A6" s="31" t="s">
        <v>21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3"/>
      <c r="R6" s="13"/>
      <c r="S6" s="13"/>
      <c r="T6" s="13"/>
    </row>
    <row r="7" spans="1:59" ht="26.25" customHeight="1" thickBot="1">
      <c r="A7" s="31">
        <f>A10</f>
        <v>45532</v>
      </c>
      <c r="B7" s="1"/>
      <c r="C7" s="183" t="s">
        <v>11</v>
      </c>
      <c r="D7" s="183"/>
      <c r="E7" s="183"/>
      <c r="F7" s="183" t="s">
        <v>24</v>
      </c>
      <c r="G7" s="183"/>
      <c r="H7" s="183"/>
      <c r="I7" s="183" t="s">
        <v>13</v>
      </c>
      <c r="J7" s="183"/>
      <c r="K7" s="183"/>
      <c r="L7" s="183" t="s">
        <v>27</v>
      </c>
      <c r="M7" s="183"/>
      <c r="N7" s="183"/>
    </row>
    <row r="8" spans="1:59" ht="16.5" thickBot="1">
      <c r="A8" s="176" t="s">
        <v>8</v>
      </c>
      <c r="B8" s="178" t="s">
        <v>20</v>
      </c>
      <c r="C8" s="174" t="s">
        <v>55</v>
      </c>
      <c r="D8" s="174"/>
      <c r="E8" s="175"/>
      <c r="F8" s="173" t="s">
        <v>56</v>
      </c>
      <c r="G8" s="174"/>
      <c r="H8" s="175"/>
      <c r="I8" s="173" t="s">
        <v>57</v>
      </c>
      <c r="J8" s="174"/>
      <c r="K8" s="175"/>
      <c r="L8" s="173" t="s">
        <v>58</v>
      </c>
      <c r="M8" s="174"/>
      <c r="N8" s="175"/>
      <c r="R8" s="181" t="s">
        <v>1</v>
      </c>
      <c r="S8" s="182"/>
      <c r="T8" s="182"/>
      <c r="V8" s="173" t="str">
        <f>C8</f>
        <v>CHP1_Alv3 (A)</v>
      </c>
      <c r="W8" s="174"/>
      <c r="X8" s="175"/>
      <c r="Y8" s="173" t="str">
        <f>F8</f>
        <v>CHP2_Alv3 (B)</v>
      </c>
      <c r="Z8" s="174"/>
      <c r="AA8" s="175"/>
      <c r="AB8" s="173" t="str">
        <f>I8</f>
        <v>CL_Alv3 (C)</v>
      </c>
      <c r="AC8" s="174"/>
      <c r="AD8" s="175"/>
      <c r="AE8" s="173" t="str">
        <f>L8</f>
        <v>CTR_Alv3 (D)</v>
      </c>
      <c r="AF8" s="174"/>
      <c r="AG8" s="175"/>
      <c r="AI8" s="173" t="str">
        <f>V8</f>
        <v>CHP1_Alv3 (A)</v>
      </c>
      <c r="AJ8" s="174"/>
      <c r="AK8" s="175"/>
      <c r="AL8" s="173" t="str">
        <f>Y8</f>
        <v>CHP2_Alv3 (B)</v>
      </c>
      <c r="AM8" s="174"/>
      <c r="AN8" s="175"/>
      <c r="AO8" s="173" t="str">
        <f>AB8</f>
        <v>CL_Alv3 (C)</v>
      </c>
      <c r="AP8" s="174"/>
      <c r="AQ8" s="175"/>
      <c r="AR8" s="173" t="str">
        <f>AE8</f>
        <v>CTR_Alv3 (D)</v>
      </c>
      <c r="AS8" s="174"/>
      <c r="AT8" s="175"/>
      <c r="AV8" s="173" t="str">
        <f>AI8</f>
        <v>CHP1_Alv3 (A)</v>
      </c>
      <c r="AW8" s="174"/>
      <c r="AX8" s="175"/>
      <c r="AY8" s="173" t="str">
        <f>AL8</f>
        <v>CHP2_Alv3 (B)</v>
      </c>
      <c r="AZ8" s="174"/>
      <c r="BA8" s="175"/>
      <c r="BB8" s="173" t="str">
        <f>AB8</f>
        <v>CL_Alv3 (C)</v>
      </c>
      <c r="BC8" s="174"/>
      <c r="BD8" s="175"/>
      <c r="BE8" s="173" t="str">
        <f>AR8</f>
        <v>CTR_Alv3 (D)</v>
      </c>
      <c r="BF8" s="174"/>
      <c r="BG8" s="175"/>
    </row>
    <row r="9" spans="1:59" s="15" customFormat="1" ht="25.5" customHeight="1" thickBot="1">
      <c r="A9" s="177"/>
      <c r="B9" s="179"/>
      <c r="C9" s="5" t="s">
        <v>2</v>
      </c>
      <c r="D9" s="5" t="s">
        <v>3</v>
      </c>
      <c r="E9" s="5" t="s">
        <v>4</v>
      </c>
      <c r="F9" s="5" t="s">
        <v>2</v>
      </c>
      <c r="G9" s="5" t="s">
        <v>3</v>
      </c>
      <c r="H9" s="5" t="s">
        <v>4</v>
      </c>
      <c r="I9" s="5" t="s">
        <v>2</v>
      </c>
      <c r="J9" s="5" t="s">
        <v>3</v>
      </c>
      <c r="K9" s="5" t="s">
        <v>4</v>
      </c>
      <c r="L9" s="14" t="s">
        <v>2</v>
      </c>
      <c r="M9" s="14" t="s">
        <v>3</v>
      </c>
      <c r="N9" s="14" t="s">
        <v>4</v>
      </c>
      <c r="O9" s="14" t="s">
        <v>59</v>
      </c>
      <c r="P9" s="14" t="s">
        <v>12</v>
      </c>
      <c r="Q9" s="14" t="s">
        <v>60</v>
      </c>
      <c r="R9" s="43" t="s">
        <v>61</v>
      </c>
      <c r="S9" s="42" t="s">
        <v>62</v>
      </c>
      <c r="T9" s="36" t="s">
        <v>63</v>
      </c>
      <c r="V9" s="4" t="s">
        <v>15</v>
      </c>
      <c r="W9" s="4" t="s">
        <v>16</v>
      </c>
      <c r="X9" s="4" t="s">
        <v>17</v>
      </c>
      <c r="Y9" s="4" t="s">
        <v>15</v>
      </c>
      <c r="Z9" s="4" t="s">
        <v>16</v>
      </c>
      <c r="AA9" s="4" t="s">
        <v>17</v>
      </c>
      <c r="AB9" s="4" t="s">
        <v>15</v>
      </c>
      <c r="AC9" s="4" t="s">
        <v>16</v>
      </c>
      <c r="AD9" s="4" t="s">
        <v>17</v>
      </c>
      <c r="AE9" s="4" t="s">
        <v>15</v>
      </c>
      <c r="AF9" s="4" t="s">
        <v>16</v>
      </c>
      <c r="AG9" s="4" t="s">
        <v>17</v>
      </c>
      <c r="AI9" s="5" t="s">
        <v>0</v>
      </c>
      <c r="AJ9" s="5" t="s">
        <v>5</v>
      </c>
      <c r="AK9" s="5" t="s">
        <v>14</v>
      </c>
      <c r="AL9" s="5" t="s">
        <v>0</v>
      </c>
      <c r="AM9" s="5" t="s">
        <v>5</v>
      </c>
      <c r="AN9" s="5" t="s">
        <v>14</v>
      </c>
      <c r="AO9" s="5" t="s">
        <v>0</v>
      </c>
      <c r="AP9" s="5" t="s">
        <v>5</v>
      </c>
      <c r="AQ9" s="5" t="s">
        <v>14</v>
      </c>
      <c r="AR9" s="5" t="s">
        <v>0</v>
      </c>
      <c r="AS9" s="5" t="s">
        <v>5</v>
      </c>
      <c r="AT9" s="5" t="s">
        <v>14</v>
      </c>
      <c r="AU9" s="2"/>
      <c r="AV9" s="4" t="s">
        <v>19</v>
      </c>
      <c r="AW9" s="4" t="s">
        <v>18</v>
      </c>
      <c r="AX9" s="4" t="s">
        <v>17</v>
      </c>
      <c r="AY9" s="4" t="s">
        <v>19</v>
      </c>
      <c r="AZ9" s="4" t="s">
        <v>18</v>
      </c>
      <c r="BA9" s="4" t="s">
        <v>17</v>
      </c>
      <c r="BB9" s="4" t="s">
        <v>19</v>
      </c>
      <c r="BC9" s="4" t="s">
        <v>18</v>
      </c>
      <c r="BD9" s="4" t="s">
        <v>17</v>
      </c>
      <c r="BE9" s="4" t="s">
        <v>19</v>
      </c>
      <c r="BF9" s="4" t="s">
        <v>18</v>
      </c>
      <c r="BG9" s="4" t="s">
        <v>17</v>
      </c>
    </row>
    <row r="10" spans="1:59" s="86" customFormat="1" ht="29.25" customHeight="1">
      <c r="A10" s="78">
        <v>45532</v>
      </c>
      <c r="B10" s="79">
        <v>0</v>
      </c>
      <c r="C10" s="80" cm="1">
        <f t="array" ref="C10">IFERROR(_xlfn.SINGLE(INDEX(DATABASE!$AV$14:$BC$968,SUMPRODUCT((ROW(DATABASE!$AV$14:$AV$968)) * (DATABASE!AV$14:$AV$968='Résultats observations'!$A10 ) * (DATABASE!$AW$14:$AW$968= C$4))-ROW(DATABASE!$AV$14)+1,C$5)),"")</f>
        <v>823147.64879999997</v>
      </c>
      <c r="D10" s="80" cm="1">
        <f t="array" ref="D10">IFERROR(_xlfn.SINGLE(INDEX(DATABASE!$AV$14:$BC$968,SUMPRODUCT((ROW(DATABASE!$AV$14:$AV$968)) * (DATABASE!$AV$14:AW$968='Résultats observations'!$A10 ) * (DATABASE!$AW$14:$AW$968= D$4))-ROW(DATABASE!$AV$14)+1,D$5)),"")</f>
        <v>1091710.0856999999</v>
      </c>
      <c r="E10" s="80" cm="1">
        <f t="array" ref="E10">IFERROR(_xlfn.SINGLE(INDEX(DATABASE!$AV$14:$BC$968,SUMPRODUCT((ROW(DATABASE!$AV$14:$AV$968)) * (DATABASE!$AV$14:AX$968='Résultats observations'!$A10 ) * (DATABASE!$AW$14:$AW$968= E$4))-ROW(DATABASE!$AV$14)+1,E$5)),"")</f>
        <v>-121.56740000000001</v>
      </c>
      <c r="F10" s="80" cm="1">
        <f t="array" ref="F10">IFERROR(_xlfn.SINGLE(INDEX(DATABASE!$AV$14:$BC$968,SUMPRODUCT((ROW(DATABASE!$AV$14:$AV$968)) * (DATABASE!$AV$14:AY$968='Résultats observations'!$A10 ) * (DATABASE!$AW$14:$AW$968= F$4))-ROW(DATABASE!$AV$14)+1,F$5)),"")</f>
        <v>823147.58519999997</v>
      </c>
      <c r="G10" s="80" cm="1">
        <f t="array" ref="G10">IFERROR(_xlfn.SINGLE(INDEX(DATABASE!$AV$14:$BC$968,SUMPRODUCT((ROW(DATABASE!$AV$14:$AV$968)) * (DATABASE!$AV$14:AZ$968='Résultats observations'!$A10 ) * (DATABASE!$AW$14:$AW$968= G$4))-ROW(DATABASE!$AV$14)+1,G$5)),"")</f>
        <v>1091710.2505999999</v>
      </c>
      <c r="H10" s="80" cm="1">
        <f t="array" ref="H10">IFERROR(_xlfn.SINGLE(INDEX(DATABASE!$AV$14:$BC$968,SUMPRODUCT((ROW(DATABASE!$AV$14:$AV$968)) * (DATABASE!$AV$14:BA$968='Résultats observations'!$A10 ) * (DATABASE!$AW$14:$AW$968= H$4))-ROW(DATABASE!$AV$14)+1,H$5)),"")</f>
        <v>-121.9302</v>
      </c>
      <c r="I10" s="80" t="str" cm="1">
        <f t="array" ref="I10">IFERROR(_xlfn.SINGLE(INDEX(DATABASE!$AV$14:$BC$968,SUMPRODUCT((ROW(DATABASE!$AV$14:$AV$968)) * (DATABASE!$AV$14:BB$968='Résultats observations'!$A10 ) * (DATABASE!$AW$14:$AW$968= I$4))-ROW(DATABASE!$AV$14)+1,I$5)),"")</f>
        <v/>
      </c>
      <c r="J10" s="80" t="str" cm="1">
        <f t="array" ref="J10">IFERROR(_xlfn.SINGLE(INDEX(DATABASE!$AV$14:$BC$968,SUMPRODUCT((ROW(DATABASE!$AV$14:$AV$968)) * (DATABASE!$AV$14:BC$968='Résultats observations'!$A10 ) * (DATABASE!$AW$14:$AW$968= J$4))-ROW(DATABASE!$AV$14)+1,J$5)),"")</f>
        <v/>
      </c>
      <c r="K10" s="80" t="str" cm="1">
        <f t="array" ref="K10">IFERROR(_xlfn.SINGLE(INDEX(DATABASE!$AV$14:$BC$968,SUMPRODUCT((ROW(DATABASE!$AV$14:$AV$968)) * (DATABASE!$AV$14:BD$968='Résultats observations'!$A10 ) * (DATABASE!$AW$14:$AW$968= K$4))-ROW(DATABASE!$AV$14)+1,K$5)),"")</f>
        <v/>
      </c>
      <c r="L10" s="80" cm="1">
        <f t="array" ref="L10">IFERROR(_xlfn.SINGLE(INDEX(DATABASE!$AV$14:$BC$968,SUMPRODUCT((ROW(DATABASE!$AV$14:$AV$968)) * (DATABASE!$AV$14:BE$968='Résultats observations'!$A10 ) * (DATABASE!$AW$14:$AW$968= L$4))-ROW(DATABASE!$AV$14)+1,L$5)),"")</f>
        <v>823149.98985000001</v>
      </c>
      <c r="M10" s="80" cm="1">
        <f t="array" ref="M10">IFERROR(_xlfn.SINGLE(INDEX(DATABASE!$AV$14:$BC$968,SUMPRODUCT((ROW(DATABASE!$AV$14:$AV$968)) * (DATABASE!$AV$14:BF$968='Résultats observations'!$A10 ) * (DATABASE!$AW$14:$AW$968= M$4))-ROW(DATABASE!$AV$14)+1,M$5)),"")</f>
        <v>1091705.0821</v>
      </c>
      <c r="N10" s="80" cm="1">
        <f t="array" ref="N10">IFERROR(_xlfn.SINGLE(INDEX(DATABASE!$AV$14:$BC$968,SUMPRODUCT((ROW(DATABASE!$AV$14:$AV$968)) * (DATABASE!$AV$14:BG$968='Résultats observations'!$A10 ) * (DATABASE!$AW$14:$AW$968= N$4))-ROW(DATABASE!$AV$14)+1,N$5)),"")</f>
        <v>-121.78280000000001</v>
      </c>
      <c r="O10" s="80">
        <f t="shared" ref="O10:O50" si="0">IF(Xhaut="","",SQRT(((Xbasgauche-Xhaut)^2+(Ybasgauche-Yhaut)^2)+(Zbasgauche-Zhaut)^2))</f>
        <v>5.5283745551561818</v>
      </c>
      <c r="P10" s="81">
        <f t="shared" ref="P10:P50" si="1">IF(Xhaut="","",SQRT(((Xintergauche-Xhaut)^2+(Yintergauche-Yhaut)^2)+(Zintergauche-Zhaut)^2))</f>
        <v>5.702408318578164</v>
      </c>
      <c r="Q10" s="80" t="e">
        <f t="shared" ref="Q10:Q50" si="2">IF(Xhaut="","",SQRT(((Xhautgauche-Xhaut)^2+(Yhautgauche-Yhaut)^2)+(Zhautgauche-Zhaut)^2))</f>
        <v>#VALUE!</v>
      </c>
      <c r="R10" s="82">
        <v>0</v>
      </c>
      <c r="S10" s="82">
        <v>0</v>
      </c>
      <c r="T10" s="82">
        <v>0</v>
      </c>
      <c r="U10" s="83"/>
      <c r="V10" s="84">
        <v>0</v>
      </c>
      <c r="W10" s="84">
        <v>0</v>
      </c>
      <c r="X10" s="84">
        <v>0</v>
      </c>
      <c r="Y10" s="84">
        <v>0</v>
      </c>
      <c r="Z10" s="84">
        <v>0</v>
      </c>
      <c r="AA10" s="84">
        <v>0</v>
      </c>
      <c r="AB10" s="84">
        <v>0</v>
      </c>
      <c r="AC10" s="84">
        <v>0</v>
      </c>
      <c r="AD10" s="84">
        <v>0</v>
      </c>
      <c r="AE10" s="84">
        <v>0</v>
      </c>
      <c r="AF10" s="84">
        <v>0</v>
      </c>
      <c r="AG10" s="84">
        <v>0</v>
      </c>
      <c r="AH10" s="83"/>
      <c r="AI10" s="80" cm="1">
        <f t="array" ref="AI10">IFERROR(_xlfn.SINGLE(INDEX(DATABASE!$AV$14:$BC$968,SUMPRODUCT((ROW(DATABASE!$AV$14:$AV$968)) * (DATABASE!$AV$14:HY$968='Résultats observations'!$A10 ) * (DATABASE!$AW$14:$AW$968= AI$4))-ROW(DATABASE!$AV$14)+1,AI$5)),"")</f>
        <v>2.6876915700510686</v>
      </c>
      <c r="AJ10" s="80" cm="1">
        <f t="array" ref="AJ10">IFERROR(_xlfn.SINGLE(INDEX(DATABASE!$AV$14:$BC$968,SUMPRODUCT((ROW(DATABASE!$AV$14:$AV$968)) * (DATABASE!$AV$14:HZ$968='Résultats observations'!$A10 ) * (DATABASE!$AW$14:$AW$968= AJ$4))-ROW(DATABASE!$AV$14)+1,AJ$5)),"")</f>
        <v>7.6101504721970666E-3</v>
      </c>
      <c r="AK10" s="80" cm="1">
        <f t="array" ref="AK10">IFERROR(_xlfn.SINGLE(INDEX(DATABASE!$AV$14:$BC$968,SUMPRODUCT((ROW(DATABASE!$AV$14:$AV$968)) * (DATABASE!$AV$14:IA$968='Résultats observations'!$A10 ) * (DATABASE!$AW$14:$AW$968= AK$4))-ROW(DATABASE!$AV$14)+1,AK$5)),"")</f>
        <v>1.3865999999999872</v>
      </c>
      <c r="AL10" s="80" cm="1">
        <f t="array" ref="AL10">IFERROR(_xlfn.SINGLE(INDEX(DATABASE!$AV$14:$BC$968,SUMPRODUCT((ROW(DATABASE!$AV$14:$AV$968)) * (DATABASE!$AV$14:IB$968='Résultats observations'!$A10 ) * (DATABASE!$AW$14:$AW$968= AL$4))-ROW(DATABASE!$AV$14)+1,AL$5)),"")</f>
        <v>2.8640198425136969</v>
      </c>
      <c r="AM10" s="80" cm="1">
        <f t="array" ref="AM10">IFERROR(_xlfn.SINGLE(INDEX(DATABASE!$AV$14:$BC$968,SUMPRODUCT((ROW(DATABASE!$AV$14:$AV$968)) * (DATABASE!$AV$14:IC$968='Résultats observations'!$A10 ) * (DATABASE!$AW$14:$AW$968= AM$4))-ROW(DATABASE!$AV$14)+1,AM$5)),"")</f>
        <v>1.9664623546933793E-2</v>
      </c>
      <c r="AN10" s="80" cm="1">
        <f t="array" ref="AN10">IFERROR(_xlfn.SINGLE(INDEX(DATABASE!$AV$14:$BC$968,SUMPRODUCT((ROW(DATABASE!$AV$14:$AV$968)) * (DATABASE!$AV$14:ID$968='Résultats observations'!$A10 ) * (DATABASE!$AW$14:$AW$968= AN$4))-ROW(DATABASE!$AV$14)+1,AN$5)),"")</f>
        <v>1.0237999999999943</v>
      </c>
      <c r="AO10" s="80" t="str" cm="1">
        <f t="array" ref="AO10">IFERROR(_xlfn.SINGLE(INDEX(DATABASE!$AV$14:$BC$968,SUMPRODUCT((ROW(DATABASE!$AV$14:$AV$968)) * (DATABASE!$AV$14:IE$968='Résultats observations'!$A10 ) * (DATABASE!$AW$14:$AW$968= AO$4))-ROW(DATABASE!$AV$14)+1,AO$5)),"")</f>
        <v/>
      </c>
      <c r="AP10" s="80" t="str" cm="1">
        <f t="array" ref="AP10">IFERROR(_xlfn.SINGLE(INDEX(DATABASE!$AV$14:$BC$968,SUMPRODUCT((ROW(DATABASE!$AV$14:$AV$968)) * (DATABASE!$AV$14:IF$968='Résultats observations'!$A10 ) * (DATABASE!$AW$14:$AW$968= AP$4))-ROW(DATABASE!$AV$14)+1,AP$5)),"")</f>
        <v/>
      </c>
      <c r="AQ10" s="80" t="str" cm="1">
        <f t="array" ref="AQ10">IFERROR(_xlfn.SINGLE(INDEX(DATABASE!$AV$14:$BC$968,SUMPRODUCT((ROW(DATABASE!$AV$14:$AV$968)) * (DATABASE!$AV$14:IG$968='Résultats observations'!$A10 ) * (DATABASE!$AW$14:$AW$968= AQ$4))-ROW(DATABASE!$AV$14)+1,AQ$5)),"")</f>
        <v/>
      </c>
      <c r="AR10" s="80" cm="1">
        <f t="array" ref="AR10">IFERROR(_xlfn.SINGLE(INDEX(DATABASE!$AV$14:$BC$968,SUMPRODUCT((ROW(DATABASE!$AV$14:$AV$968)) * (DATABASE!$AV$14:IH$968='Résultats observations'!$A10 ) * (DATABASE!$AW$14:$AW$968= AR$4))-ROW(DATABASE!$AV$14)+1,AR$5)),"")</f>
        <v>-2.8364807891043169</v>
      </c>
      <c r="AS10" s="80" cm="1">
        <f t="array" ref="AS10">IFERROR(_xlfn.SINGLE(INDEX(DATABASE!$AV$14:$BC$968,SUMPRODUCT((ROW(DATABASE!$AV$14:$AV$968)) * (DATABASE!$AV$14:II$968='Résultats observations'!$A10 ) * (DATABASE!$AW$14:$AW$968= AS$4))-ROW(DATABASE!$AV$14)+1,AS$5)),"")</f>
        <v>1.4524515369912229E-2</v>
      </c>
      <c r="AT10" s="80" cm="1">
        <f t="array" ref="AT10">IFERROR(_xlfn.SINGLE(INDEX(DATABASE!$AV$14:$BC$968,SUMPRODUCT((ROW(DATABASE!$AV$14:$AV$968)) * (DATABASE!$AV$14:IJ$968='Résultats observations'!$A10 ) * (DATABASE!$AW$14:$AW$968= AT$4))-ROW(DATABASE!$AV$14)+1,AT$5)),"")</f>
        <v>1.1711999999999847</v>
      </c>
      <c r="AU10" s="83"/>
      <c r="AV10" s="85">
        <v>0</v>
      </c>
      <c r="AW10" s="85">
        <v>0</v>
      </c>
      <c r="AX10" s="85">
        <v>0</v>
      </c>
      <c r="AY10" s="85">
        <v>0</v>
      </c>
      <c r="AZ10" s="85">
        <v>0</v>
      </c>
      <c r="BA10" s="85">
        <v>0</v>
      </c>
      <c r="BB10" s="85">
        <v>0</v>
      </c>
      <c r="BC10" s="85">
        <v>0</v>
      </c>
      <c r="BD10" s="85">
        <v>0</v>
      </c>
      <c r="BE10" s="85">
        <v>0</v>
      </c>
      <c r="BF10" s="85">
        <v>0</v>
      </c>
      <c r="BG10" s="85">
        <v>0</v>
      </c>
    </row>
    <row r="11" spans="1:59" s="57" customFormat="1" ht="29.25" customHeight="1">
      <c r="A11" s="78">
        <v>45540</v>
      </c>
      <c r="B11" s="25">
        <f t="shared" ref="B11" si="3">A11-A$10</f>
        <v>8</v>
      </c>
      <c r="C11" s="80" cm="1">
        <f t="array" ref="C11">IFERROR(_xlfn.SINGLE(INDEX(DATABASE!$AV$14:$BC$968,SUMPRODUCT((ROW(DATABASE!$AV$14:$AV$968)) * (DATABASE!AV$14:$AV$968='Résultats observations'!$A11 ) * (DATABASE!$AW$14:$AW$968= C$4))-ROW(DATABASE!$AV$14)+1,C$5)),"")</f>
        <v>823147.64879999997</v>
      </c>
      <c r="D11" s="158" cm="1">
        <f t="array" ref="D11">IFERROR(_xlfn.SINGLE(INDEX(DATABASE!$AV$14:$BC$968,SUMPRODUCT((ROW(DATABASE!$AV$14:$AV$968)) * (DATABASE!$AV$14:AW$968='Résultats observations'!$A11 ) * (DATABASE!$AW$14:$AW$968= D$4))-ROW(DATABASE!$AV$14)+1,D$5)),"")</f>
        <v>1091710.085</v>
      </c>
      <c r="E11" s="158" cm="1">
        <f t="array" ref="E11">IFERROR(_xlfn.SINGLE(INDEX(DATABASE!$AV$14:$BC$968,SUMPRODUCT((ROW(DATABASE!$AV$14:$AV$968)) * (DATABASE!$AV$14:AX$968='Résultats observations'!$A11 ) * (DATABASE!$AW$14:$AW$968= E$4))-ROW(DATABASE!$AV$14)+1,E$5)),"")</f>
        <v>-121.5693</v>
      </c>
      <c r="F11" s="158" cm="1">
        <f t="array" ref="F11">IFERROR(_xlfn.SINGLE(INDEX(DATABASE!$AV$14:$BC$968,SUMPRODUCT((ROW(DATABASE!$AV$14:$AV$968)) * (DATABASE!$AV$14:AY$968='Résultats observations'!$A11 ) * (DATABASE!$AW$14:$AW$968= F$4))-ROW(DATABASE!$AV$14)+1,F$5)),"")</f>
        <v>823147.59019999998</v>
      </c>
      <c r="G11" s="158" cm="1">
        <f t="array" ref="G11">IFERROR(_xlfn.SINGLE(INDEX(DATABASE!$AV$14:$BC$968,SUMPRODUCT((ROW(DATABASE!$AV$14:$AV$968)) * (DATABASE!$AV$14:AZ$968='Résultats observations'!$A11 ) * (DATABASE!$AW$14:$AW$968= G$4))-ROW(DATABASE!$AV$14)+1,G$5)),"")</f>
        <v>1091710.2519</v>
      </c>
      <c r="H11" s="158" cm="1">
        <f t="array" ref="H11">IFERROR(_xlfn.SINGLE(INDEX(DATABASE!$AV$14:$BC$968,SUMPRODUCT((ROW(DATABASE!$AV$14:$AV$968)) * (DATABASE!$AV$14:BA$968='Résultats observations'!$A11 ) * (DATABASE!$AW$14:$AW$968= H$4))-ROW(DATABASE!$AV$14)+1,H$5)),"")</f>
        <v>-121.9072</v>
      </c>
      <c r="I11" s="158" t="str" cm="1">
        <f t="array" ref="I11">IFERROR(_xlfn.SINGLE(INDEX(DATABASE!$AV$14:$BC$968,SUMPRODUCT((ROW(DATABASE!$AV$14:$AV$968)) * (DATABASE!$AV$14:BB$968='Résultats observations'!$A11 ) * (DATABASE!$AW$14:$AW$968= I$4))-ROW(DATABASE!$AV$14)+1,I$5)),"")</f>
        <v/>
      </c>
      <c r="J11" s="158" t="str" cm="1">
        <f t="array" ref="J11">IFERROR(_xlfn.SINGLE(INDEX(DATABASE!$AV$14:$BC$968,SUMPRODUCT((ROW(DATABASE!$AV$14:$AV$968)) * (DATABASE!$AV$14:BC$968='Résultats observations'!$A11 ) * (DATABASE!$AW$14:$AW$968= J$4))-ROW(DATABASE!$AV$14)+1,J$5)),"")</f>
        <v/>
      </c>
      <c r="K11" s="158" t="str" cm="1">
        <f t="array" ref="K11">IFERROR(_xlfn.SINGLE(INDEX(DATABASE!$AV$14:$BC$968,SUMPRODUCT((ROW(DATABASE!$AV$14:$AV$968)) * (DATABASE!$AV$14:BD$968='Résultats observations'!$A11 ) * (DATABASE!$AW$14:$AW$968= K$4))-ROW(DATABASE!$AV$14)+1,K$5)),"")</f>
        <v/>
      </c>
      <c r="L11" s="158" cm="1">
        <f t="array" ref="L11">IFERROR(_xlfn.SINGLE(INDEX(DATABASE!$AV$14:$BC$968,SUMPRODUCT((ROW(DATABASE!$AV$14:$AV$968)) * (DATABASE!$AV$14:BE$968='Résultats observations'!$A11 ) * (DATABASE!$AW$14:$AW$968= L$4))-ROW(DATABASE!$AV$14)+1,L$5)),"")</f>
        <v>823149.98930000002</v>
      </c>
      <c r="M11" s="158" cm="1">
        <f t="array" ref="M11">IFERROR(_xlfn.SINGLE(INDEX(DATABASE!$AV$14:$BC$968,SUMPRODUCT((ROW(DATABASE!$AV$14:$AV$968)) * (DATABASE!$AV$14:BF$968='Résultats observations'!$A11 ) * (DATABASE!$AW$14:$AW$968= M$4))-ROW(DATABASE!$AV$14)+1,M$5)),"")</f>
        <v>1091705.0819000001</v>
      </c>
      <c r="N11" s="158" cm="1">
        <f t="array" ref="N11">IFERROR(_xlfn.SINGLE(INDEX(DATABASE!$AV$14:$BC$968,SUMPRODUCT((ROW(DATABASE!$AV$14:$AV$968)) * (DATABASE!$AV$14:BG$968='Résultats observations'!$A11 ) * (DATABASE!$AW$14:$AW$968= N$4))-ROW(DATABASE!$AV$14)+1,N$5)),"")</f>
        <v>-121.7829</v>
      </c>
      <c r="O11" s="33">
        <f t="shared" si="0"/>
        <v>5.5276192722357607</v>
      </c>
      <c r="P11" s="33">
        <f t="shared" si="1"/>
        <v>5.7008798706353661</v>
      </c>
      <c r="Q11" s="33" t="e">
        <f t="shared" si="2"/>
        <v>#VALUE!</v>
      </c>
      <c r="R11" s="35">
        <f>IF(O11="","",(O11-O$10)*1000)</f>
        <v>-0.75528292042115197</v>
      </c>
      <c r="S11" s="35">
        <v>0</v>
      </c>
      <c r="T11" s="35">
        <v>0</v>
      </c>
      <c r="U11" s="34"/>
      <c r="V11" s="35">
        <f t="shared" ref="V11:X12" si="4">IF(C11="","",(C11-C$10)*1000)</f>
        <v>0</v>
      </c>
      <c r="W11" s="35">
        <f t="shared" si="4"/>
        <v>-0.699999975040555</v>
      </c>
      <c r="X11" s="35">
        <f t="shared" si="4"/>
        <v>-1.8999999999920192</v>
      </c>
      <c r="Y11" s="84">
        <v>0</v>
      </c>
      <c r="Z11" s="84">
        <v>0</v>
      </c>
      <c r="AA11" s="84">
        <v>0</v>
      </c>
      <c r="AB11" s="35"/>
      <c r="AC11" s="35"/>
      <c r="AD11" s="35"/>
      <c r="AE11" s="35">
        <f t="shared" ref="AE11:AG11" si="5">IF(L11="","",(L11-L$10)*1000)</f>
        <v>-0.54999999701976776</v>
      </c>
      <c r="AF11" s="35">
        <f t="shared" si="5"/>
        <v>-0.19999989308416843</v>
      </c>
      <c r="AG11" s="35">
        <f t="shared" si="5"/>
        <v>-9.9999999989108801E-2</v>
      </c>
      <c r="AH11" s="34"/>
      <c r="AI11" s="33" cm="1">
        <f t="array" ref="AI11">IFERROR(_xlfn.SINGLE(INDEX(DATABASE!$AV$14:$BC$968,SUMPRODUCT((ROW(DATABASE!$AV$14:$AV$968)) * (DATABASE!$AV$14:HY$968='Résultats observations'!$A11 ) * (DATABASE!$AW$14:$AW$968= AI$4))-ROW(DATABASE!$AV$14)+1,AI$5)),"")</f>
        <v>2.6870571645166899</v>
      </c>
      <c r="AJ11" s="33" cm="1">
        <f t="array" ref="AJ11">IFERROR(_xlfn.SINGLE(INDEX(DATABASE!$AV$14:$BC$968,SUMPRODUCT((ROW(DATABASE!$AV$14:$AV$968)) * (DATABASE!$AV$14:HZ$968='Résultats observations'!$A11 ) * (DATABASE!$AW$14:$AW$968= AJ$4))-ROW(DATABASE!$AV$14)+1,AJ$5)),"")</f>
        <v>7.3142964828608265E-3</v>
      </c>
      <c r="AK11" s="33" cm="1">
        <f t="array" ref="AK11">IFERROR(_xlfn.SINGLE(INDEX(DATABASE!$AV$14:$BC$968,SUMPRODUCT((ROW(DATABASE!$AV$14:$AV$968)) * (DATABASE!$AV$14:IA$968='Résultats observations'!$A11 ) * (DATABASE!$AW$14:$AW$968= AK$4))-ROW(DATABASE!$AV$14)+1,AK$5)),"")</f>
        <v>1.3846999999999952</v>
      </c>
      <c r="AL11" s="33" cm="1">
        <f t="array" ref="AL11">IFERROR(_xlfn.SINGLE(INDEX(DATABASE!$AV$14:$BC$968,SUMPRODUCT((ROW(DATABASE!$AV$14:$AV$968)) * (DATABASE!$AV$14:IB$968='Résultats observations'!$A11 ) * (DATABASE!$AW$14:$AW$968= AL$4))-ROW(DATABASE!$AV$14)+1,AL$5)),"")</f>
        <v>2.8630847815128235</v>
      </c>
      <c r="AM11" s="33" cm="1">
        <f t="array" ref="AM11">IFERROR(_xlfn.SINGLE(INDEX(DATABASE!$AV$14:$BC$968,SUMPRODUCT((ROW(DATABASE!$AV$14:$AV$968)) * (DATABASE!$AV$14:IC$968='Résultats observations'!$A11 ) * (DATABASE!$AW$14:$AW$968= AM$4))-ROW(DATABASE!$AV$14)+1,AM$5)),"")</f>
        <v>2.4745535008778571E-2</v>
      </c>
      <c r="AN11" s="33" cm="1">
        <f t="array" ref="AN11">IFERROR(_xlfn.SINGLE(INDEX(DATABASE!$AV$14:$BC$968,SUMPRODUCT((ROW(DATABASE!$AV$14:$AV$968)) * (DATABASE!$AV$14:ID$968='Résultats observations'!$A11 ) * (DATABASE!$AW$14:$AW$968= AN$4))-ROW(DATABASE!$AV$14)+1,AN$5)),"")</f>
        <v>1.0467999999999904</v>
      </c>
      <c r="AO11" s="33" t="str" cm="1">
        <f t="array" ref="AO11">IFERROR(_xlfn.SINGLE(INDEX(DATABASE!$AV$14:$BC$968,SUMPRODUCT((ROW(DATABASE!$AV$14:$AV$968)) * (DATABASE!$AV$14:IE$968='Résultats observations'!$A11 ) * (DATABASE!$AW$14:$AW$968= AO$4))-ROW(DATABASE!$AV$14)+1,AO$5)),"")</f>
        <v/>
      </c>
      <c r="AP11" s="33" t="str" cm="1">
        <f t="array" ref="AP11">IFERROR(_xlfn.SINGLE(INDEX(DATABASE!$AV$14:$BC$968,SUMPRODUCT((ROW(DATABASE!$AV$14:$AV$968)) * (DATABASE!$AV$14:IF$968='Résultats observations'!$A11 ) * (DATABASE!$AW$14:$AW$968= AP$4))-ROW(DATABASE!$AV$14)+1,AP$5)),"")</f>
        <v/>
      </c>
      <c r="AQ11" s="33" t="str" cm="1">
        <f t="array" ref="AQ11">IFERROR(_xlfn.SINGLE(INDEX(DATABASE!$AV$14:$BC$968,SUMPRODUCT((ROW(DATABASE!$AV$14:$AV$968)) * (DATABASE!$AV$14:IG$968='Résultats observations'!$A11 ) * (DATABASE!$AW$14:$AW$968= AQ$4))-ROW(DATABASE!$AV$14)+1,AQ$5)),"")</f>
        <v/>
      </c>
      <c r="AR11" s="33" cm="1">
        <f t="array" ref="AR11">IFERROR(_xlfn.SINGLE(INDEX(DATABASE!$AV$14:$BC$968,SUMPRODUCT((ROW(DATABASE!$AV$14:$AV$968)) * (DATABASE!$AV$14:IH$968='Résultats observations'!$A11 ) * (DATABASE!$AW$14:$AW$968= AR$4))-ROW(DATABASE!$AV$14)+1,AR$5)),"")</f>
        <v>-2.8364295910250537</v>
      </c>
      <c r="AS11" s="33" cm="1">
        <f t="array" ref="AS11">IFERROR(_xlfn.SINGLE(INDEX(DATABASE!$AV$14:$BC$968,SUMPRODUCT((ROW(DATABASE!$AV$14:$AV$968)) * (DATABASE!$AV$14:II$968='Résultats observations'!$A11 ) * (DATABASE!$AW$14:$AW$968= AS$4))-ROW(DATABASE!$AV$14)+1,AS$5)),"")</f>
        <v>1.3941524194477587E-2</v>
      </c>
      <c r="AT11" s="33" cm="1">
        <f t="array" ref="AT11">IFERROR(_xlfn.SINGLE(INDEX(DATABASE!$AV$14:$BC$968,SUMPRODUCT((ROW(DATABASE!$AV$14:$AV$968)) * (DATABASE!$AV$14:IJ$968='Résultats observations'!$A11 ) * (DATABASE!$AW$14:$AW$968= AT$4))-ROW(DATABASE!$AV$14)+1,AT$5)),"")</f>
        <v>1.1710999999999956</v>
      </c>
      <c r="AU11" s="34"/>
      <c r="AV11" s="35">
        <f t="shared" ref="AV11:AX12" si="6">IF(AI11="","",(AI11-AI$10)*1000)</f>
        <v>-0.63440553437876801</v>
      </c>
      <c r="AW11" s="35">
        <f t="shared" si="6"/>
        <v>-0.29585398933624008</v>
      </c>
      <c r="AX11" s="35">
        <f t="shared" si="6"/>
        <v>-1.8999999999920192</v>
      </c>
      <c r="AY11" s="85">
        <v>0</v>
      </c>
      <c r="AZ11" s="85">
        <v>0</v>
      </c>
      <c r="BA11" s="85">
        <v>0</v>
      </c>
      <c r="BB11" s="35" t="str">
        <f t="shared" ref="BB11:BG11" si="7">IF(AO11="","",(AO11-AO$10)*1000)</f>
        <v/>
      </c>
      <c r="BC11" s="35" t="str">
        <f t="shared" si="7"/>
        <v/>
      </c>
      <c r="BD11" s="35" t="str">
        <f t="shared" si="7"/>
        <v/>
      </c>
      <c r="BE11" s="35">
        <f t="shared" si="7"/>
        <v>5.1198079263237162E-2</v>
      </c>
      <c r="BF11" s="35">
        <f t="shared" si="7"/>
        <v>-0.58299117543464218</v>
      </c>
      <c r="BG11" s="35">
        <f t="shared" si="7"/>
        <v>-9.9999999989108801E-2</v>
      </c>
    </row>
    <row r="12" spans="1:59" s="57" customFormat="1" ht="29.25" customHeight="1">
      <c r="A12" s="78">
        <v>45544</v>
      </c>
      <c r="B12" s="25">
        <f t="shared" ref="B12" si="8">A12-A$10</f>
        <v>12</v>
      </c>
      <c r="C12" s="80" cm="1">
        <f t="array" ref="C12">IFERROR(_xlfn.SINGLE(INDEX(DATABASE!$AV$14:$BC$968,SUMPRODUCT((ROW(DATABASE!$AV$14:$AV$968)) * (DATABASE!AV$14:$AV$968='Résultats observations'!$A12 ) * (DATABASE!$AW$14:$AW$968= C$4))-ROW(DATABASE!$AV$14)+1,C$5)),"")</f>
        <v>823147.64950000006</v>
      </c>
      <c r="D12" s="158" cm="1">
        <f t="array" ref="D12">IFERROR(_xlfn.SINGLE(INDEX(DATABASE!$AV$14:$BC$968,SUMPRODUCT((ROW(DATABASE!$AV$14:$AV$968)) * (DATABASE!$AV$14:AW$968='Résultats observations'!$A12 ) * (DATABASE!$AW$14:$AW$968= D$4))-ROW(DATABASE!$AV$14)+1,D$5)),"")</f>
        <v>1091710.0851</v>
      </c>
      <c r="E12" s="158" cm="1">
        <f t="array" ref="E12">IFERROR(_xlfn.SINGLE(INDEX(DATABASE!$AV$14:$BC$968,SUMPRODUCT((ROW(DATABASE!$AV$14:$AV$968)) * (DATABASE!$AV$14:AX$968='Résultats observations'!$A12 ) * (DATABASE!$AW$14:$AW$968= E$4))-ROW(DATABASE!$AV$14)+1,E$5)),"")</f>
        <v>-121.56950000000001</v>
      </c>
      <c r="F12" s="158" t="str" cm="1">
        <f t="array" ref="F12">IFERROR(_xlfn.SINGLE(INDEX(DATABASE!$AV$14:$BC$968,SUMPRODUCT((ROW(DATABASE!$AV$14:$AV$968)) * (DATABASE!$AV$14:AY$968='Résultats observations'!$A12 ) * (DATABASE!$AW$14:$AW$968= F$4))-ROW(DATABASE!$AV$14)+1,F$5)),"")</f>
        <v/>
      </c>
      <c r="G12" s="158" t="str" cm="1">
        <f t="array" ref="G12">IFERROR(_xlfn.SINGLE(INDEX(DATABASE!$AV$14:$BC$968,SUMPRODUCT((ROW(DATABASE!$AV$14:$AV$968)) * (DATABASE!$AV$14:AZ$968='Résultats observations'!$A12 ) * (DATABASE!$AW$14:$AW$968= G$4))-ROW(DATABASE!$AV$14)+1,G$5)),"")</f>
        <v/>
      </c>
      <c r="H12" s="158" t="str" cm="1">
        <f t="array" ref="H12">IFERROR(_xlfn.SINGLE(INDEX(DATABASE!$AV$14:$BC$968,SUMPRODUCT((ROW(DATABASE!$AV$14:$AV$968)) * (DATABASE!$AV$14:BA$968='Résultats observations'!$A12 ) * (DATABASE!$AW$14:$AW$968= H$4))-ROW(DATABASE!$AV$14)+1,H$5)),"")</f>
        <v/>
      </c>
      <c r="I12" s="158" t="str" cm="1">
        <f t="array" ref="I12">IFERROR(_xlfn.SINGLE(INDEX(DATABASE!$AV$14:$BC$968,SUMPRODUCT((ROW(DATABASE!$AV$14:$AV$968)) * (DATABASE!$AV$14:BB$968='Résultats observations'!$A12 ) * (DATABASE!$AW$14:$AW$968= I$4))-ROW(DATABASE!$AV$14)+1,I$5)),"")</f>
        <v/>
      </c>
      <c r="J12" s="158" t="str" cm="1">
        <f t="array" ref="J12">IFERROR(_xlfn.SINGLE(INDEX(DATABASE!$AV$14:$BC$968,SUMPRODUCT((ROW(DATABASE!$AV$14:$AV$968)) * (DATABASE!$AV$14:BC$968='Résultats observations'!$A12 ) * (DATABASE!$AW$14:$AW$968= J$4))-ROW(DATABASE!$AV$14)+1,J$5)),"")</f>
        <v/>
      </c>
      <c r="K12" s="158" t="str" cm="1">
        <f t="array" ref="K12">IFERROR(_xlfn.SINGLE(INDEX(DATABASE!$AV$14:$BC$968,SUMPRODUCT((ROW(DATABASE!$AV$14:$AV$968)) * (DATABASE!$AV$14:BD$968='Résultats observations'!$A12 ) * (DATABASE!$AW$14:$AW$968= K$4))-ROW(DATABASE!$AV$14)+1,K$5)),"")</f>
        <v/>
      </c>
      <c r="L12" s="158" cm="1">
        <f t="array" ref="L12">IFERROR(_xlfn.SINGLE(INDEX(DATABASE!$AV$14:$BC$968,SUMPRODUCT((ROW(DATABASE!$AV$14:$AV$968)) * (DATABASE!$AV$14:BE$968='Résultats observations'!$A12 ) * (DATABASE!$AW$14:$AW$968= L$4))-ROW(DATABASE!$AV$14)+1,L$5)),"")</f>
        <v>823149.98979999998</v>
      </c>
      <c r="M12" s="158" cm="1">
        <f t="array" ref="M12">IFERROR(_xlfn.SINGLE(INDEX(DATABASE!$AV$14:$BC$968,SUMPRODUCT((ROW(DATABASE!$AV$14:$AV$968)) * (DATABASE!$AV$14:BF$968='Résultats observations'!$A12 ) * (DATABASE!$AW$14:$AW$968= M$4))-ROW(DATABASE!$AV$14)+1,M$5)),"")</f>
        <v>1091705.0819999999</v>
      </c>
      <c r="N12" s="158" cm="1">
        <f t="array" ref="N12">IFERROR(_xlfn.SINGLE(INDEX(DATABASE!$AV$14:$BC$968,SUMPRODUCT((ROW(DATABASE!$AV$14:$AV$968)) * (DATABASE!$AV$14:BG$968='Résultats observations'!$A12 ) * (DATABASE!$AW$14:$AW$968= N$4))-ROW(DATABASE!$AV$14)+1,N$5)),"")</f>
        <v>-121.78279999999999</v>
      </c>
      <c r="O12" s="33">
        <f t="shared" si="0"/>
        <v>5.5275230067845555</v>
      </c>
      <c r="P12" s="33" t="e">
        <f t="shared" si="1"/>
        <v>#VALUE!</v>
      </c>
      <c r="Q12" s="33" t="e">
        <f t="shared" si="2"/>
        <v>#VALUE!</v>
      </c>
      <c r="R12" s="35">
        <f t="shared" ref="R12:R15" si="9">IF(O12="","",(O12-O$10)*1000)</f>
        <v>-0.85154837162626507</v>
      </c>
      <c r="S12" s="35"/>
      <c r="T12" s="35">
        <v>0</v>
      </c>
      <c r="U12" s="34"/>
      <c r="V12" s="35">
        <f t="shared" si="4"/>
        <v>0.70000009145587683</v>
      </c>
      <c r="W12" s="35">
        <f t="shared" si="4"/>
        <v>-0.59999991208314896</v>
      </c>
      <c r="X12" s="35">
        <f t="shared" si="4"/>
        <v>-2.0999999999986585</v>
      </c>
      <c r="Y12" s="35" t="str">
        <f t="shared" ref="Y12" si="10">IF(F12="","",(F12-F$10)*1000)</f>
        <v/>
      </c>
      <c r="Z12" s="35" t="str">
        <f t="shared" ref="Z12" si="11">IF(G12="","",(G12-G$10)*1000)</f>
        <v/>
      </c>
      <c r="AA12" s="35" t="str">
        <f t="shared" ref="AA12" si="12">IF(H12="","",(H12-H$10)*1000)</f>
        <v/>
      </c>
      <c r="AB12" s="35"/>
      <c r="AC12" s="35"/>
      <c r="AD12" s="35"/>
      <c r="AE12" s="35">
        <f t="shared" ref="AE12" si="13">IF(L12="","",(L12-L$10)*1000)</f>
        <v>-5.0000031478703022E-2</v>
      </c>
      <c r="AF12" s="35">
        <f t="shared" ref="AF12" si="14">IF(M12="","",(M12-M$10)*1000)</f>
        <v>-0.10000006295740604</v>
      </c>
      <c r="AG12" s="35">
        <f t="shared" ref="AG12" si="15">IF(N12="","",(N12-N$10)*1000)</f>
        <v>1.4210854715202004E-11</v>
      </c>
      <c r="AH12" s="34"/>
      <c r="AI12" s="33" cm="1">
        <f t="array" ref="AI12">IFERROR(_xlfn.SINGLE(INDEX(DATABASE!$AV$14:$BC$968,SUMPRODUCT((ROW(DATABASE!$AV$14:$AV$968)) * (DATABASE!$AV$14:HY$968='Résultats observations'!$A12 ) * (DATABASE!$AW$14:$AW$968= AI$4))-ROW(DATABASE!$AV$14)+1,AI$5)),"")</f>
        <v>2.6868519399004938</v>
      </c>
      <c r="AJ12" s="33" cm="1">
        <f t="array" ref="AJ12">IFERROR(_xlfn.SINGLE(INDEX(DATABASE!$AV$14:$BC$968,SUMPRODUCT((ROW(DATABASE!$AV$14:$AV$968)) * (DATABASE!$AV$14:HZ$968='Résultats observations'!$A12 ) * (DATABASE!$AW$14:$AW$968= AJ$4))-ROW(DATABASE!$AV$14)+1,AJ$5)),"")</f>
        <v>7.9909670064804393E-3</v>
      </c>
      <c r="AK12" s="33" cm="1">
        <f t="array" ref="AK12">IFERROR(_xlfn.SINGLE(INDEX(DATABASE!$AV$14:$BC$968,SUMPRODUCT((ROW(DATABASE!$AV$14:$AV$968)) * (DATABASE!$AV$14:IA$968='Résultats observations'!$A12 ) * (DATABASE!$AW$14:$AW$968= AK$4))-ROW(DATABASE!$AV$14)+1,AK$5)),"")</f>
        <v>1.3844999999999885</v>
      </c>
      <c r="AL12" s="33" t="str" cm="1">
        <f t="array" ref="AL12">IFERROR(_xlfn.SINGLE(INDEX(DATABASE!$AV$14:$BC$968,SUMPRODUCT((ROW(DATABASE!$AV$14:$AV$968)) * (DATABASE!$AV$14:IB$968='Résultats observations'!$A12 ) * (DATABASE!$AW$14:$AW$968= AL$4))-ROW(DATABASE!$AV$14)+1,AL$5)),"")</f>
        <v/>
      </c>
      <c r="AM12" s="33" t="str" cm="1">
        <f t="array" ref="AM12">IFERROR(_xlfn.SINGLE(INDEX(DATABASE!$AV$14:$BC$968,SUMPRODUCT((ROW(DATABASE!$AV$14:$AV$968)) * (DATABASE!$AV$14:IC$968='Résultats observations'!$A12 ) * (DATABASE!$AW$14:$AW$968= AM$4))-ROW(DATABASE!$AV$14)+1,AM$5)),"")</f>
        <v/>
      </c>
      <c r="AN12" s="33" t="str" cm="1">
        <f t="array" ref="AN12">IFERROR(_xlfn.SINGLE(INDEX(DATABASE!$AV$14:$BC$968,SUMPRODUCT((ROW(DATABASE!$AV$14:$AV$968)) * (DATABASE!$AV$14:ID$968='Résultats observations'!$A12 ) * (DATABASE!$AW$14:$AW$968= AN$4))-ROW(DATABASE!$AV$14)+1,AN$5)),"")</f>
        <v/>
      </c>
      <c r="AO12" s="33" t="str" cm="1">
        <f t="array" ref="AO12">IFERROR(_xlfn.SINGLE(INDEX(DATABASE!$AV$14:$BC$968,SUMPRODUCT((ROW(DATABASE!$AV$14:$AV$968)) * (DATABASE!$AV$14:IE$968='Résultats observations'!$A12 ) * (DATABASE!$AW$14:$AW$968= AO$4))-ROW(DATABASE!$AV$14)+1,AO$5)),"")</f>
        <v/>
      </c>
      <c r="AP12" s="33" t="str" cm="1">
        <f t="array" ref="AP12">IFERROR(_xlfn.SINGLE(INDEX(DATABASE!$AV$14:$BC$968,SUMPRODUCT((ROW(DATABASE!$AV$14:$AV$968)) * (DATABASE!$AV$14:IF$968='Résultats observations'!$A12 ) * (DATABASE!$AW$14:$AW$968= AP$4))-ROW(DATABASE!$AV$14)+1,AP$5)),"")</f>
        <v/>
      </c>
      <c r="AQ12" s="33" t="str" cm="1">
        <f t="array" ref="AQ12">IFERROR(_xlfn.SINGLE(INDEX(DATABASE!$AV$14:$BC$968,SUMPRODUCT((ROW(DATABASE!$AV$14:$AV$968)) * (DATABASE!$AV$14:IG$968='Résultats observations'!$A12 ) * (DATABASE!$AW$14:$AW$968= AQ$4))-ROW(DATABASE!$AV$14)+1,AQ$5)),"")</f>
        <v/>
      </c>
      <c r="AR12" s="33" cm="1">
        <f t="array" ref="AR12">IFERROR(_xlfn.SINGLE(INDEX(DATABASE!$AV$14:$BC$968,SUMPRODUCT((ROW(DATABASE!$AV$14:$AV$968)) * (DATABASE!$AV$14:IH$968='Résultats observations'!$A12 ) * (DATABASE!$AW$14:$AW$968= AR$4))-ROW(DATABASE!$AV$14)+1,AR$5)),"")</f>
        <v>-2.8365502860847922</v>
      </c>
      <c r="AS12" s="33" cm="1">
        <f t="array" ref="AS12">IFERROR(_xlfn.SINGLE(INDEX(DATABASE!$AV$14:$BC$968,SUMPRODUCT((ROW(DATABASE!$AV$14:$AV$968)) * (DATABASE!$AV$14:II$968='Résultats observations'!$A12 ) * (DATABASE!$AW$14:$AW$968= AS$4))-ROW(DATABASE!$AV$14)+1,AS$5)),"")</f>
        <v>1.4436935775005384E-2</v>
      </c>
      <c r="AT12" s="33" cm="1">
        <f t="array" ref="AT12">IFERROR(_xlfn.SINGLE(INDEX(DATABASE!$AV$14:$BC$968,SUMPRODUCT((ROW(DATABASE!$AV$14:$AV$968)) * (DATABASE!$AV$14:IJ$968='Résultats observations'!$A12 ) * (DATABASE!$AW$14:$AW$968= AT$4))-ROW(DATABASE!$AV$14)+1,AT$5)),"")</f>
        <v>1.1711999999999989</v>
      </c>
      <c r="AU12" s="34"/>
      <c r="AV12" s="35">
        <f t="shared" si="6"/>
        <v>-0.83963015057486601</v>
      </c>
      <c r="AW12" s="35">
        <f t="shared" si="6"/>
        <v>0.3808165342833727</v>
      </c>
      <c r="AX12" s="35">
        <f t="shared" si="6"/>
        <v>-2.0999999999986585</v>
      </c>
      <c r="AY12" s="85"/>
      <c r="AZ12" s="85"/>
      <c r="BA12" s="85"/>
      <c r="BB12" s="35" t="str">
        <f t="shared" ref="BB12" si="16">IF(AO12="","",(AO12-AO$10)*1000)</f>
        <v/>
      </c>
      <c r="BC12" s="35" t="str">
        <f t="shared" ref="BC12" si="17">IF(AP12="","",(AP12-AP$10)*1000)</f>
        <v/>
      </c>
      <c r="BD12" s="35" t="str">
        <f t="shared" ref="BD12" si="18">IF(AQ12="","",(AQ12-AQ$10)*1000)</f>
        <v/>
      </c>
      <c r="BE12" s="35">
        <f t="shared" ref="BE12" si="19">IF(AR12="","",(AR12-AR$10)*1000)</f>
        <v>-6.9496980475314274E-2</v>
      </c>
      <c r="BF12" s="35">
        <f t="shared" ref="BF12" si="20">IF(AS12="","",(AS12-AS$10)*1000)</f>
        <v>-8.7579594906845096E-2</v>
      </c>
      <c r="BG12" s="35">
        <f t="shared" ref="BG12" si="21">IF(AT12="","",(AT12-AT$10)*1000)</f>
        <v>1.4210854715202004E-11</v>
      </c>
    </row>
    <row r="13" spans="1:59" s="57" customFormat="1" ht="29.25" customHeight="1">
      <c r="A13" s="78">
        <v>45548</v>
      </c>
      <c r="B13" s="25">
        <f t="shared" ref="B13" si="22">A13-A$10</f>
        <v>16</v>
      </c>
      <c r="C13" s="80" cm="1">
        <f t="array" ref="C13">IFERROR(_xlfn.SINGLE(INDEX(DATABASE!$AV$14:$BC$968,SUMPRODUCT((ROW(DATABASE!$AV$14:$AV$968)) * (DATABASE!AV$14:$AV$968='Résultats observations'!$A13 ) * (DATABASE!$AW$14:$AW$968= C$4))-ROW(DATABASE!$AV$14)+1,C$5)),"")</f>
        <v>823147.64890000003</v>
      </c>
      <c r="D13" s="158" cm="1">
        <f t="array" ref="D13">IFERROR(_xlfn.SINGLE(INDEX(DATABASE!$AV$14:$BC$968,SUMPRODUCT((ROW(DATABASE!$AV$14:$AV$968)) * (DATABASE!$AV$14:AW$968='Résultats observations'!$A13 ) * (DATABASE!$AW$14:$AW$968= D$4))-ROW(DATABASE!$AV$14)+1,D$5)),"")</f>
        <v>1091710.085</v>
      </c>
      <c r="E13" s="158" cm="1">
        <f t="array" ref="E13">IFERROR(_xlfn.SINGLE(INDEX(DATABASE!$AV$14:$BC$968,SUMPRODUCT((ROW(DATABASE!$AV$14:$AV$968)) * (DATABASE!$AV$14:AX$968='Résultats observations'!$A13 ) * (DATABASE!$AW$14:$AW$968= E$4))-ROW(DATABASE!$AV$14)+1,E$5)),"")</f>
        <v>-121.5697</v>
      </c>
      <c r="F13" s="158" cm="1">
        <f t="array" ref="F13">IFERROR(_xlfn.SINGLE(INDEX(DATABASE!$AV$14:$BC$968,SUMPRODUCT((ROW(DATABASE!$AV$14:$AV$968)) * (DATABASE!$AV$14:AY$968='Résultats observations'!$A13 ) * (DATABASE!$AW$14:$AW$968= F$4))-ROW(DATABASE!$AV$14)+1,F$5)),"")</f>
        <v>823147.59030000004</v>
      </c>
      <c r="G13" s="158" cm="1">
        <f t="array" ref="G13">IFERROR(_xlfn.SINGLE(INDEX(DATABASE!$AV$14:$BC$968,SUMPRODUCT((ROW(DATABASE!$AV$14:$AV$968)) * (DATABASE!$AV$14:AZ$968='Résultats observations'!$A13 ) * (DATABASE!$AW$14:$AW$968= G$4))-ROW(DATABASE!$AV$14)+1,G$5)),"")</f>
        <v>1091710.2527999999</v>
      </c>
      <c r="H13" s="158" cm="1">
        <f t="array" ref="H13">IFERROR(_xlfn.SINGLE(INDEX(DATABASE!$AV$14:$BC$968,SUMPRODUCT((ROW(DATABASE!$AV$14:$AV$968)) * (DATABASE!$AV$14:BA$968='Résultats observations'!$A13 ) * (DATABASE!$AW$14:$AW$968= H$4))-ROW(DATABASE!$AV$14)+1,H$5)),"")</f>
        <v>-121.9075</v>
      </c>
      <c r="I13" s="167" cm="1">
        <f t="array" ref="I13">IFERROR(_xlfn.SINGLE(INDEX(DATABASE!$AV$14:$BC$968,SUMPRODUCT((ROW(DATABASE!$AV$14:$AV$968)) * (DATABASE!$AV$14:BB$968='Résultats observations'!$A13 ) * (DATABASE!$AW$14:$AW$968= I$4))-ROW(DATABASE!$AV$14)+1,I$5)),"")</f>
        <v>823147.56839999999</v>
      </c>
      <c r="J13" s="167" cm="1">
        <f t="array" ref="J13">IFERROR(_xlfn.SINGLE(INDEX(DATABASE!$AV$14:$BC$968,SUMPRODUCT((ROW(DATABASE!$AV$14:$AV$968)) * (DATABASE!$AV$14:BC$968='Résultats observations'!$A13 ) * (DATABASE!$AW$14:$AW$968= J$4))-ROW(DATABASE!$AV$14)+1,J$5)),"")</f>
        <v>1091710.4223</v>
      </c>
      <c r="K13" s="167" cm="1">
        <f t="array" ref="K13">IFERROR(_xlfn.SINGLE(INDEX(DATABASE!$AV$14:$BC$968,SUMPRODUCT((ROW(DATABASE!$AV$14:$AV$968)) * (DATABASE!$AV$14:BD$968='Résultats observations'!$A13 ) * (DATABASE!$AW$14:$AW$968= K$4))-ROW(DATABASE!$AV$14)+1,K$5)),"")</f>
        <v>-122.4346</v>
      </c>
      <c r="L13" s="158" cm="1">
        <f t="array" ref="L13">IFERROR(_xlfn.SINGLE(INDEX(DATABASE!$AV$14:$BC$968,SUMPRODUCT((ROW(DATABASE!$AV$14:$AV$968)) * (DATABASE!$AV$14:BE$968='Résultats observations'!$A13 ) * (DATABASE!$AW$14:$AW$968= L$4))-ROW(DATABASE!$AV$14)+1,L$5)),"")</f>
        <v>823149.98899999994</v>
      </c>
      <c r="M13" s="158" cm="1">
        <f t="array" ref="M13">IFERROR(_xlfn.SINGLE(INDEX(DATABASE!$AV$14:$BC$968,SUMPRODUCT((ROW(DATABASE!$AV$14:$AV$968)) * (DATABASE!$AV$14:BF$968='Résultats observations'!$A13 ) * (DATABASE!$AW$14:$AW$968= M$4))-ROW(DATABASE!$AV$14)+1,M$5)),"")</f>
        <v>1091705.0822999999</v>
      </c>
      <c r="N13" s="158" cm="1">
        <f t="array" ref="N13">IFERROR(_xlfn.SINGLE(INDEX(DATABASE!$AV$14:$BC$968,SUMPRODUCT((ROW(DATABASE!$AV$14:$AV$968)) * (DATABASE!$AV$14:BG$968='Résultats observations'!$A13 ) * (DATABASE!$AW$14:$AW$968= N$4))-ROW(DATABASE!$AV$14)+1,N$5)),"")</f>
        <v>-121.78270000000001</v>
      </c>
      <c r="O13" s="33">
        <f t="shared" si="0"/>
        <v>5.5270647092555363</v>
      </c>
      <c r="P13" s="33">
        <f t="shared" si="1"/>
        <v>5.7011759295441209</v>
      </c>
      <c r="Q13" s="33">
        <f t="shared" si="2"/>
        <v>5.8991421385378109</v>
      </c>
      <c r="R13" s="35">
        <f t="shared" si="9"/>
        <v>-1.3098459006455343</v>
      </c>
      <c r="S13" s="35">
        <f>IF(P13="","",(P13-P$11)*1000)</f>
        <v>0.29605890875483709</v>
      </c>
      <c r="T13" s="35">
        <v>0</v>
      </c>
      <c r="U13" s="34"/>
      <c r="V13" s="35">
        <f t="shared" ref="V13" si="23">IF(C13="","",(C13-C$10)*1000)</f>
        <v>0.10000006295740604</v>
      </c>
      <c r="W13" s="35">
        <f t="shared" ref="W13" si="24">IF(D13="","",(D13-D$10)*1000)</f>
        <v>-0.699999975040555</v>
      </c>
      <c r="X13" s="35">
        <f t="shared" ref="X13" si="25">IF(E13="","",(E13-E$10)*1000)</f>
        <v>-2.299999999991087</v>
      </c>
      <c r="Y13" s="35">
        <f t="shared" ref="Y13:Y18" si="26">IF(F13="","",(F13-F$11)*1000)</f>
        <v>0.10000006295740604</v>
      </c>
      <c r="Z13" s="35">
        <f t="shared" ref="Z13:AA13" si="27">IF(G13="","",(G13-G$11)*1000)</f>
        <v>0.89999986812472343</v>
      </c>
      <c r="AA13" s="35">
        <f t="shared" si="27"/>
        <v>-0.29999999999574811</v>
      </c>
      <c r="AB13" s="168">
        <v>0</v>
      </c>
      <c r="AC13" s="168">
        <v>0</v>
      </c>
      <c r="AD13" s="168">
        <v>0</v>
      </c>
      <c r="AE13" s="35">
        <f t="shared" ref="AE13" si="28">IF(L13="","",(L13-L$10)*1000)</f>
        <v>-0.85000006947666407</v>
      </c>
      <c r="AF13" s="35">
        <f t="shared" ref="AF13" si="29">IF(M13="","",(M13-M$10)*1000)</f>
        <v>0.19999989308416843</v>
      </c>
      <c r="AG13" s="35">
        <f t="shared" ref="AG13" si="30">IF(N13="","",(N13-N$10)*1000)</f>
        <v>0.10000000000331966</v>
      </c>
      <c r="AH13" s="34"/>
      <c r="AI13" s="33" cm="1">
        <f t="array" ref="AI13">IFERROR(_xlfn.SINGLE(INDEX(DATABASE!$AV$14:$BC$968,SUMPRODUCT((ROW(DATABASE!$AV$14:$AV$968)) * (DATABASE!$AV$14:HY$968='Résultats observations'!$A13 ) * (DATABASE!$AW$14:$AW$968= AI$4))-ROW(DATABASE!$AV$14)+1,AI$5)),"")</f>
        <v>2.6870148996329544</v>
      </c>
      <c r="AJ13" s="33" cm="1">
        <f t="array" ref="AJ13">IFERROR(_xlfn.SINGLE(INDEX(DATABASE!$AV$14:$BC$968,SUMPRODUCT((ROW(DATABASE!$AV$14:$AV$968)) * (DATABASE!$AV$14:HZ$968='Résultats observations'!$A13 ) * (DATABASE!$AW$14:$AW$968= AJ$4))-ROW(DATABASE!$AV$14)+1,AJ$5)),"")</f>
        <v>7.4049259052047919E-3</v>
      </c>
      <c r="AK13" s="33" cm="1">
        <f t="array" ref="AK13">IFERROR(_xlfn.SINGLE(INDEX(DATABASE!$AV$14:$BC$968,SUMPRODUCT((ROW(DATABASE!$AV$14:$AV$968)) * (DATABASE!$AV$14:IA$968='Résultats observations'!$A13 ) * (DATABASE!$AW$14:$AW$968= AK$4))-ROW(DATABASE!$AV$14)+1,AK$5)),"")</f>
        <v>1.3842999999999961</v>
      </c>
      <c r="AL13" s="33" cm="1">
        <f t="array" ref="AL13">IFERROR(_xlfn.SINGLE(INDEX(DATABASE!$AV$14:$BC$968,SUMPRODUCT((ROW(DATABASE!$AV$14:$AV$968)) * (DATABASE!$AV$14:IB$968='Résultats observations'!$A13 ) * (DATABASE!$AW$14:$AW$968= AL$4))-ROW(DATABASE!$AV$14)+1,AL$5)),"")</f>
        <v>2.8638581807971404</v>
      </c>
      <c r="AM13" s="33" cm="1">
        <f t="array" ref="AM13">IFERROR(_xlfn.SINGLE(INDEX(DATABASE!$AV$14:$BC$968,SUMPRODUCT((ROW(DATABASE!$AV$14:$AV$968)) * (DATABASE!$AV$14:IC$968='Résultats observations'!$A13 ) * (DATABASE!$AW$14:$AW$968= AM$4))-ROW(DATABASE!$AV$14)+1,AM$5)),"")</f>
        <v>2.5216548089524879E-2</v>
      </c>
      <c r="AN13" s="33" cm="1">
        <f t="array" ref="AN13">IFERROR(_xlfn.SINGLE(INDEX(DATABASE!$AV$14:$BC$968,SUMPRODUCT((ROW(DATABASE!$AV$14:$AV$968)) * (DATABASE!$AV$14:ID$968='Résultats observations'!$A13 ) * (DATABASE!$AW$14:$AW$968= AN$4))-ROW(DATABASE!$AV$14)+1,AN$5)),"")</f>
        <v>1.0464999999999947</v>
      </c>
      <c r="AO13" s="167" cm="1">
        <f t="array" ref="AO13">IFERROR(_xlfn.SINGLE(INDEX(DATABASE!$AV$14:$BC$968,SUMPRODUCT((ROW(DATABASE!$AV$14:$AV$968)) * (DATABASE!$AV$14:IE$968='Résultats observations'!$A13 ) * (DATABASE!$AW$14:$AW$968= AO$4))-ROW(DATABASE!$AV$14)+1,AO$5)),"")</f>
        <v>3.0267309587575384</v>
      </c>
      <c r="AP13" s="167" cm="1">
        <f t="array" ref="AP13">IFERROR(_xlfn.SINGLE(INDEX(DATABASE!$AV$14:$BC$968,SUMPRODUCT((ROW(DATABASE!$AV$14:$AV$968)) * (DATABASE!$AV$14:IF$968='Résultats observations'!$A13 ) * (DATABASE!$AW$14:$AW$968= AP$4))-ROW(DATABASE!$AV$14)+1,AP$5)),"")</f>
        <v>7.7007649907989278E-2</v>
      </c>
      <c r="AQ13" s="167" cm="1">
        <f t="array" ref="AQ13">IFERROR(_xlfn.SINGLE(INDEX(DATABASE!$AV$14:$BC$968,SUMPRODUCT((ROW(DATABASE!$AV$14:$AV$968)) * (DATABASE!$AV$14:IG$968='Résultats observations'!$A13 ) * (DATABASE!$AW$14:$AW$968= AQ$4))-ROW(DATABASE!$AV$14)+1,AQ$5)),"")</f>
        <v>0.51939999999999031</v>
      </c>
      <c r="AR13" s="33" cm="1">
        <f t="array" ref="AR13">IFERROR(_xlfn.SINGLE(INDEX(DATABASE!$AV$14:$BC$968,SUMPRODUCT((ROW(DATABASE!$AV$14:$AV$968)) * (DATABASE!$AV$14:IH$968='Résultats observations'!$A13 ) * (DATABASE!$AW$14:$AW$968= AR$4))-ROW(DATABASE!$AV$14)+1,AR$5)),"")</f>
        <v>-2.835940279155702</v>
      </c>
      <c r="AS13" s="33" cm="1">
        <f t="array" ref="AS13">IFERROR(_xlfn.SINGLE(INDEX(DATABASE!$AV$14:$BC$968,SUMPRODUCT((ROW(DATABASE!$AV$14:$AV$968)) * (DATABASE!$AV$14:II$968='Résultats observations'!$A13 ) * (DATABASE!$AW$14:$AW$968= AS$4))-ROW(DATABASE!$AV$14)+1,AS$5)),"")</f>
        <v>1.3838695371084406E-2</v>
      </c>
      <c r="AT13" s="33" cm="1">
        <f t="array" ref="AT13">IFERROR(_xlfn.SINGLE(INDEX(DATABASE!$AV$14:$BC$968,SUMPRODUCT((ROW(DATABASE!$AV$14:$AV$968)) * (DATABASE!$AV$14:IJ$968='Résultats observations'!$A13 ) * (DATABASE!$AW$14:$AW$968= AT$4))-ROW(DATABASE!$AV$14)+1,AT$5)),"")</f>
        <v>1.171299999999988</v>
      </c>
      <c r="AU13" s="34"/>
      <c r="AV13" s="35">
        <f t="shared" ref="AV13" si="31">IF(AI13="","",(AI13-AI$10)*1000)</f>
        <v>-0.67667041811425577</v>
      </c>
      <c r="AW13" s="35">
        <f t="shared" ref="AW13" si="32">IF(AJ13="","",(AJ13-AJ$10)*1000)</f>
        <v>-0.2052245669922747</v>
      </c>
      <c r="AX13" s="35">
        <f t="shared" ref="AX13" si="33">IF(AK13="","",(AK13-AK$10)*1000)</f>
        <v>-2.299999999991087</v>
      </c>
      <c r="AY13" s="35">
        <f t="shared" ref="AY13:AY18" si="34">IF(AL13="","",(AL13-AL$11)*1000)</f>
        <v>0.77339928431685578</v>
      </c>
      <c r="AZ13" s="35">
        <f t="shared" ref="AZ13:BA13" si="35">IF(AM13="","",(AM13-AM$11)*1000)</f>
        <v>0.47101308074630821</v>
      </c>
      <c r="BA13" s="35">
        <f t="shared" si="35"/>
        <v>-0.29999999999574811</v>
      </c>
      <c r="BB13" s="85">
        <v>0</v>
      </c>
      <c r="BC13" s="85">
        <v>0</v>
      </c>
      <c r="BD13" s="85">
        <v>0</v>
      </c>
      <c r="BE13" s="35">
        <f t="shared" ref="BE13" si="36">IF(AR13="","",(AR13-AR$10)*1000)</f>
        <v>0.54050994861487567</v>
      </c>
      <c r="BF13" s="35">
        <f t="shared" ref="BF13" si="37">IF(AS13="","",(AS13-AS$10)*1000)</f>
        <v>-0.6858199988278233</v>
      </c>
      <c r="BG13" s="35">
        <f t="shared" ref="BG13" si="38">IF(AT13="","",(AT13-AT$10)*1000)</f>
        <v>0.10000000000331966</v>
      </c>
    </row>
    <row r="14" spans="1:59" s="57" customFormat="1" ht="29.25" customHeight="1">
      <c r="A14" s="78">
        <v>45552</v>
      </c>
      <c r="B14" s="25">
        <f t="shared" ref="B14" si="39">A14-A$10</f>
        <v>20</v>
      </c>
      <c r="C14" s="80" cm="1">
        <f t="array" ref="C14">IFERROR(_xlfn.SINGLE(INDEX(DATABASE!$AV$14:$BC$968,SUMPRODUCT((ROW(DATABASE!$AV$14:$AV$968)) * (DATABASE!AV$14:$AV$968='Résultats observations'!$A14 ) * (DATABASE!$AW$14:$AW$968= C$4))-ROW(DATABASE!$AV$14)+1,C$5)),"")</f>
        <v>823147.64930000005</v>
      </c>
      <c r="D14" s="158" cm="1">
        <f t="array" ref="D14">IFERROR(_xlfn.SINGLE(INDEX(DATABASE!$AV$14:$BC$968,SUMPRODUCT((ROW(DATABASE!$AV$14:$AV$968)) * (DATABASE!$AV$14:AW$968='Résultats observations'!$A14 ) * (DATABASE!$AW$14:$AW$968= D$4))-ROW(DATABASE!$AV$14)+1,D$5)),"")</f>
        <v>1091710.0848999999</v>
      </c>
      <c r="E14" s="158" cm="1">
        <f t="array" ref="E14">IFERROR(_xlfn.SINGLE(INDEX(DATABASE!$AV$14:$BC$968,SUMPRODUCT((ROW(DATABASE!$AV$14:$AV$968)) * (DATABASE!$AV$14:AX$968='Résultats observations'!$A14 ) * (DATABASE!$AW$14:$AW$968= E$4))-ROW(DATABASE!$AV$14)+1,E$5)),"")</f>
        <v>-121.56950000000001</v>
      </c>
      <c r="F14" s="158" cm="1">
        <f t="array" ref="F14">IFERROR(_xlfn.SINGLE(INDEX(DATABASE!$AV$14:$BC$968,SUMPRODUCT((ROW(DATABASE!$AV$14:$AV$968)) * (DATABASE!$AV$14:AY$968='Résultats observations'!$A14 ) * (DATABASE!$AW$14:$AW$968= F$4))-ROW(DATABASE!$AV$14)+1,F$5)),"")</f>
        <v>823147.59140000003</v>
      </c>
      <c r="G14" s="158" cm="1">
        <f t="array" ref="G14">IFERROR(_xlfn.SINGLE(INDEX(DATABASE!$AV$14:$BC$968,SUMPRODUCT((ROW(DATABASE!$AV$14:$AV$968)) * (DATABASE!$AV$14:AZ$968='Résultats observations'!$A14 ) * (DATABASE!$AW$14:$AW$968= G$4))-ROW(DATABASE!$AV$14)+1,G$5)),"")</f>
        <v>1091710.2523000001</v>
      </c>
      <c r="H14" s="158" cm="1">
        <f t="array" ref="H14">IFERROR(_xlfn.SINGLE(INDEX(DATABASE!$AV$14:$BC$968,SUMPRODUCT((ROW(DATABASE!$AV$14:$AV$968)) * (DATABASE!$AV$14:BA$968='Résultats observations'!$A14 ) * (DATABASE!$AW$14:$AW$968= H$4))-ROW(DATABASE!$AV$14)+1,H$5)),"")</f>
        <v>-121.9076</v>
      </c>
      <c r="I14" s="167" cm="1">
        <f t="array" ref="I14">IFERROR(_xlfn.SINGLE(INDEX(DATABASE!$AV$14:$BC$968,SUMPRODUCT((ROW(DATABASE!$AV$14:$AV$968)) * (DATABASE!$AV$14:BB$968='Résultats observations'!$A14 ) * (DATABASE!$AW$14:$AW$968= I$4))-ROW(DATABASE!$AV$14)+1,I$5)),"")</f>
        <v>823147.56550000003</v>
      </c>
      <c r="J14" s="167" cm="1">
        <f t="array" ref="J14">IFERROR(_xlfn.SINGLE(INDEX(DATABASE!$AV$14:$BC$968,SUMPRODUCT((ROW(DATABASE!$AV$14:$AV$968)) * (DATABASE!$AV$14:BC$968='Résultats observations'!$A14 ) * (DATABASE!$AW$14:$AW$968= J$4))-ROW(DATABASE!$AV$14)+1,J$5)),"")</f>
        <v>1091710.4103000001</v>
      </c>
      <c r="K14" s="167" cm="1">
        <f t="array" ref="K14">IFERROR(_xlfn.SINGLE(INDEX(DATABASE!$AV$14:$BC$968,SUMPRODUCT((ROW(DATABASE!$AV$14:$AV$968)) * (DATABASE!$AV$14:BD$968='Résultats observations'!$A14 ) * (DATABASE!$AW$14:$AW$968= K$4))-ROW(DATABASE!$AV$14)+1,K$5)),"")</f>
        <v>-122.3537</v>
      </c>
      <c r="L14" s="158" cm="1">
        <f t="array" ref="L14">IFERROR(_xlfn.SINGLE(INDEX(DATABASE!$AV$14:$BC$968,SUMPRODUCT((ROW(DATABASE!$AV$14:$AV$968)) * (DATABASE!$AV$14:BE$968='Résultats observations'!$A14 ) * (DATABASE!$AW$14:$AW$968= L$4))-ROW(DATABASE!$AV$14)+1,L$5)),"")</f>
        <v>823149.98959999997</v>
      </c>
      <c r="M14" s="158" cm="1">
        <f t="array" ref="M14">IFERROR(_xlfn.SINGLE(INDEX(DATABASE!$AV$14:$BC$968,SUMPRODUCT((ROW(DATABASE!$AV$14:$AV$968)) * (DATABASE!$AV$14:BF$968='Résultats observations'!$A14 ) * (DATABASE!$AW$14:$AW$968= M$4))-ROW(DATABASE!$AV$14)+1,M$5)),"")</f>
        <v>1091705.0819999999</v>
      </c>
      <c r="N14" s="158" cm="1">
        <f t="array" ref="N14">IFERROR(_xlfn.SINGLE(INDEX(DATABASE!$AV$14:$BC$968,SUMPRODUCT((ROW(DATABASE!$AV$14:$AV$968)) * (DATABASE!$AV$14:BG$968='Résultats observations'!$A14 ) * (DATABASE!$AW$14:$AW$968= N$4))-ROW(DATABASE!$AV$14)+1,N$5)),"")</f>
        <v>-121.7825</v>
      </c>
      <c r="O14" s="33">
        <f t="shared" si="0"/>
        <v>5.5273304134340169</v>
      </c>
      <c r="P14" s="33">
        <f t="shared" si="1"/>
        <v>5.700790764524184</v>
      </c>
      <c r="Q14" s="33">
        <f t="shared" si="2"/>
        <v>5.8816078704322603</v>
      </c>
      <c r="R14" s="35">
        <f t="shared" si="9"/>
        <v>-1.0441417221649374</v>
      </c>
      <c r="S14" s="35">
        <f t="shared" ref="S14:S15" si="40">IF(P14="","",(P14-P$11)*1000)</f>
        <v>-8.9106111182069014E-2</v>
      </c>
      <c r="T14" s="35">
        <v>0</v>
      </c>
      <c r="U14" s="34"/>
      <c r="V14" s="35">
        <f t="shared" ref="V14" si="41">IF(C14="","",(C14-C$10)*1000)</f>
        <v>0.50000008195638657</v>
      </c>
      <c r="W14" s="35">
        <f t="shared" ref="W14" si="42">IF(D14="","",(D14-D$10)*1000)</f>
        <v>-0.80000003799796104</v>
      </c>
      <c r="X14" s="35">
        <f t="shared" ref="X14" si="43">IF(E14="","",(E14-E$10)*1000)</f>
        <v>-2.0999999999986585</v>
      </c>
      <c r="Y14" s="35">
        <f t="shared" si="26"/>
        <v>1.2000000569969416</v>
      </c>
      <c r="Z14" s="35">
        <f t="shared" ref="Z14" si="44">IF(G14="","",(G14-G$11)*1000)</f>
        <v>0.40000001899898052</v>
      </c>
      <c r="AA14" s="35">
        <f t="shared" ref="AA14" si="45">IF(H14="","",(H14-H$11)*1000)</f>
        <v>-0.39999999999906777</v>
      </c>
      <c r="AB14" s="168">
        <v>0</v>
      </c>
      <c r="AC14" s="168">
        <v>0</v>
      </c>
      <c r="AD14" s="168">
        <v>0</v>
      </c>
      <c r="AE14" s="35">
        <f t="shared" ref="AE14" si="46">IF(L14="","",(L14-L$10)*1000)</f>
        <v>-0.25000004097819328</v>
      </c>
      <c r="AF14" s="35">
        <f t="shared" ref="AF14" si="47">IF(M14="","",(M14-M$10)*1000)</f>
        <v>-0.10000006295740604</v>
      </c>
      <c r="AG14" s="35">
        <f t="shared" ref="AG14" si="48">IF(N14="","",(N14-N$10)*1000)</f>
        <v>0.30000000000995897</v>
      </c>
      <c r="AH14" s="34"/>
      <c r="AI14" s="33" cm="1">
        <f t="array" ref="AI14">IFERROR(_xlfn.SINGLE(INDEX(DATABASE!$AV$14:$BC$968,SUMPRODUCT((ROW(DATABASE!$AV$14:$AV$968)) * (DATABASE!$AV$14:HY$968='Résultats observations'!$A14 ) * (DATABASE!$AW$14:$AW$968= AI$4))-ROW(DATABASE!$AV$14)+1,AI$5)),"")</f>
        <v>2.6867552107740744</v>
      </c>
      <c r="AJ14" s="33" cm="1">
        <f t="array" ref="AJ14">IFERROR(_xlfn.SINGLE(INDEX(DATABASE!$AV$14:$BC$968,SUMPRODUCT((ROW(DATABASE!$AV$14:$AV$968)) * (DATABASE!$AV$14:HZ$968='Résultats observations'!$A14 ) * (DATABASE!$AW$14:$AW$968= AJ$4))-ROW(DATABASE!$AV$14)+1,AJ$5)),"")</f>
        <v>7.7251784998288086E-3</v>
      </c>
      <c r="AK14" s="33" cm="1">
        <f t="array" ref="AK14">IFERROR(_xlfn.SINGLE(INDEX(DATABASE!$AV$14:$BC$968,SUMPRODUCT((ROW(DATABASE!$AV$14:$AV$968)) * (DATABASE!$AV$14:IA$968='Résultats observations'!$A14 ) * (DATABASE!$AW$14:$AW$968= AK$4))-ROW(DATABASE!$AV$14)+1,AK$5)),"")</f>
        <v>1.3844999999999885</v>
      </c>
      <c r="AL14" s="33" cm="1">
        <f t="array" ref="AL14">IFERROR(_xlfn.SINGLE(INDEX(DATABASE!$AV$14:$BC$968,SUMPRODUCT((ROW(DATABASE!$AV$14:$AV$968)) * (DATABASE!$AV$14:IB$968='Résultats observations'!$A14 ) * (DATABASE!$AW$14:$AW$968= AL$4))-ROW(DATABASE!$AV$14)+1,AL$5)),"")</f>
        <v>2.862940120681575</v>
      </c>
      <c r="AM14" s="33" cm="1">
        <f t="array" ref="AM14">IFERROR(_xlfn.SINGLE(INDEX(DATABASE!$AV$14:$BC$968,SUMPRODUCT((ROW(DATABASE!$AV$14:$AV$968)) * (DATABASE!$AV$14:IC$968='Résultats observations'!$A14 ) * (DATABASE!$AW$14:$AW$968= AM$4))-ROW(DATABASE!$AV$14)+1,AM$5)),"")</f>
        <v>2.6002146880396523E-2</v>
      </c>
      <c r="AN14" s="33" cm="1">
        <f t="array" ref="AN14">IFERROR(_xlfn.SINGLE(INDEX(DATABASE!$AV$14:$BC$968,SUMPRODUCT((ROW(DATABASE!$AV$14:$AV$968)) * (DATABASE!$AV$14:ID$968='Résultats observations'!$A14 ) * (DATABASE!$AW$14:$AW$968= AN$4))-ROW(DATABASE!$AV$14)+1,AN$5)),"")</f>
        <v>1.0463999999999913</v>
      </c>
      <c r="AO14" s="167" cm="1">
        <f t="array" ref="AO14">IFERROR(_xlfn.SINGLE(INDEX(DATABASE!$AV$14:$BC$968,SUMPRODUCT((ROW(DATABASE!$AV$14:$AV$968)) * (DATABASE!$AV$14:IE$968='Résultats observations'!$A14 ) * (DATABASE!$AW$14:$AW$968= AO$4))-ROW(DATABASE!$AV$14)+1,AO$5)),"")</f>
        <v>3.0170811158808348</v>
      </c>
      <c r="AP14" s="167" cm="1">
        <f t="array" ref="AP14">IFERROR(_xlfn.SINGLE(INDEX(DATABASE!$AV$14:$BC$968,SUMPRODUCT((ROW(DATABASE!$AV$14:$AV$968)) * (DATABASE!$AV$14:IF$968='Résultats observations'!$A14 ) * (DATABASE!$AW$14:$AW$968= AP$4))-ROW(DATABASE!$AV$14)+1,AP$5)),"")</f>
        <v>6.9307615547255855E-2</v>
      </c>
      <c r="AQ14" s="167" cm="1">
        <f t="array" ref="AQ14">IFERROR(_xlfn.SINGLE(INDEX(DATABASE!$AV$14:$BC$968,SUMPRODUCT((ROW(DATABASE!$AV$14:$AV$968)) * (DATABASE!$AV$14:IG$968='Résultats observations'!$A14 ) * (DATABASE!$AW$14:$AW$968= AQ$4))-ROW(DATABASE!$AV$14)+1,AQ$5)),"")</f>
        <v>0.60029999999999006</v>
      </c>
      <c r="AR14" s="33" cm="1">
        <f t="array" ref="AR14">IFERROR(_xlfn.SINGLE(INDEX(DATABASE!$AV$14:$BC$968,SUMPRODUCT((ROW(DATABASE!$AV$14:$AV$968)) * (DATABASE!$AV$14:IH$968='Résultats observations'!$A14 ) * (DATABASE!$AW$14:$AW$968= AR$4))-ROW(DATABASE!$AV$14)+1,AR$5)),"")</f>
        <v>-2.8364657563665241</v>
      </c>
      <c r="AS14" s="33" cm="1">
        <f t="array" ref="AS14">IFERROR(_xlfn.SINGLE(INDEX(DATABASE!$AV$14:$BC$968,SUMPRODUCT((ROW(DATABASE!$AV$14:$AV$968)) * (DATABASE!$AV$14:II$968='Résultats observations'!$A14 ) * (DATABASE!$AW$14:$AW$968= AS$4))-ROW(DATABASE!$AV$14)+1,AS$5)),"")</f>
        <v>1.4255677035823972E-2</v>
      </c>
      <c r="AT14" s="33" cm="1">
        <f t="array" ref="AT14">IFERROR(_xlfn.SINGLE(INDEX(DATABASE!$AV$14:$BC$968,SUMPRODUCT((ROW(DATABASE!$AV$14:$AV$968)) * (DATABASE!$AV$14:IJ$968='Résultats observations'!$A14 ) * (DATABASE!$AW$14:$AW$968= AT$4))-ROW(DATABASE!$AV$14)+1,AT$5)),"")</f>
        <v>1.1714999999999947</v>
      </c>
      <c r="AU14" s="34"/>
      <c r="AV14" s="35">
        <f t="shared" ref="AV14" si="49">IF(AI14="","",(AI14-AI$10)*1000)</f>
        <v>-0.93635927699420307</v>
      </c>
      <c r="AW14" s="35">
        <f t="shared" ref="AW14" si="50">IF(AJ14="","",(AJ14-AJ$10)*1000)</f>
        <v>0.11502802763174204</v>
      </c>
      <c r="AX14" s="35">
        <f t="shared" ref="AX14" si="51">IF(AK14="","",(AK14-AK$10)*1000)</f>
        <v>-2.0999999999986585</v>
      </c>
      <c r="AY14" s="35">
        <f t="shared" si="34"/>
        <v>-0.14466083124853313</v>
      </c>
      <c r="AZ14" s="35">
        <f t="shared" ref="AZ14" si="52">IF(AM14="","",(AM14-AM$11)*1000)</f>
        <v>1.2566118716179526</v>
      </c>
      <c r="BA14" s="35">
        <f t="shared" ref="BA14" si="53">IF(AN14="","",(AN14-AN$11)*1000)</f>
        <v>-0.39999999999906777</v>
      </c>
      <c r="BB14" s="85">
        <v>0</v>
      </c>
      <c r="BC14" s="85">
        <v>0</v>
      </c>
      <c r="BD14" s="85">
        <v>0</v>
      </c>
      <c r="BE14" s="35">
        <f t="shared" ref="BE14" si="54">IF(AR14="","",(AR14-AR$10)*1000)</f>
        <v>1.5032737792797235E-2</v>
      </c>
      <c r="BF14" s="35">
        <f t="shared" ref="BF14" si="55">IF(AS14="","",(AS14-AS$10)*1000)</f>
        <v>-0.26883833408825747</v>
      </c>
      <c r="BG14" s="35">
        <f t="shared" ref="BG14" si="56">IF(AT14="","",(AT14-AT$10)*1000)</f>
        <v>0.30000000000995897</v>
      </c>
    </row>
    <row r="15" spans="1:59" s="57" customFormat="1" ht="29.25" customHeight="1">
      <c r="A15" s="78">
        <v>45553</v>
      </c>
      <c r="B15" s="25">
        <f t="shared" ref="B15" si="57">A15-A$10</f>
        <v>21</v>
      </c>
      <c r="C15" s="80" cm="1">
        <f t="array" ref="C15">IFERROR(_xlfn.SINGLE(INDEX(DATABASE!$AV$14:$BC$968,SUMPRODUCT((ROW(DATABASE!$AV$14:$AV$968)) * (DATABASE!AV$14:$AV$968='Résultats observations'!$A15 ) * (DATABASE!$AW$14:$AW$968= C$4))-ROW(DATABASE!$AV$14)+1,C$5)),"")</f>
        <v>823147.64899999998</v>
      </c>
      <c r="D15" s="158" cm="1">
        <f t="array" ref="D15">IFERROR(_xlfn.SINGLE(INDEX(DATABASE!$AV$14:$BC$968,SUMPRODUCT((ROW(DATABASE!$AV$14:$AV$968)) * (DATABASE!$AV$14:AW$968='Résultats observations'!$A15 ) * (DATABASE!$AW$14:$AW$968= D$4))-ROW(DATABASE!$AV$14)+1,D$5)),"")</f>
        <v>1091710.0851</v>
      </c>
      <c r="E15" s="158" cm="1">
        <f t="array" ref="E15">IFERROR(_xlfn.SINGLE(INDEX(DATABASE!$AV$14:$BC$968,SUMPRODUCT((ROW(DATABASE!$AV$14:$AV$968)) * (DATABASE!$AV$14:AX$968='Résultats observations'!$A15 ) * (DATABASE!$AW$14:$AW$968= E$4))-ROW(DATABASE!$AV$14)+1,E$5)),"")</f>
        <v>-121.5698</v>
      </c>
      <c r="F15" s="158" cm="1">
        <f t="array" ref="F15">IFERROR(_xlfn.SINGLE(INDEX(DATABASE!$AV$14:$BC$968,SUMPRODUCT((ROW(DATABASE!$AV$14:$AV$968)) * (DATABASE!$AV$14:AY$968='Résultats observations'!$A15 ) * (DATABASE!$AW$14:$AW$968= F$4))-ROW(DATABASE!$AV$14)+1,F$5)),"")</f>
        <v>823147.59129999997</v>
      </c>
      <c r="G15" s="158" cm="1">
        <f t="array" ref="G15">IFERROR(_xlfn.SINGLE(INDEX(DATABASE!$AV$14:$BC$968,SUMPRODUCT((ROW(DATABASE!$AV$14:$AV$968)) * (DATABASE!$AV$14:AZ$968='Résultats observations'!$A15 ) * (DATABASE!$AW$14:$AW$968= G$4))-ROW(DATABASE!$AV$14)+1,G$5)),"")</f>
        <v>1091710.2524000001</v>
      </c>
      <c r="H15" s="158" cm="1">
        <f t="array" ref="H15">IFERROR(_xlfn.SINGLE(INDEX(DATABASE!$AV$14:$BC$968,SUMPRODUCT((ROW(DATABASE!$AV$14:$AV$968)) * (DATABASE!$AV$14:BA$968='Résultats observations'!$A15 ) * (DATABASE!$AW$14:$AW$968= H$4))-ROW(DATABASE!$AV$14)+1,H$5)),"")</f>
        <v>-121.90779999999999</v>
      </c>
      <c r="I15" s="167" cm="1">
        <f t="array" ref="I15">IFERROR(_xlfn.SINGLE(INDEX(DATABASE!$AV$14:$BC$968,SUMPRODUCT((ROW(DATABASE!$AV$14:$AV$968)) * (DATABASE!$AV$14:BB$968='Résultats observations'!$A15 ) * (DATABASE!$AW$14:$AW$968= I$4))-ROW(DATABASE!$AV$14)+1,I$5)),"")</f>
        <v>823147.56570000004</v>
      </c>
      <c r="J15" s="167" cm="1">
        <f t="array" ref="J15">IFERROR(_xlfn.SINGLE(INDEX(DATABASE!$AV$14:$BC$968,SUMPRODUCT((ROW(DATABASE!$AV$14:$AV$968)) * (DATABASE!$AV$14:BC$968='Résultats observations'!$A15 ) * (DATABASE!$AW$14:$AW$968= J$4))-ROW(DATABASE!$AV$14)+1,J$5)),"")</f>
        <v>1091710.4106000001</v>
      </c>
      <c r="K15" s="167" cm="1">
        <f t="array" ref="K15">IFERROR(_xlfn.SINGLE(INDEX(DATABASE!$AV$14:$BC$968,SUMPRODUCT((ROW(DATABASE!$AV$14:$AV$968)) * (DATABASE!$AV$14:BD$968='Résultats observations'!$A15 ) * (DATABASE!$AW$14:$AW$968= K$4))-ROW(DATABASE!$AV$14)+1,K$5)),"")</f>
        <v>-122.35380000000001</v>
      </c>
      <c r="L15" s="158" cm="1">
        <f t="array" ref="L15">IFERROR(_xlfn.SINGLE(INDEX(DATABASE!$AV$14:$BC$968,SUMPRODUCT((ROW(DATABASE!$AV$14:$AV$968)) * (DATABASE!$AV$14:BE$968='Résultats observations'!$A15 ) * (DATABASE!$AW$14:$AW$968= L$4))-ROW(DATABASE!$AV$14)+1,L$5)),"")</f>
        <v>823149.98979999998</v>
      </c>
      <c r="M15" s="158" cm="1">
        <f t="array" ref="M15">IFERROR(_xlfn.SINGLE(INDEX(DATABASE!$AV$14:$BC$968,SUMPRODUCT((ROW(DATABASE!$AV$14:$AV$968)) * (DATABASE!$AV$14:BF$968='Résultats observations'!$A15 ) * (DATABASE!$AW$14:$AW$968= M$4))-ROW(DATABASE!$AV$14)+1,M$5)),"")</f>
        <v>1091705.0822999999</v>
      </c>
      <c r="N15" s="158" cm="1">
        <f t="array" ref="N15">IFERROR(_xlfn.SINGLE(INDEX(DATABASE!$AV$14:$BC$968,SUMPRODUCT((ROW(DATABASE!$AV$14:$AV$968)) * (DATABASE!$AV$14:BG$968='Résultats observations'!$A15 ) * (DATABASE!$AW$14:$AW$968= N$4))-ROW(DATABASE!$AV$14)+1,N$5)),"")</f>
        <v>-121.7826</v>
      </c>
      <c r="O15" s="33">
        <f t="shared" si="0"/>
        <v>5.5274439229499164</v>
      </c>
      <c r="P15" s="33">
        <f t="shared" si="1"/>
        <v>5.7007377857902952</v>
      </c>
      <c r="Q15" s="33">
        <f t="shared" si="2"/>
        <v>5.8816078704322603</v>
      </c>
      <c r="R15" s="35">
        <f t="shared" si="9"/>
        <v>-0.93063220626543597</v>
      </c>
      <c r="S15" s="35">
        <f t="shared" si="40"/>
        <v>-0.14208484507083341</v>
      </c>
      <c r="T15" s="35">
        <f t="shared" ref="T15:T20" si="58">IF(Q15="","",(Q15-Q$14)*1000)</f>
        <v>0</v>
      </c>
      <c r="U15" s="34"/>
      <c r="V15" s="35">
        <f t="shared" ref="V15" si="59">IF(C15="","",(C15-C$10)*1000)</f>
        <v>0.20000000949949026</v>
      </c>
      <c r="W15" s="35">
        <f t="shared" ref="W15" si="60">IF(D15="","",(D15-D$10)*1000)</f>
        <v>-0.59999991208314896</v>
      </c>
      <c r="X15" s="35">
        <f t="shared" ref="X15" si="61">IF(E15="","",(E15-E$10)*1000)</f>
        <v>-2.3999999999944066</v>
      </c>
      <c r="Y15" s="35">
        <f t="shared" si="26"/>
        <v>1.0999999940395355</v>
      </c>
      <c r="Z15" s="35">
        <f t="shared" ref="Z15" si="62">IF(G15="","",(G15-G$11)*1000)</f>
        <v>0.50000008195638657</v>
      </c>
      <c r="AA15" s="35">
        <f t="shared" ref="AA15" si="63">IF(H15="","",(H15-H$11)*1000)</f>
        <v>-0.59999999999149622</v>
      </c>
      <c r="AB15" s="35">
        <f t="shared" ref="AB15:AB20" si="64">IF(I15="","",(I15-I$14)*1000)</f>
        <v>0.20000000949949026</v>
      </c>
      <c r="AC15" s="35">
        <f t="shared" ref="AC15:AD15" si="65">IF(J15="","",(J15-J$14)*1000)</f>
        <v>0.29999995604157448</v>
      </c>
      <c r="AD15" s="35">
        <f t="shared" si="65"/>
        <v>-0.10000000000331966</v>
      </c>
      <c r="AE15" s="35">
        <f t="shared" ref="AE15" si="66">IF(L15="","",(L15-L$10)*1000)</f>
        <v>-5.0000031478703022E-2</v>
      </c>
      <c r="AF15" s="35">
        <f t="shared" ref="AF15" si="67">IF(M15="","",(M15-M$10)*1000)</f>
        <v>0.19999989308416843</v>
      </c>
      <c r="AG15" s="35">
        <f t="shared" ref="AG15" si="68">IF(N15="","",(N15-N$10)*1000)</f>
        <v>0.20000000000663931</v>
      </c>
      <c r="AH15" s="34"/>
      <c r="AI15" s="33" cm="1">
        <f t="array" ref="AI15">IFERROR(_xlfn.SINGLE(INDEX(DATABASE!$AV$14:$BC$968,SUMPRODUCT((ROW(DATABASE!$AV$14:$AV$968)) * (DATABASE!$AV$14:HY$968='Résultats observations'!$A15 ) * (DATABASE!$AW$14:$AW$968= AI$4))-ROW(DATABASE!$AV$14)+1,AI$5)),"")</f>
        <v>2.6870632642207655</v>
      </c>
      <c r="AJ15" s="33" cm="1">
        <f t="array" ref="AJ15">IFERROR(_xlfn.SINGLE(INDEX(DATABASE!$AV$14:$BC$968,SUMPRODUCT((ROW(DATABASE!$AV$14:$AV$968)) * (DATABASE!$AV$14:HZ$968='Résultats observations'!$A15 ) * (DATABASE!$AW$14:$AW$968= AJ$4))-ROW(DATABASE!$AV$14)+1,AJ$5)),"")</f>
        <v>7.5378201057766025E-3</v>
      </c>
      <c r="AK15" s="33" cm="1">
        <f t="array" ref="AK15">IFERROR(_xlfn.SINGLE(INDEX(DATABASE!$AV$14:$BC$968,SUMPRODUCT((ROW(DATABASE!$AV$14:$AV$968)) * (DATABASE!$AV$14:IA$968='Résultats observations'!$A15 ) * (DATABASE!$AW$14:$AW$968= AK$4))-ROW(DATABASE!$AV$14)+1,AK$5)),"")</f>
        <v>1.3841999999999928</v>
      </c>
      <c r="AL15" s="33" cm="1">
        <f t="array" ref="AL15">IFERROR(_xlfn.SINGLE(INDEX(DATABASE!$AV$14:$BC$968,SUMPRODUCT((ROW(DATABASE!$AV$14:$AV$968)) * (DATABASE!$AV$14:IB$968='Résultats observations'!$A15 ) * (DATABASE!$AW$14:$AW$968= AL$4))-ROW(DATABASE!$AV$14)+1,AL$5)),"")</f>
        <v>2.8630730149876542</v>
      </c>
      <c r="AM15" s="33" cm="1">
        <f t="array" ref="AM15">IFERROR(_xlfn.SINGLE(INDEX(DATABASE!$AV$14:$BC$968,SUMPRODUCT((ROW(DATABASE!$AV$14:$AV$968)) * (DATABASE!$AV$14:IC$968='Résultats observations'!$A15 ) * (DATABASE!$AW$14:$AW$968= AM$4))-ROW(DATABASE!$AV$14)+1,AM$5)),"")</f>
        <v>2.5953782341788734E-2</v>
      </c>
      <c r="AN15" s="33" cm="1">
        <f t="array" ref="AN15">IFERROR(_xlfn.SINGLE(INDEX(DATABASE!$AV$14:$BC$968,SUMPRODUCT((ROW(DATABASE!$AV$14:$AV$968)) * (DATABASE!$AV$14:ID$968='Résultats observations'!$A15 ) * (DATABASE!$AW$14:$AW$968= AN$4))-ROW(DATABASE!$AV$14)+1,AN$5)),"")</f>
        <v>1.0461999999999989</v>
      </c>
      <c r="AO15" s="167" cm="1">
        <f t="array" ref="AO15">IFERROR(_xlfn.SINGLE(INDEX(DATABASE!$AV$14:$BC$968,SUMPRODUCT((ROW(DATABASE!$AV$14:$AV$968)) * (DATABASE!$AV$14:IE$968='Résultats observations'!$A15 ) * (DATABASE!$AW$14:$AW$968= AO$4))-ROW(DATABASE!$AV$14)+1,AO$5)),"")</f>
        <v>3.017268474218584</v>
      </c>
      <c r="AP15" s="167" cm="1">
        <f t="array" ref="AP15">IFERROR(_xlfn.SINGLE(INDEX(DATABASE!$AV$14:$BC$968,SUMPRODUCT((ROW(DATABASE!$AV$14:$AV$968)) * (DATABASE!$AV$14:IF$968='Résultats observations'!$A15 ) * (DATABASE!$AW$14:$AW$968= AP$4))-ROW(DATABASE!$AV$14)+1,AP$5)),"")</f>
        <v>6.9615668839237102E-2</v>
      </c>
      <c r="AQ15" s="167" cm="1">
        <f t="array" ref="AQ15">IFERROR(_xlfn.SINGLE(INDEX(DATABASE!$AV$14:$BC$968,SUMPRODUCT((ROW(DATABASE!$AV$14:$AV$968)) * (DATABASE!$AV$14:IG$968='Résultats observations'!$A15 ) * (DATABASE!$AW$14:$AW$968= AQ$4))-ROW(DATABASE!$AV$14)+1,AQ$5)),"")</f>
        <v>0.60019999999998674</v>
      </c>
      <c r="AR15" s="33" cm="1">
        <f t="array" ref="AR15">IFERROR(_xlfn.SINGLE(INDEX(DATABASE!$AV$14:$BC$968,SUMPRODUCT((ROW(DATABASE!$AV$14:$AV$968)) * (DATABASE!$AV$14:IH$968='Résultats observations'!$A15 ) * (DATABASE!$AW$14:$AW$968= AR$4))-ROW(DATABASE!$AV$14)+1,AR$5)),"")</f>
        <v>-2.8362783980287745</v>
      </c>
      <c r="AS15" s="33" cm="1">
        <f t="array" ref="AS15">IFERROR(_xlfn.SINGLE(INDEX(DATABASE!$AV$14:$BC$968,SUMPRODUCT((ROW(DATABASE!$AV$14:$AV$968)) * (DATABASE!$AV$14:II$968='Résultats observations'!$A15 ) * (DATABASE!$AW$14:$AW$968= AS$4))-ROW(DATABASE!$AV$14)+1,AS$5)),"")</f>
        <v>1.4563730327805554E-2</v>
      </c>
      <c r="AT15" s="33" cm="1">
        <f t="array" ref="AT15">IFERROR(_xlfn.SINGLE(INDEX(DATABASE!$AV$14:$BC$968,SUMPRODUCT((ROW(DATABASE!$AV$14:$AV$968)) * (DATABASE!$AV$14:IJ$968='Résultats observations'!$A15 ) * (DATABASE!$AW$14:$AW$968= AT$4))-ROW(DATABASE!$AV$14)+1,AT$5)),"")</f>
        <v>1.1713999999999913</v>
      </c>
      <c r="AU15" s="34"/>
      <c r="AV15" s="35">
        <f t="shared" ref="AV15" si="69">IF(AI15="","",(AI15-AI$10)*1000)</f>
        <v>-0.62830583030315523</v>
      </c>
      <c r="AW15" s="35">
        <f t="shared" ref="AW15" si="70">IF(AJ15="","",(AJ15-AJ$10)*1000)</f>
        <v>-7.2330366420464073E-2</v>
      </c>
      <c r="AX15" s="35">
        <f t="shared" ref="AX15" si="71">IF(AK15="","",(AK15-AK$10)*1000)</f>
        <v>-2.3999999999944066</v>
      </c>
      <c r="AY15" s="35">
        <f t="shared" si="34"/>
        <v>-1.1766525169321085E-2</v>
      </c>
      <c r="AZ15" s="35">
        <f t="shared" ref="AZ15" si="72">IF(AM15="","",(AM15-AM$11)*1000)</f>
        <v>1.2082473330101637</v>
      </c>
      <c r="BA15" s="35">
        <f t="shared" ref="BA15" si="73">IF(AN15="","",(AN15-AN$11)*1000)</f>
        <v>-0.59999999999149622</v>
      </c>
      <c r="BB15" s="35">
        <f t="shared" ref="BB15:BB20" si="74">IF(AO15="","",(AO15-AO$14)*1000)</f>
        <v>0.18735833774918831</v>
      </c>
      <c r="BC15" s="35">
        <f t="shared" ref="BC15:BD15" si="75">IF(AP15="","",(AP15-AP$14)*1000)</f>
        <v>0.30805329198124731</v>
      </c>
      <c r="BD15" s="35">
        <f t="shared" si="75"/>
        <v>-0.10000000000331966</v>
      </c>
      <c r="BE15" s="35">
        <f t="shared" ref="BE15" si="76">IF(AR15="","",(AR15-AR$10)*1000)</f>
        <v>0.20239107554242963</v>
      </c>
      <c r="BF15" s="35">
        <f t="shared" ref="BF15" si="77">IF(AS15="","",(AS15-AS$10)*1000)</f>
        <v>3.9214957893324645E-2</v>
      </c>
      <c r="BG15" s="35">
        <f t="shared" ref="BG15" si="78">IF(AT15="","",(AT15-AT$10)*1000)</f>
        <v>0.20000000000663931</v>
      </c>
    </row>
    <row r="16" spans="1:59" s="57" customFormat="1" ht="29.25" customHeight="1">
      <c r="A16" s="78">
        <v>45554</v>
      </c>
      <c r="B16" s="25">
        <f t="shared" ref="B16" si="79">A16-A$10</f>
        <v>22</v>
      </c>
      <c r="C16" s="80" cm="1">
        <f t="array" ref="C16">IFERROR(_xlfn.SINGLE(INDEX(DATABASE!$AV$14:$BC$968,SUMPRODUCT((ROW(DATABASE!$AV$14:$AV$968)) * (DATABASE!AV$14:$AV$968='Résultats observations'!$A16 ) * (DATABASE!$AW$14:$AW$968= C$4))-ROW(DATABASE!$AV$14)+1,C$5)),"")</f>
        <v>823147.64879999997</v>
      </c>
      <c r="D16" s="158" cm="1">
        <f t="array" ref="D16">IFERROR(_xlfn.SINGLE(INDEX(DATABASE!$AV$14:$BC$968,SUMPRODUCT((ROW(DATABASE!$AV$14:$AV$968)) * (DATABASE!$AV$14:AW$968='Résultats observations'!$A16 ) * (DATABASE!$AW$14:$AW$968= D$4))-ROW(DATABASE!$AV$14)+1,D$5)),"")</f>
        <v>1091710.08488</v>
      </c>
      <c r="E16" s="158" cm="1">
        <f t="array" ref="E16">IFERROR(_xlfn.SINGLE(INDEX(DATABASE!$AV$14:$BC$968,SUMPRODUCT((ROW(DATABASE!$AV$14:$AV$968)) * (DATABASE!$AV$14:AX$968='Résultats observations'!$A16 ) * (DATABASE!$AW$14:$AW$968= E$4))-ROW(DATABASE!$AV$14)+1,E$5)),"")</f>
        <v>-121.57022000000002</v>
      </c>
      <c r="F16" s="158" t="str" cm="1">
        <f t="array" ref="F16">IFERROR(_xlfn.SINGLE(INDEX(DATABASE!$AV$14:$BC$968,SUMPRODUCT((ROW(DATABASE!$AV$14:$AV$968)) * (DATABASE!$AV$14:AY$968='Résultats observations'!$A16 ) * (DATABASE!$AW$14:$AW$968= F$4))-ROW(DATABASE!$AV$14)+1,F$5)),"")</f>
        <v/>
      </c>
      <c r="G16" s="158" t="str" cm="1">
        <f t="array" ref="G16">IFERROR(_xlfn.SINGLE(INDEX(DATABASE!$AV$14:$BC$968,SUMPRODUCT((ROW(DATABASE!$AV$14:$AV$968)) * (DATABASE!$AV$14:AZ$968='Résultats observations'!$A16 ) * (DATABASE!$AW$14:$AW$968= G$4))-ROW(DATABASE!$AV$14)+1,G$5)),"")</f>
        <v/>
      </c>
      <c r="H16" s="158" t="str" cm="1">
        <f t="array" ref="H16">IFERROR(_xlfn.SINGLE(INDEX(DATABASE!$AV$14:$BC$968,SUMPRODUCT((ROW(DATABASE!$AV$14:$AV$968)) * (DATABASE!$AV$14:BA$968='Résultats observations'!$A16 ) * (DATABASE!$AW$14:$AW$968= H$4))-ROW(DATABASE!$AV$14)+1,H$5)),"")</f>
        <v/>
      </c>
      <c r="I16" s="167" cm="1">
        <f t="array" ref="I16">IFERROR(_xlfn.SINGLE(INDEX(DATABASE!$AV$14:$BC$968,SUMPRODUCT((ROW(DATABASE!$AV$14:$AV$968)) * (DATABASE!$AV$14:BB$968='Résultats observations'!$A16 ) * (DATABASE!$AW$14:$AW$968= I$4))-ROW(DATABASE!$AV$14)+1,I$5)),"")</f>
        <v>823147.56522142852</v>
      </c>
      <c r="J16" s="167" cm="1">
        <f t="array" ref="J16">IFERROR(_xlfn.SINGLE(INDEX(DATABASE!$AV$14:$BC$968,SUMPRODUCT((ROW(DATABASE!$AV$14:$AV$968)) * (DATABASE!$AV$14:BC$968='Résultats observations'!$A16 ) * (DATABASE!$AW$14:$AW$968= J$4))-ROW(DATABASE!$AV$14)+1,J$5)),"")</f>
        <v>1091710.4101571427</v>
      </c>
      <c r="K16" s="167" cm="1">
        <f t="array" ref="K16">IFERROR(_xlfn.SINGLE(INDEX(DATABASE!$AV$14:$BC$968,SUMPRODUCT((ROW(DATABASE!$AV$14:$AV$968)) * (DATABASE!$AV$14:BD$968='Résultats observations'!$A16 ) * (DATABASE!$AW$14:$AW$968= K$4))-ROW(DATABASE!$AV$14)+1,K$5)),"")</f>
        <v>-122.35412857142859</v>
      </c>
      <c r="L16" s="158" t="str" cm="1">
        <f t="array" ref="L16">IFERROR(_xlfn.SINGLE(INDEX(DATABASE!$AV$14:$BC$968,SUMPRODUCT((ROW(DATABASE!$AV$14:$AV$968)) * (DATABASE!$AV$14:BE$968='Résultats observations'!$A16 ) * (DATABASE!$AW$14:$AW$968= L$4))-ROW(DATABASE!$AV$14)+1,L$5)),"")</f>
        <v/>
      </c>
      <c r="M16" s="158" t="str" cm="1">
        <f t="array" ref="M16">IFERROR(_xlfn.SINGLE(INDEX(DATABASE!$AV$14:$BC$968,SUMPRODUCT((ROW(DATABASE!$AV$14:$AV$968)) * (DATABASE!$AV$14:BF$968='Résultats observations'!$A16 ) * (DATABASE!$AW$14:$AW$968= M$4))-ROW(DATABASE!$AV$14)+1,M$5)),"")</f>
        <v/>
      </c>
      <c r="N16" s="158" t="str" cm="1">
        <f t="array" ref="N16">IFERROR(_xlfn.SINGLE(INDEX(DATABASE!$AV$14:$BC$968,SUMPRODUCT((ROW(DATABASE!$AV$14:$AV$968)) * (DATABASE!$AV$14:BG$968='Résultats observations'!$A16 ) * (DATABASE!$AW$14:$AW$968= N$4))-ROW(DATABASE!$AV$14)+1,N$5)),"")</f>
        <v/>
      </c>
      <c r="O16" s="33" t="str">
        <f t="shared" si="0"/>
        <v/>
      </c>
      <c r="P16" s="33" t="str">
        <f t="shared" si="1"/>
        <v/>
      </c>
      <c r="Q16" s="33" t="str">
        <f t="shared" si="2"/>
        <v/>
      </c>
      <c r="R16" s="35" t="str">
        <f t="shared" ref="R16" si="80">IF(O16="","",(O16-O$10)*1000)</f>
        <v/>
      </c>
      <c r="S16" s="35" t="str">
        <f t="shared" ref="S16" si="81">IF(P16="","",(P16-P$11)*1000)</f>
        <v/>
      </c>
      <c r="T16" s="35" t="str">
        <f t="shared" si="58"/>
        <v/>
      </c>
      <c r="U16" s="34"/>
      <c r="V16" s="35">
        <f t="shared" ref="V16" si="82">IF(C16="","",(C16-C$10)*1000)</f>
        <v>0</v>
      </c>
      <c r="W16" s="35">
        <f t="shared" ref="W16" si="83">IF(D16="","",(D16-D$10)*1000)</f>
        <v>-0.81999995745718479</v>
      </c>
      <c r="X16" s="35">
        <f t="shared" ref="X16" si="84">IF(E16="","",(E16-E$10)*1000)</f>
        <v>-2.8200000000140335</v>
      </c>
      <c r="Y16" s="35" t="str">
        <f t="shared" si="26"/>
        <v/>
      </c>
      <c r="Z16" s="35" t="str">
        <f t="shared" ref="Z16" si="85">IF(G16="","",(G16-G$11)*1000)</f>
        <v/>
      </c>
      <c r="AA16" s="35" t="str">
        <f t="shared" ref="AA16" si="86">IF(H16="","",(H16-H$11)*1000)</f>
        <v/>
      </c>
      <c r="AB16" s="35">
        <f t="shared" si="64"/>
        <v>-0.27857150416821241</v>
      </c>
      <c r="AC16" s="35">
        <f t="shared" ref="AC16" si="87">IF(J16="","",(J16-J$14)*1000)</f>
        <v>-0.14285743236541748</v>
      </c>
      <c r="AD16" s="35">
        <f t="shared" ref="AD16" si="88">IF(K16="","",(K16-K$14)*1000)</f>
        <v>-0.42857142858565567</v>
      </c>
      <c r="AE16" s="35" t="str">
        <f t="shared" ref="AE16" si="89">IF(L16="","",(L16-L$10)*1000)</f>
        <v/>
      </c>
      <c r="AF16" s="35" t="str">
        <f t="shared" ref="AF16" si="90">IF(M16="","",(M16-M$10)*1000)</f>
        <v/>
      </c>
      <c r="AG16" s="35" t="str">
        <f t="shared" ref="AG16" si="91">IF(N16="","",(N16-N$10)*1000)</f>
        <v/>
      </c>
      <c r="AH16" s="34"/>
      <c r="AI16" s="33" cm="1">
        <f t="array" ref="AI16">IFERROR(_xlfn.SINGLE(INDEX(DATABASE!$AV$14:$BC$968,SUMPRODUCT((ROW(DATABASE!$AV$14:$AV$968)) * (DATABASE!$AV$14:HY$968='Résultats observations'!$A16 ) * (DATABASE!$AW$14:$AW$968= AI$4))-ROW(DATABASE!$AV$14)+1,AI$5)),"")</f>
        <v>2.686948409294283</v>
      </c>
      <c r="AJ16" s="33" cm="1">
        <f t="array" ref="AJ16">IFERROR(_xlfn.SINGLE(INDEX(DATABASE!$AV$14:$BC$968,SUMPRODUCT((ROW(DATABASE!$AV$14:$AV$968)) * (DATABASE!$AV$14:HZ$968='Résultats observations'!$A16 ) * (DATABASE!$AW$14:$AW$968= AJ$4))-ROW(DATABASE!$AV$14)+1,AJ$5)),"")</f>
        <v>7.2635786617408146E-3</v>
      </c>
      <c r="AK16" s="33" cm="1">
        <f t="array" ref="AK16">IFERROR(_xlfn.SINGLE(INDEX(DATABASE!$AV$14:$BC$968,SUMPRODUCT((ROW(DATABASE!$AV$14:$AV$968)) * (DATABASE!$AV$14:IA$968='Résultats observations'!$A16 ) * (DATABASE!$AW$14:$AW$968= AK$4))-ROW(DATABASE!$AV$14)+1,AK$5)),"")</f>
        <v>1.3837799999999731</v>
      </c>
      <c r="AL16" s="33" t="str" cm="1">
        <f t="array" ref="AL16">IFERROR(_xlfn.SINGLE(INDEX(DATABASE!$AV$14:$BC$968,SUMPRODUCT((ROW(DATABASE!$AV$14:$AV$968)) * (DATABASE!$AV$14:IB$968='Résultats observations'!$A16 ) * (DATABASE!$AW$14:$AW$968= AL$4))-ROW(DATABASE!$AV$14)+1,AL$5)),"")</f>
        <v/>
      </c>
      <c r="AM16" s="33" t="str" cm="1">
        <f t="array" ref="AM16">IFERROR(_xlfn.SINGLE(INDEX(DATABASE!$AV$14:$BC$968,SUMPRODUCT((ROW(DATABASE!$AV$14:$AV$968)) * (DATABASE!$AV$14:IC$968='Résultats observations'!$A16 ) * (DATABASE!$AW$14:$AW$968= AM$4))-ROW(DATABASE!$AV$14)+1,AM$5)),"")</f>
        <v/>
      </c>
      <c r="AN16" s="33" t="str" cm="1">
        <f t="array" ref="AN16">IFERROR(_xlfn.SINGLE(INDEX(DATABASE!$AV$14:$BC$968,SUMPRODUCT((ROW(DATABASE!$AV$14:$AV$968)) * (DATABASE!$AV$14:ID$968='Résultats observations'!$A16 ) * (DATABASE!$AW$14:$AW$968= AN$4))-ROW(DATABASE!$AV$14)+1,AN$5)),"")</f>
        <v/>
      </c>
      <c r="AO16" s="167" cm="1">
        <f t="array" ref="AO16">IFERROR(_xlfn.SINGLE(INDEX(DATABASE!$AV$14:$BC$968,SUMPRODUCT((ROW(DATABASE!$AV$14:$AV$968)) * (DATABASE!$AV$14:IE$968='Résultats observations'!$A16 ) * (DATABASE!$AW$14:$AW$968= AO$4))-ROW(DATABASE!$AV$14)+1,AO$5)),"")</f>
        <v>3.0170693829448503</v>
      </c>
      <c r="AP16" s="167" cm="1">
        <f t="array" ref="AP16">IFERROR(_xlfn.SINGLE(INDEX(DATABASE!$AV$14:$BC$968,SUMPRODUCT((ROW(DATABASE!$AV$14:$AV$968)) * (DATABASE!$AV$14:IF$968='Résultats observations'!$A16 ) * (DATABASE!$AW$14:$AW$968= AP$4))-ROW(DATABASE!$AV$14)+1,AP$5)),"")</f>
        <v>6.8994769471478271E-2</v>
      </c>
      <c r="AQ16" s="167" cm="1">
        <f t="array" ref="AQ16">IFERROR(_xlfn.SINGLE(INDEX(DATABASE!$AV$14:$BC$968,SUMPRODUCT((ROW(DATABASE!$AV$14:$AV$968)) * (DATABASE!$AV$14:IG$968='Résultats observations'!$A16 ) * (DATABASE!$AW$14:$AW$968= AQ$4))-ROW(DATABASE!$AV$14)+1,AQ$5)),"")</f>
        <v>0.59987142857140441</v>
      </c>
      <c r="AR16" s="33" t="str" cm="1">
        <f t="array" ref="AR16">IFERROR(_xlfn.SINGLE(INDEX(DATABASE!$AV$14:$BC$968,SUMPRODUCT((ROW(DATABASE!$AV$14:$AV$968)) * (DATABASE!$AV$14:IH$968='Résultats observations'!$A16 ) * (DATABASE!$AW$14:$AW$968= AR$4))-ROW(DATABASE!$AV$14)+1,AR$5)),"")</f>
        <v/>
      </c>
      <c r="AS16" s="33" t="str" cm="1">
        <f t="array" ref="AS16">IFERROR(_xlfn.SINGLE(INDEX(DATABASE!$AV$14:$BC$968,SUMPRODUCT((ROW(DATABASE!$AV$14:$AV$968)) * (DATABASE!$AV$14:II$968='Résultats observations'!$A16 ) * (DATABASE!$AW$14:$AW$968= AS$4))-ROW(DATABASE!$AV$14)+1,AS$5)),"")</f>
        <v/>
      </c>
      <c r="AT16" s="33" t="str" cm="1">
        <f t="array" ref="AT16">IFERROR(_xlfn.SINGLE(INDEX(DATABASE!$AV$14:$BC$968,SUMPRODUCT((ROW(DATABASE!$AV$14:$AV$968)) * (DATABASE!$AV$14:IJ$968='Résultats observations'!$A16 ) * (DATABASE!$AW$14:$AW$968= AT$4))-ROW(DATABASE!$AV$14)+1,AT$5)),"")</f>
        <v/>
      </c>
      <c r="AU16" s="34"/>
      <c r="AV16" s="35">
        <f t="shared" ref="AV16" si="92">IF(AI16="","",(AI16-AI$10)*1000)</f>
        <v>-0.74316075678559912</v>
      </c>
      <c r="AW16" s="35">
        <f t="shared" ref="AW16" si="93">IF(AJ16="","",(AJ16-AJ$10)*1000)</f>
        <v>-0.34657181045625196</v>
      </c>
      <c r="AX16" s="35">
        <f t="shared" ref="AX16" si="94">IF(AK16="","",(AK16-AK$10)*1000)</f>
        <v>-2.8200000000140335</v>
      </c>
      <c r="AY16" s="35" t="str">
        <f t="shared" si="34"/>
        <v/>
      </c>
      <c r="AZ16" s="35" t="str">
        <f t="shared" ref="AZ16" si="95">IF(AM16="","",(AM16-AM$11)*1000)</f>
        <v/>
      </c>
      <c r="BA16" s="35" t="str">
        <f t="shared" ref="BA16" si="96">IF(AN16="","",(AN16-AN$11)*1000)</f>
        <v/>
      </c>
      <c r="BB16" s="35">
        <f t="shared" si="74"/>
        <v>-1.173293598455416E-2</v>
      </c>
      <c r="BC16" s="35">
        <f t="shared" ref="BC16" si="97">IF(AP16="","",(AP16-AP$14)*1000)</f>
        <v>-0.31284607577758416</v>
      </c>
      <c r="BD16" s="35">
        <f t="shared" ref="BD16" si="98">IF(AQ16="","",(AQ16-AQ$14)*1000)</f>
        <v>-0.42857142858565567</v>
      </c>
      <c r="BE16" s="35" t="str">
        <f t="shared" ref="BE16" si="99">IF(AR16="","",(AR16-AR$10)*1000)</f>
        <v/>
      </c>
      <c r="BF16" s="35" t="str">
        <f t="shared" ref="BF16" si="100">IF(AS16="","",(AS16-AS$10)*1000)</f>
        <v/>
      </c>
      <c r="BG16" s="35" t="str">
        <f t="shared" ref="BG16" si="101">IF(AT16="","",(AT16-AT$10)*1000)</f>
        <v/>
      </c>
    </row>
    <row r="17" spans="1:59" s="57" customFormat="1" ht="29.25" customHeight="1">
      <c r="A17" s="78">
        <v>45557</v>
      </c>
      <c r="B17" s="25">
        <f t="shared" ref="B17" si="102">A17-A$10</f>
        <v>25</v>
      </c>
      <c r="C17" s="80" cm="1">
        <f t="array" ref="C17">IFERROR(_xlfn.SINGLE(INDEX(DATABASE!$AV$14:$BC$968,SUMPRODUCT((ROW(DATABASE!$AV$14:$AV$968)) * (DATABASE!AV$14:$AV$968='Résultats observations'!$A17 ) * (DATABASE!$AW$14:$AW$968= C$4))-ROW(DATABASE!$AV$14)+1,C$5)),"")</f>
        <v>823147.64899999998</v>
      </c>
      <c r="D17" s="158" cm="1">
        <f t="array" ref="D17">IFERROR(_xlfn.SINGLE(INDEX(DATABASE!$AV$14:$BC$968,SUMPRODUCT((ROW(DATABASE!$AV$14:$AV$968)) * (DATABASE!$AV$14:AW$968='Résultats observations'!$A17 ) * (DATABASE!$AW$14:$AW$968= D$4))-ROW(DATABASE!$AV$14)+1,D$5)),"")</f>
        <v>1091710.0848999999</v>
      </c>
      <c r="E17" s="158" cm="1">
        <f t="array" ref="E17">IFERROR(_xlfn.SINGLE(INDEX(DATABASE!$AV$14:$BC$968,SUMPRODUCT((ROW(DATABASE!$AV$14:$AV$968)) * (DATABASE!$AV$14:AX$968='Résultats observations'!$A17 ) * (DATABASE!$AW$14:$AW$968= E$4))-ROW(DATABASE!$AV$14)+1,E$5)),"")</f>
        <v>-121.5706</v>
      </c>
      <c r="F17" s="158" cm="1">
        <f t="array" ref="F17">IFERROR(_xlfn.SINGLE(INDEX(DATABASE!$AV$14:$BC$968,SUMPRODUCT((ROW(DATABASE!$AV$14:$AV$968)) * (DATABASE!$AV$14:AY$968='Résultats observations'!$A17 ) * (DATABASE!$AW$14:$AW$968= F$4))-ROW(DATABASE!$AV$14)+1,F$5)),"")</f>
        <v>823147.59149999998</v>
      </c>
      <c r="G17" s="158" cm="1">
        <f t="array" ref="G17">IFERROR(_xlfn.SINGLE(INDEX(DATABASE!$AV$14:$BC$968,SUMPRODUCT((ROW(DATABASE!$AV$14:$AV$968)) * (DATABASE!$AV$14:AZ$968='Résultats observations'!$A17 ) * (DATABASE!$AW$14:$AW$968= G$4))-ROW(DATABASE!$AV$14)+1,G$5)),"")</f>
        <v>1091710.2529</v>
      </c>
      <c r="H17" s="158" cm="1">
        <f t="array" ref="H17">IFERROR(_xlfn.SINGLE(INDEX(DATABASE!$AV$14:$BC$968,SUMPRODUCT((ROW(DATABASE!$AV$14:$AV$968)) * (DATABASE!$AV$14:BA$968='Résultats observations'!$A17 ) * (DATABASE!$AW$14:$AW$968= H$4))-ROW(DATABASE!$AV$14)+1,H$5)),"")</f>
        <v>-121.9084</v>
      </c>
      <c r="I17" s="167" cm="1">
        <f t="array" ref="I17">IFERROR(_xlfn.SINGLE(INDEX(DATABASE!$AV$14:$BC$968,SUMPRODUCT((ROW(DATABASE!$AV$14:$AV$968)) * (DATABASE!$AV$14:BB$968='Résultats observations'!$A17 ) * (DATABASE!$AW$14:$AW$968= I$4))-ROW(DATABASE!$AV$14)+1,I$5)),"")</f>
        <v>823147.56570000004</v>
      </c>
      <c r="J17" s="167" cm="1">
        <f t="array" ref="J17">IFERROR(_xlfn.SINGLE(INDEX(DATABASE!$AV$14:$BC$968,SUMPRODUCT((ROW(DATABASE!$AV$14:$AV$968)) * (DATABASE!$AV$14:BC$968='Résultats observations'!$A17 ) * (DATABASE!$AW$14:$AW$968= J$4))-ROW(DATABASE!$AV$14)+1,J$5)),"")</f>
        <v>1091710.4099000001</v>
      </c>
      <c r="K17" s="167" cm="1">
        <f t="array" ref="K17">IFERROR(_xlfn.SINGLE(INDEX(DATABASE!$AV$14:$BC$968,SUMPRODUCT((ROW(DATABASE!$AV$14:$AV$968)) * (DATABASE!$AV$14:BD$968='Résultats observations'!$A17 ) * (DATABASE!$AW$14:$AW$968= K$4))-ROW(DATABASE!$AV$14)+1,K$5)),"")</f>
        <v>-122.3548</v>
      </c>
      <c r="L17" s="158" cm="1">
        <f t="array" ref="L17">IFERROR(_xlfn.SINGLE(INDEX(DATABASE!$AV$14:$BC$968,SUMPRODUCT((ROW(DATABASE!$AV$14:$AV$968)) * (DATABASE!$AV$14:BE$968='Résultats observations'!$A17 ) * (DATABASE!$AW$14:$AW$968= L$4))-ROW(DATABASE!$AV$14)+1,L$5)),"")</f>
        <v>823149.98990000004</v>
      </c>
      <c r="M17" s="158" cm="1">
        <f t="array" ref="M17">IFERROR(_xlfn.SINGLE(INDEX(DATABASE!$AV$14:$BC$968,SUMPRODUCT((ROW(DATABASE!$AV$14:$AV$968)) * (DATABASE!$AV$14:BF$968='Résultats observations'!$A17 ) * (DATABASE!$AW$14:$AW$968= M$4))-ROW(DATABASE!$AV$14)+1,M$5)),"")</f>
        <v>1091705.0825</v>
      </c>
      <c r="N17" s="158" cm="1">
        <f t="array" ref="N17">IFERROR(_xlfn.SINGLE(INDEX(DATABASE!$AV$14:$BC$968,SUMPRODUCT((ROW(DATABASE!$AV$14:$AV$968)) * (DATABASE!$AV$14:BG$968='Résultats observations'!$A17 ) * (DATABASE!$AW$14:$AW$968= N$4))-ROW(DATABASE!$AV$14)+1,N$5)),"")</f>
        <v>-121.7829</v>
      </c>
      <c r="O17" s="33">
        <f t="shared" si="0"/>
        <v>5.5271050161120607</v>
      </c>
      <c r="P17" s="33">
        <f t="shared" si="1"/>
        <v>5.7009743877456227</v>
      </c>
      <c r="Q17" s="33">
        <f t="shared" si="2"/>
        <v>5.8809018025095421</v>
      </c>
      <c r="R17" s="35">
        <f t="shared" ref="R17" si="103">IF(O17="","",(O17-O$10)*1000)</f>
        <v>-1.2695390441210819</v>
      </c>
      <c r="S17" s="35">
        <f t="shared" ref="S17" si="104">IF(P17="","",(P17-P$11)*1000)</f>
        <v>9.4517110256653325E-2</v>
      </c>
      <c r="T17" s="35">
        <f t="shared" si="58"/>
        <v>-0.70606792271821206</v>
      </c>
      <c r="U17" s="34"/>
      <c r="V17" s="35">
        <f t="shared" ref="V17" si="105">IF(C17="","",(C17-C$10)*1000)</f>
        <v>0.20000000949949026</v>
      </c>
      <c r="W17" s="35">
        <f t="shared" ref="W17" si="106">IF(D17="","",(D17-D$10)*1000)</f>
        <v>-0.80000003799796104</v>
      </c>
      <c r="X17" s="35">
        <f t="shared" ref="X17" si="107">IF(E17="","",(E17-E$10)*1000)</f>
        <v>-3.1999999999925421</v>
      </c>
      <c r="Y17" s="35">
        <f t="shared" si="26"/>
        <v>1.3000000035390258</v>
      </c>
      <c r="Z17" s="35">
        <f t="shared" ref="Z17" si="108">IF(G17="","",(G17-G$11)*1000)</f>
        <v>0.99999993108212948</v>
      </c>
      <c r="AA17" s="35">
        <f t="shared" ref="AA17" si="109">IF(H17="","",(H17-H$11)*1000)</f>
        <v>-1.1999999999972033</v>
      </c>
      <c r="AB17" s="35">
        <f t="shared" si="64"/>
        <v>0.20000000949949026</v>
      </c>
      <c r="AC17" s="35">
        <f t="shared" ref="AC17" si="110">IF(J17="","",(J17-J$14)*1000)</f>
        <v>-0.40000001899898052</v>
      </c>
      <c r="AD17" s="35">
        <f t="shared" ref="AD17" si="111">IF(K17="","",(K17-K$14)*1000)</f>
        <v>-1.0999999999938836</v>
      </c>
      <c r="AE17" s="35">
        <f t="shared" ref="AE17" si="112">IF(L17="","",(L17-L$10)*1000)</f>
        <v>5.0000031478703022E-2</v>
      </c>
      <c r="AF17" s="35">
        <f t="shared" ref="AF17" si="113">IF(M17="","",(M17-M$10)*1000)</f>
        <v>0.40000001899898052</v>
      </c>
      <c r="AG17" s="35">
        <f t="shared" ref="AG17" si="114">IF(N17="","",(N17-N$10)*1000)</f>
        <v>-9.9999999989108801E-2</v>
      </c>
      <c r="AH17" s="34"/>
      <c r="AI17" s="33" cm="1">
        <f t="array" ref="AI17">IFERROR(_xlfn.SINGLE(INDEX(DATABASE!$AV$14:$BC$968,SUMPRODUCT((ROW(DATABASE!$AV$14:$AV$968)) * (DATABASE!$AV$14:HY$968='Résultats observations'!$A17 ) * (DATABASE!$AW$14:$AW$968= AI$4))-ROW(DATABASE!$AV$14)+1,AI$5)),"")</f>
        <v>2.6868820053760785</v>
      </c>
      <c r="AJ17" s="33" cm="1">
        <f t="array" ref="AJ17">IFERROR(_xlfn.SINGLE(INDEX(DATABASE!$AV$14:$BC$968,SUMPRODUCT((ROW(DATABASE!$AV$14:$AV$968)) * (DATABASE!$AV$14:HZ$968='Résultats observations'!$A17 ) * (DATABASE!$AW$14:$AW$968= AJ$4))-ROW(DATABASE!$AV$14)+1,AJ$5)),"")</f>
        <v>7.4532903383049539E-3</v>
      </c>
      <c r="AK17" s="33" cm="1">
        <f t="array" ref="AK17">IFERROR(_xlfn.SINGLE(INDEX(DATABASE!$AV$14:$BC$968,SUMPRODUCT((ROW(DATABASE!$AV$14:$AV$968)) * (DATABASE!$AV$14:IA$968='Résultats observations'!$A17 ) * (DATABASE!$AW$14:$AW$968= AK$4))-ROW(DATABASE!$AV$14)+1,AK$5)),"")</f>
        <v>1.3833999999999946</v>
      </c>
      <c r="AL17" s="33" cm="1">
        <f t="array" ref="AL17">IFERROR(_xlfn.SINGLE(INDEX(DATABASE!$AV$14:$BC$968,SUMPRODUCT((ROW(DATABASE!$AV$14:$AV$968)) * (DATABASE!$AV$14:IB$968='Résultats observations'!$A17 ) * (DATABASE!$AW$14:$AW$968= AL$4))-ROW(DATABASE!$AV$14)+1,AL$5)),"")</f>
        <v>2.863441631959077</v>
      </c>
      <c r="AM17" s="33" cm="1">
        <f t="array" ref="AM17">IFERROR(_xlfn.SINGLE(INDEX(DATABASE!$AV$14:$BC$968,SUMPRODUCT((ROW(DATABASE!$AV$14:$AV$968)) * (DATABASE!$AV$14:IC$968='Résultats observations'!$A17 ) * (DATABASE!$AW$14:$AW$968= AM$4))-ROW(DATABASE!$AV$14)+1,AM$5)),"")</f>
        <v>2.634636530283525E-2</v>
      </c>
      <c r="AN17" s="33" cm="1">
        <f t="array" ref="AN17">IFERROR(_xlfn.SINGLE(INDEX(DATABASE!$AV$14:$BC$968,SUMPRODUCT((ROW(DATABASE!$AV$14:$AV$968)) * (DATABASE!$AV$14:ID$968='Résultats observations'!$A17 ) * (DATABASE!$AW$14:$AW$968= AN$4))-ROW(DATABASE!$AV$14)+1,AN$5)),"")</f>
        <v>1.0455999999999932</v>
      </c>
      <c r="AO17" s="167" cm="1">
        <f t="array" ref="AO17">IFERROR(_xlfn.SINGLE(INDEX(DATABASE!$AV$14:$BC$968,SUMPRODUCT((ROW(DATABASE!$AV$14:$AV$968)) * (DATABASE!$AV$14:IE$968='Résultats observations'!$A17 ) * (DATABASE!$AW$14:$AW$968= AO$4))-ROW(DATABASE!$AV$14)+1,AO$5)),"")</f>
        <v>3.0166340686842052</v>
      </c>
      <c r="AP17" s="167" cm="1">
        <f t="array" ref="AP17">IFERROR(_xlfn.SINGLE(INDEX(DATABASE!$AV$14:$BC$968,SUMPRODUCT((ROW(DATABASE!$AV$14:$AV$968)) * (DATABASE!$AV$14:IF$968='Résultats observations'!$A17 ) * (DATABASE!$AW$14:$AW$968= AP$4))-ROW(DATABASE!$AV$14)+1,AP$5)),"")</f>
        <v>6.9319814849900532E-2</v>
      </c>
      <c r="AQ17" s="167" cm="1">
        <f t="array" ref="AQ17">IFERROR(_xlfn.SINGLE(INDEX(DATABASE!$AV$14:$BC$968,SUMPRODUCT((ROW(DATABASE!$AV$14:$AV$968)) * (DATABASE!$AV$14:IG$968='Résultats observations'!$A17 ) * (DATABASE!$AW$14:$AW$968= AQ$4))-ROW(DATABASE!$AV$14)+1,AQ$5)),"")</f>
        <v>0.59919999999999618</v>
      </c>
      <c r="AR17" s="33" cm="1">
        <f t="array" ref="AR17">IFERROR(_xlfn.SINGLE(INDEX(DATABASE!$AV$14:$BC$968,SUMPRODUCT((ROW(DATABASE!$AV$14:$AV$968)) * (DATABASE!$AV$14:IH$968='Résultats observations'!$A17 ) * (DATABASE!$AW$14:$AW$968= AR$4))-ROW(DATABASE!$AV$14)+1,AR$5)),"")</f>
        <v>-2.8361394040678238</v>
      </c>
      <c r="AS17" s="33" cm="1">
        <f t="array" ref="AS17">IFERROR(_xlfn.SINGLE(INDEX(DATABASE!$AV$14:$BC$968,SUMPRODUCT((ROW(DATABASE!$AV$14:$AV$968)) * (DATABASE!$AV$14:II$968='Résultats observations'!$A17 ) * (DATABASE!$AW$14:$AW$968= AS$4))-ROW(DATABASE!$AV$14)+1,AS$5)),"")</f>
        <v>1.4738889517620871E-2</v>
      </c>
      <c r="AT17" s="33" cm="1">
        <f t="array" ref="AT17">IFERROR(_xlfn.SINGLE(INDEX(DATABASE!$AV$14:$BC$968,SUMPRODUCT((ROW(DATABASE!$AV$14:$AV$968)) * (DATABASE!$AV$14:IJ$968='Résultats observations'!$A17 ) * (DATABASE!$AW$14:$AW$968= AT$4))-ROW(DATABASE!$AV$14)+1,AT$5)),"")</f>
        <v>1.1710999999999956</v>
      </c>
      <c r="AU17" s="34"/>
      <c r="AV17" s="35">
        <f t="shared" ref="AV17" si="115">IF(AI17="","",(AI17-AI$10)*1000)</f>
        <v>-0.80956467499015972</v>
      </c>
      <c r="AW17" s="35">
        <f t="shared" ref="AW17" si="116">IF(AJ17="","",(AJ17-AJ$10)*1000)</f>
        <v>-0.15686013389211267</v>
      </c>
      <c r="AX17" s="35">
        <f t="shared" ref="AX17" si="117">IF(AK17="","",(AK17-AK$10)*1000)</f>
        <v>-3.1999999999925421</v>
      </c>
      <c r="AY17" s="35">
        <f t="shared" si="34"/>
        <v>0.35685044625344275</v>
      </c>
      <c r="AZ17" s="35">
        <f t="shared" ref="AZ17" si="118">IF(AM17="","",(AM17-AM$11)*1000)</f>
        <v>1.6008302940566792</v>
      </c>
      <c r="BA17" s="35">
        <f t="shared" ref="BA17" si="119">IF(AN17="","",(AN17-AN$11)*1000)</f>
        <v>-1.1999999999972033</v>
      </c>
      <c r="BB17" s="35">
        <f t="shared" si="74"/>
        <v>-0.4470471966295797</v>
      </c>
      <c r="BC17" s="35">
        <f t="shared" ref="BC17" si="120">IF(AP17="","",(AP17-AP$14)*1000)</f>
        <v>1.2199302644677612E-2</v>
      </c>
      <c r="BD17" s="35">
        <f t="shared" ref="BD17" si="121">IF(AQ17="","",(AQ17-AQ$14)*1000)</f>
        <v>-1.0999999999938836</v>
      </c>
      <c r="BE17" s="35">
        <f t="shared" ref="BE17" si="122">IF(AR17="","",(AR17-AR$10)*1000)</f>
        <v>0.34138503649305818</v>
      </c>
      <c r="BF17" s="35">
        <f t="shared" ref="BF17" si="123">IF(AS17="","",(AS17-AS$10)*1000)</f>
        <v>0.21437414770864199</v>
      </c>
      <c r="BG17" s="35">
        <f t="shared" ref="BG17" si="124">IF(AT17="","",(AT17-AT$10)*1000)</f>
        <v>-9.9999999989108801E-2</v>
      </c>
    </row>
    <row r="18" spans="1:59" s="57" customFormat="1" ht="29.25" customHeight="1">
      <c r="A18" s="78">
        <v>45558</v>
      </c>
      <c r="B18" s="25">
        <f t="shared" ref="B18" si="125">A18-A$10</f>
        <v>26</v>
      </c>
      <c r="C18" s="80" cm="1">
        <f t="array" ref="C18">IFERROR(_xlfn.SINGLE(INDEX(DATABASE!$AV$14:$BC$968,SUMPRODUCT((ROW(DATABASE!$AV$14:$AV$968)) * (DATABASE!AV$14:$AV$968='Résultats observations'!$A18 ) * (DATABASE!$AW$14:$AW$968= C$4))-ROW(DATABASE!$AV$14)+1,C$5)),"")</f>
        <v>823147.64910000004</v>
      </c>
      <c r="D18" s="158" cm="1">
        <f t="array" ref="D18">IFERROR(_xlfn.SINGLE(INDEX(DATABASE!$AV$14:$BC$968,SUMPRODUCT((ROW(DATABASE!$AV$14:$AV$968)) * (DATABASE!$AV$14:AW$968='Résultats observations'!$A18 ) * (DATABASE!$AW$14:$AW$968= D$4))-ROW(DATABASE!$AV$14)+1,D$5)),"")</f>
        <v>1091710.0851</v>
      </c>
      <c r="E18" s="158" cm="1">
        <f t="array" ref="E18">IFERROR(_xlfn.SINGLE(INDEX(DATABASE!$AV$14:$BC$968,SUMPRODUCT((ROW(DATABASE!$AV$14:$AV$968)) * (DATABASE!$AV$14:AX$968='Résultats observations'!$A18 ) * (DATABASE!$AW$14:$AW$968= E$4))-ROW(DATABASE!$AV$14)+1,E$5)),"")</f>
        <v>-121.57040000000001</v>
      </c>
      <c r="F18" s="158" cm="1">
        <f t="array" ref="F18">IFERROR(_xlfn.SINGLE(INDEX(DATABASE!$AV$14:$BC$968,SUMPRODUCT((ROW(DATABASE!$AV$14:$AV$968)) * (DATABASE!$AV$14:AY$968='Résultats observations'!$A18 ) * (DATABASE!$AW$14:$AW$968= F$4))-ROW(DATABASE!$AV$14)+1,F$5)),"")</f>
        <v>823147.59140000003</v>
      </c>
      <c r="G18" s="158" cm="1">
        <f t="array" ref="G18">IFERROR(_xlfn.SINGLE(INDEX(DATABASE!$AV$14:$BC$968,SUMPRODUCT((ROW(DATABASE!$AV$14:$AV$968)) * (DATABASE!$AV$14:AZ$968='Résultats observations'!$A18 ) * (DATABASE!$AW$14:$AW$968= G$4))-ROW(DATABASE!$AV$14)+1,G$5)),"")</f>
        <v>1091710.2527000001</v>
      </c>
      <c r="H18" s="158" cm="1">
        <f t="array" ref="H18">IFERROR(_xlfn.SINGLE(INDEX(DATABASE!$AV$14:$BC$968,SUMPRODUCT((ROW(DATABASE!$AV$14:$AV$968)) * (DATABASE!$AV$14:BA$968='Résultats observations'!$A18 ) * (DATABASE!$AW$14:$AW$968= H$4))-ROW(DATABASE!$AV$14)+1,H$5)),"")</f>
        <v>-121.9083</v>
      </c>
      <c r="I18" s="167" cm="1">
        <f t="array" ref="I18">IFERROR(_xlfn.SINGLE(INDEX(DATABASE!$AV$14:$BC$968,SUMPRODUCT((ROW(DATABASE!$AV$14:$AV$968)) * (DATABASE!$AV$14:BB$968='Résultats observations'!$A18 ) * (DATABASE!$AW$14:$AW$968= I$4))-ROW(DATABASE!$AV$14)+1,I$5)),"")</f>
        <v>823147.56550000003</v>
      </c>
      <c r="J18" s="167" cm="1">
        <f t="array" ref="J18">IFERROR(_xlfn.SINGLE(INDEX(DATABASE!$AV$14:$BC$968,SUMPRODUCT((ROW(DATABASE!$AV$14:$AV$968)) * (DATABASE!$AV$14:BC$968='Résultats observations'!$A18 ) * (DATABASE!$AW$14:$AW$968= J$4))-ROW(DATABASE!$AV$14)+1,J$5)),"")</f>
        <v>1091710.4097333334</v>
      </c>
      <c r="K18" s="167" cm="1">
        <f t="array" ref="K18">IFERROR(_xlfn.SINGLE(INDEX(DATABASE!$AV$14:$BC$968,SUMPRODUCT((ROW(DATABASE!$AV$14:$AV$968)) * (DATABASE!$AV$14:BD$968='Résultats observations'!$A18 ) * (DATABASE!$AW$14:$AW$968= K$4))-ROW(DATABASE!$AV$14)+1,K$5)),"")</f>
        <v>-122.35456666666668</v>
      </c>
      <c r="L18" s="158" cm="1">
        <f t="array" ref="L18">IFERROR(_xlfn.SINGLE(INDEX(DATABASE!$AV$14:$BC$968,SUMPRODUCT((ROW(DATABASE!$AV$14:$AV$968)) * (DATABASE!$AV$14:BE$968='Résultats observations'!$A18 ) * (DATABASE!$AW$14:$AW$968= L$4))-ROW(DATABASE!$AV$14)+1,L$5)),"")</f>
        <v>823149.98939999996</v>
      </c>
      <c r="M18" s="158" cm="1">
        <f t="array" ref="M18">IFERROR(_xlfn.SINGLE(INDEX(DATABASE!$AV$14:$BC$968,SUMPRODUCT((ROW(DATABASE!$AV$14:$AV$968)) * (DATABASE!$AV$14:BF$968='Résultats observations'!$A18 ) * (DATABASE!$AW$14:$AW$968= M$4))-ROW(DATABASE!$AV$14)+1,M$5)),"")</f>
        <v>1091705.0822000001</v>
      </c>
      <c r="N18" s="158" cm="1">
        <f t="array" ref="N18">IFERROR(_xlfn.SINGLE(INDEX(DATABASE!$AV$14:$BC$968,SUMPRODUCT((ROW(DATABASE!$AV$14:$AV$968)) * (DATABASE!$AV$14:BG$968='Résultats observations'!$A18 ) * (DATABASE!$AW$14:$AW$968= N$4))-ROW(DATABASE!$AV$14)+1,N$5)),"")</f>
        <v>-121.78279999999999</v>
      </c>
      <c r="O18" s="33">
        <f t="shared" si="0"/>
        <v>5.5273073244820266</v>
      </c>
      <c r="P18" s="33">
        <f t="shared" si="1"/>
        <v>5.7008968153908137</v>
      </c>
      <c r="Q18" s="33">
        <f t="shared" si="2"/>
        <v>5.8808859662926789</v>
      </c>
      <c r="R18" s="35">
        <f t="shared" ref="R18" si="126">IF(O18="","",(O18-O$10)*1000)</f>
        <v>-1.0672306741552617</v>
      </c>
      <c r="S18" s="35">
        <f t="shared" ref="S18" si="127">IF(P18="","",(P18-P$11)*1000)</f>
        <v>1.6944755447667603E-2</v>
      </c>
      <c r="T18" s="35">
        <f t="shared" si="58"/>
        <v>-0.72190413958139743</v>
      </c>
      <c r="U18" s="34"/>
      <c r="V18" s="35">
        <f t="shared" ref="V18" si="128">IF(C18="","",(C18-C$10)*1000)</f>
        <v>0.30000007245689631</v>
      </c>
      <c r="W18" s="35">
        <f t="shared" ref="W18" si="129">IF(D18="","",(D18-D$10)*1000)</f>
        <v>-0.59999991208314896</v>
      </c>
      <c r="X18" s="35">
        <f t="shared" ref="X18" si="130">IF(E18="","",(E18-E$10)*1000)</f>
        <v>-3.0000000000001137</v>
      </c>
      <c r="Y18" s="35">
        <f t="shared" si="26"/>
        <v>1.2000000569969416</v>
      </c>
      <c r="Z18" s="35">
        <f t="shared" ref="Z18" si="131">IF(G18="","",(G18-G$11)*1000)</f>
        <v>0.80000003799796104</v>
      </c>
      <c r="AA18" s="35">
        <f t="shared" ref="AA18" si="132">IF(H18="","",(H18-H$11)*1000)</f>
        <v>-1.0999999999938836</v>
      </c>
      <c r="AB18" s="35">
        <f t="shared" si="64"/>
        <v>0</v>
      </c>
      <c r="AC18" s="35">
        <f t="shared" ref="AC18" si="133">IF(J18="","",(J18-J$14)*1000)</f>
        <v>-0.56666671298444271</v>
      </c>
      <c r="AD18" s="35">
        <f t="shared" ref="AD18" si="134">IF(K18="","",(K18-K$14)*1000)</f>
        <v>-0.86666666668122616</v>
      </c>
      <c r="AE18" s="35">
        <f t="shared" ref="AE18" si="135">IF(L18="","",(L18-L$10)*1000)</f>
        <v>-0.45000005047768354</v>
      </c>
      <c r="AF18" s="35">
        <f t="shared" ref="AF18" si="136">IF(M18="","",(M18-M$10)*1000)</f>
        <v>0.10000006295740604</v>
      </c>
      <c r="AG18" s="35">
        <f t="shared" ref="AG18" si="137">IF(N18="","",(N18-N$10)*1000)</f>
        <v>1.4210854715202004E-11</v>
      </c>
      <c r="AH18" s="34"/>
      <c r="AI18" s="33" cm="1">
        <f t="array" ref="AI18">IFERROR(_xlfn.SINGLE(INDEX(DATABASE!$AV$14:$BC$968,SUMPRODUCT((ROW(DATABASE!$AV$14:$AV$968)) * (DATABASE!$AV$14:HY$968='Résultats observations'!$A18 ) * (DATABASE!$AW$14:$AW$968= AI$4))-ROW(DATABASE!$AV$14)+1,AI$5)),"")</f>
        <v>2.68702099933703</v>
      </c>
      <c r="AJ18" s="33" cm="1">
        <f t="array" ref="AJ18">IFERROR(_xlfn.SINGLE(INDEX(DATABASE!$AV$14:$BC$968,SUMPRODUCT((ROW(DATABASE!$AV$14:$AV$968)) * (DATABASE!$AV$14:HZ$968='Résultats observations'!$A18 ) * (DATABASE!$AW$14:$AW$968= AJ$4))-ROW(DATABASE!$AV$14)+1,AJ$5)),"")</f>
        <v>7.62844952812077E-3</v>
      </c>
      <c r="AK18" s="33" cm="1">
        <f t="array" ref="AK18">IFERROR(_xlfn.SINGLE(INDEX(DATABASE!$AV$14:$BC$968,SUMPRODUCT((ROW(DATABASE!$AV$14:$AV$968)) * (DATABASE!$AV$14:IA$968='Résultats observations'!$A18 ) * (DATABASE!$AW$14:$AW$968= AK$4))-ROW(DATABASE!$AV$14)+1,AK$5)),"")</f>
        <v>1.3835999999999871</v>
      </c>
      <c r="AL18" s="33" cm="1">
        <f t="array" ref="AL18">IFERROR(_xlfn.SINGLE(INDEX(DATABASE!$AV$14:$BC$968,SUMPRODUCT((ROW(DATABASE!$AV$14:$AV$968)) * (DATABASE!$AV$14:IB$968='Résultats observations'!$A18 ) * (DATABASE!$AW$14:$AW$968= AL$4))-ROW(DATABASE!$AV$14)+1,AL$5)),"")</f>
        <v>2.863302638159936</v>
      </c>
      <c r="AM18" s="33" cm="1">
        <f t="array" ref="AM18">IFERROR(_xlfn.SINGLE(INDEX(DATABASE!$AV$14:$BC$968,SUMPRODUCT((ROW(DATABASE!$AV$14:$AV$968)) * (DATABASE!$AV$14:IC$968='Résultats observations'!$A18 ) * (DATABASE!$AW$14:$AW$968= AM$4))-ROW(DATABASE!$AV$14)+1,AM$5)),"")</f>
        <v>2.6171206316932986E-2</v>
      </c>
      <c r="AN18" s="33" cm="1">
        <f t="array" ref="AN18">IFERROR(_xlfn.SINGLE(INDEX(DATABASE!$AV$14:$BC$968,SUMPRODUCT((ROW(DATABASE!$AV$14:$AV$968)) * (DATABASE!$AV$14:ID$968='Résultats observations'!$A18 ) * (DATABASE!$AW$14:$AW$968= AN$4))-ROW(DATABASE!$AV$14)+1,AN$5)),"")</f>
        <v>1.0456999999999965</v>
      </c>
      <c r="AO18" s="167" cm="1">
        <f t="array" ref="AO18">IFERROR(_xlfn.SINGLE(INDEX(DATABASE!$AV$14:$BC$968,SUMPRODUCT((ROW(DATABASE!$AV$14:$AV$968)) * (DATABASE!$AV$14:IE$968='Résultats observations'!$A18 ) * (DATABASE!$AW$14:$AW$968= AO$4))-ROW(DATABASE!$AV$14)+1,AO$5)),"")</f>
        <v>3.0165675494355719</v>
      </c>
      <c r="AP18" s="167" cm="1">
        <f t="array" ref="AP18">IFERROR(_xlfn.SINGLE(INDEX(DATABASE!$AV$14:$BC$968,SUMPRODUCT((ROW(DATABASE!$AV$14:$AV$968)) * (DATABASE!$AV$14:IF$968='Résultats observations'!$A18 ) * (DATABASE!$AW$14:$AW$968= AP$4))-ROW(DATABASE!$AV$14)+1,AP$5)),"")</f>
        <v>6.906811467062951E-2</v>
      </c>
      <c r="AQ18" s="167" cm="1">
        <f t="array" ref="AQ18">IFERROR(_xlfn.SINGLE(INDEX(DATABASE!$AV$14:$BC$968,SUMPRODUCT((ROW(DATABASE!$AV$14:$AV$968)) * (DATABASE!$AV$14:IG$968='Résultats observations'!$A18 ) * (DATABASE!$AW$14:$AW$968= AQ$4))-ROW(DATABASE!$AV$14)+1,AQ$5)),"")</f>
        <v>0.59943333333330884</v>
      </c>
      <c r="AR18" s="33" cm="1">
        <f t="array" ref="AR18">IFERROR(_xlfn.SINGLE(INDEX(DATABASE!$AV$14:$BC$968,SUMPRODUCT((ROW(DATABASE!$AV$14:$AV$968)) * (DATABASE!$AV$14:IH$968='Résultats observations'!$A18 ) * (DATABASE!$AW$14:$AW$968= AR$4))-ROW(DATABASE!$AV$14)+1,AR$5)),"")</f>
        <v>-2.836199967803569</v>
      </c>
      <c r="AS18" s="33" cm="1">
        <f t="array" ref="AS18">IFERROR(_xlfn.SINGLE(INDEX(DATABASE!$AV$14:$BC$968,SUMPRODUCT((ROW(DATABASE!$AV$14:$AV$968)) * (DATABASE!$AV$14:II$968='Résultats observations'!$A18 ) * (DATABASE!$AW$14:$AW$968= AS$4))-ROW(DATABASE!$AV$14)+1,AS$5)),"")</f>
        <v>1.4158948064115631E-2</v>
      </c>
      <c r="AT18" s="33" cm="1">
        <f t="array" ref="AT18">IFERROR(_xlfn.SINGLE(INDEX(DATABASE!$AV$14:$BC$968,SUMPRODUCT((ROW(DATABASE!$AV$14:$AV$968)) * (DATABASE!$AV$14:IJ$968='Résultats observations'!$A18 ) * (DATABASE!$AW$14:$AW$968= AT$4))-ROW(DATABASE!$AV$14)+1,AT$5)),"")</f>
        <v>1.1711999999999989</v>
      </c>
      <c r="AU18" s="34"/>
      <c r="AV18" s="35">
        <f t="shared" ref="AV18" si="138">IF(AI18="","",(AI18-AI$10)*1000)</f>
        <v>-0.67057071403864299</v>
      </c>
      <c r="AW18" s="35">
        <f t="shared" ref="AW18" si="139">IF(AJ18="","",(AJ18-AJ$10)*1000)</f>
        <v>1.8299055923703435E-2</v>
      </c>
      <c r="AX18" s="35">
        <f t="shared" ref="AX18" si="140">IF(AK18="","",(AK18-AK$10)*1000)</f>
        <v>-3.0000000000001137</v>
      </c>
      <c r="AY18" s="35">
        <f t="shared" si="34"/>
        <v>0.21785664711249098</v>
      </c>
      <c r="AZ18" s="35">
        <f t="shared" ref="AZ18" si="141">IF(AM18="","",(AM18-AM$11)*1000)</f>
        <v>1.425671308154415</v>
      </c>
      <c r="BA18" s="35">
        <f t="shared" ref="BA18" si="142">IF(AN18="","",(AN18-AN$11)*1000)</f>
        <v>-1.0999999999938836</v>
      </c>
      <c r="BB18" s="35">
        <f t="shared" si="74"/>
        <v>-0.51356644526290296</v>
      </c>
      <c r="BC18" s="35">
        <f t="shared" ref="BC18" si="143">IF(AP18="","",(AP18-AP$14)*1000)</f>
        <v>-0.23950087662634456</v>
      </c>
      <c r="BD18" s="35">
        <f t="shared" ref="BD18" si="144">IF(AQ18="","",(AQ18-AQ$14)*1000)</f>
        <v>-0.86666666668122616</v>
      </c>
      <c r="BE18" s="35">
        <f t="shared" ref="BE18" si="145">IF(AR18="","",(AR18-AR$10)*1000)</f>
        <v>0.28082130074791323</v>
      </c>
      <c r="BF18" s="35">
        <f t="shared" ref="BF18" si="146">IF(AS18="","",(AS18-AS$10)*1000)</f>
        <v>-0.3655673057965988</v>
      </c>
      <c r="BG18" s="35">
        <f t="shared" ref="BG18" si="147">IF(AT18="","",(AT18-AT$10)*1000)</f>
        <v>1.4210854715202004E-11</v>
      </c>
    </row>
    <row r="19" spans="1:59" s="57" customFormat="1" ht="29.25" customHeight="1">
      <c r="A19" s="78">
        <v>45559</v>
      </c>
      <c r="B19" s="25">
        <f t="shared" ref="B19:B20" si="148">A19-A$10</f>
        <v>27</v>
      </c>
      <c r="C19" s="80" cm="1">
        <f t="array" ref="C19">IFERROR(_xlfn.SINGLE(INDEX(DATABASE!$AV$14:$BC$968,SUMPRODUCT((ROW(DATABASE!$AV$14:$AV$968)) * (DATABASE!AV$14:$AV$968='Résultats observations'!$A19 ) * (DATABASE!$AW$14:$AW$968= C$4))-ROW(DATABASE!$AV$14)+1,C$5)),"")</f>
        <v>823147.64919999999</v>
      </c>
      <c r="D19" s="158" cm="1">
        <f t="array" ref="D19">IFERROR(_xlfn.SINGLE(INDEX(DATABASE!$AV$14:$BC$968,SUMPRODUCT((ROW(DATABASE!$AV$14:$AV$968)) * (DATABASE!$AV$14:AW$968='Résultats observations'!$A19 ) * (DATABASE!$AW$14:$AW$968= D$4))-ROW(DATABASE!$AV$14)+1,D$5)),"")</f>
        <v>1091710.0848999999</v>
      </c>
      <c r="E19" s="158" cm="1">
        <f t="array" ref="E19">IFERROR(_xlfn.SINGLE(INDEX(DATABASE!$AV$14:$BC$968,SUMPRODUCT((ROW(DATABASE!$AV$14:$AV$968)) * (DATABASE!$AV$14:AX$968='Résultats observations'!$A19 ) * (DATABASE!$AW$14:$AW$968= E$4))-ROW(DATABASE!$AV$14)+1,E$5)),"")</f>
        <v>-121.5701</v>
      </c>
      <c r="F19" s="158" cm="1">
        <f t="array" ref="F19">IFERROR(_xlfn.SINGLE(INDEX(DATABASE!$AV$14:$BC$968,SUMPRODUCT((ROW(DATABASE!$AV$14:$AV$968)) * (DATABASE!$AV$14:AY$968='Résultats observations'!$A19 ) * (DATABASE!$AW$14:$AW$968= F$4))-ROW(DATABASE!$AV$14)+1,F$5)),"")</f>
        <v>823147.59199999995</v>
      </c>
      <c r="G19" s="158" cm="1">
        <f t="array" ref="G19">IFERROR(_xlfn.SINGLE(INDEX(DATABASE!$AV$14:$BC$968,SUMPRODUCT((ROW(DATABASE!$AV$14:$AV$968)) * (DATABASE!$AV$14:AZ$968='Résultats observations'!$A19 ) * (DATABASE!$AW$14:$AW$968= G$4))-ROW(DATABASE!$AV$14)+1,G$5)),"")</f>
        <v>1091710.2527000001</v>
      </c>
      <c r="H19" s="158" cm="1">
        <f t="array" ref="H19">IFERROR(_xlfn.SINGLE(INDEX(DATABASE!$AV$14:$BC$968,SUMPRODUCT((ROW(DATABASE!$AV$14:$AV$968)) * (DATABASE!$AV$14:BA$968='Résultats observations'!$A19 ) * (DATABASE!$AW$14:$AW$968= H$4))-ROW(DATABASE!$AV$14)+1,H$5)),"")</f>
        <v>-121.90819999999999</v>
      </c>
      <c r="I19" s="167" cm="1">
        <f t="array" ref="I19">IFERROR(_xlfn.SINGLE(INDEX(DATABASE!$AV$14:$BC$968,SUMPRODUCT((ROW(DATABASE!$AV$14:$AV$968)) * (DATABASE!$AV$14:BB$968='Résultats observations'!$A19 ) * (DATABASE!$AW$14:$AW$968= I$4))-ROW(DATABASE!$AV$14)+1,I$5)),"")</f>
        <v>823147.56566666672</v>
      </c>
      <c r="J19" s="167" cm="1">
        <f t="array" ref="J19">IFERROR(_xlfn.SINGLE(INDEX(DATABASE!$AV$14:$BC$968,SUMPRODUCT((ROW(DATABASE!$AV$14:$AV$968)) * (DATABASE!$AV$14:BC$968='Résultats observations'!$A19 ) * (DATABASE!$AW$14:$AW$968= J$4))-ROW(DATABASE!$AV$14)+1,J$5)),"")</f>
        <v>1091710.4099333333</v>
      </c>
      <c r="K19" s="167" cm="1">
        <f t="array" ref="K19">IFERROR(_xlfn.SINGLE(INDEX(DATABASE!$AV$14:$BC$968,SUMPRODUCT((ROW(DATABASE!$AV$14:$AV$968)) * (DATABASE!$AV$14:BD$968='Résultats observations'!$A19 ) * (DATABASE!$AW$14:$AW$968= K$4))-ROW(DATABASE!$AV$14)+1,K$5)),"")</f>
        <v>-122.3546</v>
      </c>
      <c r="L19" s="158" cm="1">
        <f t="array" ref="L19">IFERROR(_xlfn.SINGLE(INDEX(DATABASE!$AV$14:$BC$968,SUMPRODUCT((ROW(DATABASE!$AV$14:$AV$968)) * (DATABASE!$AV$14:BE$968='Résultats observations'!$A19 ) * (DATABASE!$AW$14:$AW$968= L$4))-ROW(DATABASE!$AV$14)+1,L$5)),"")</f>
        <v>823149.98959999997</v>
      </c>
      <c r="M19" s="158" cm="1">
        <f t="array" ref="M19">IFERROR(_xlfn.SINGLE(INDEX(DATABASE!$AV$14:$BC$968,SUMPRODUCT((ROW(DATABASE!$AV$14:$AV$968)) * (DATABASE!$AV$14:BF$968='Résultats observations'!$A19 ) * (DATABASE!$AW$14:$AW$968= M$4))-ROW(DATABASE!$AV$14)+1,M$5)),"")</f>
        <v>1091705.0822000001</v>
      </c>
      <c r="N19" s="158" cm="1">
        <f t="array" ref="N19">IFERROR(_xlfn.SINGLE(INDEX(DATABASE!$AV$14:$BC$968,SUMPRODUCT((ROW(DATABASE!$AV$14:$AV$968)) * (DATABASE!$AV$14:BG$968='Résultats observations'!$A19 ) * (DATABASE!$AW$14:$AW$968= N$4))-ROW(DATABASE!$AV$14)+1,N$5)),"")</f>
        <v>-121.78270000000001</v>
      </c>
      <c r="O19" s="33">
        <f t="shared" si="0"/>
        <v>5.5271763322973086</v>
      </c>
      <c r="P19" s="33">
        <f t="shared" si="1"/>
        <v>5.7007285727528112</v>
      </c>
      <c r="Q19" s="33">
        <f t="shared" si="2"/>
        <v>5.881093850975275</v>
      </c>
      <c r="R19" s="35">
        <f t="shared" ref="R19:R20" si="149">IF(O19="","",(O19-O$10)*1000)</f>
        <v>-1.1982228588731658</v>
      </c>
      <c r="S19" s="35">
        <f t="shared" ref="S19:S20" si="150">IF(P19="","",(P19-P$11)*1000)</f>
        <v>-0.15129788255485721</v>
      </c>
      <c r="T19" s="35">
        <f t="shared" si="58"/>
        <v>-0.51401945698525964</v>
      </c>
      <c r="U19" s="34"/>
      <c r="V19" s="35">
        <f t="shared" ref="V19:V20" si="151">IF(C19="","",(C19-C$10)*1000)</f>
        <v>0.40000001899898052</v>
      </c>
      <c r="W19" s="35">
        <f t="shared" ref="W19:W20" si="152">IF(D19="","",(D19-D$10)*1000)</f>
        <v>-0.80000003799796104</v>
      </c>
      <c r="X19" s="35">
        <f t="shared" ref="X19:X20" si="153">IF(E19="","",(E19-E$10)*1000)</f>
        <v>-2.6999999999901547</v>
      </c>
      <c r="Y19" s="35">
        <f t="shared" ref="Y19:Y20" si="154">IF(F19="","",(F19-F$11)*1000)</f>
        <v>1.7999999690800905</v>
      </c>
      <c r="Z19" s="35">
        <f t="shared" ref="Z19:Z20" si="155">IF(G19="","",(G19-G$11)*1000)</f>
        <v>0.80000003799796104</v>
      </c>
      <c r="AA19" s="35">
        <f t="shared" ref="AA19:AA20" si="156">IF(H19="","",(H19-H$11)*1000)</f>
        <v>-0.99999999999056399</v>
      </c>
      <c r="AB19" s="35">
        <f t="shared" si="64"/>
        <v>0.16666669398546219</v>
      </c>
      <c r="AC19" s="35">
        <f t="shared" ref="AC19:AC20" si="157">IF(J19="","",(J19-J$14)*1000)</f>
        <v>-0.36666681990027428</v>
      </c>
      <c r="AD19" s="35">
        <f t="shared" ref="AD19:AD20" si="158">IF(K19="","",(K19-K$14)*1000)</f>
        <v>-0.90000000000145519</v>
      </c>
      <c r="AE19" s="35">
        <f t="shared" ref="AE19:AE20" si="159">IF(L19="","",(L19-L$10)*1000)</f>
        <v>-0.25000004097819328</v>
      </c>
      <c r="AF19" s="35">
        <f t="shared" ref="AF19:AF20" si="160">IF(M19="","",(M19-M$10)*1000)</f>
        <v>0.10000006295740604</v>
      </c>
      <c r="AG19" s="35">
        <f t="shared" ref="AG19:AG20" si="161">IF(N19="","",(N19-N$10)*1000)</f>
        <v>0.10000000000331966</v>
      </c>
      <c r="AH19" s="34"/>
      <c r="AI19" s="33" cm="1">
        <f t="array" ref="AI19">IFERROR(_xlfn.SINGLE(INDEX(DATABASE!$AV$14:$BC$968,SUMPRODUCT((ROW(DATABASE!$AV$14:$AV$968)) * (DATABASE!$AV$14:HY$968='Résultats observations'!$A19 ) * (DATABASE!$AW$14:$AW$968= AI$4))-ROW(DATABASE!$AV$14)+1,AI$5)),"")</f>
        <v>2.6867974756578099</v>
      </c>
      <c r="AJ19" s="33" cm="1">
        <f t="array" ref="AJ19">IFERROR(_xlfn.SINGLE(INDEX(DATABASE!$AV$14:$BC$968,SUMPRODUCT((ROW(DATABASE!$AV$14:$AV$968)) * (DATABASE!$AV$14:HZ$968='Résultats observations'!$A19 ) * (DATABASE!$AW$14:$AW$968= AJ$4))-ROW(DATABASE!$AV$14)+1,AJ$5)),"")</f>
        <v>7.6345490774866699E-3</v>
      </c>
      <c r="AK19" s="33" cm="1">
        <f t="array" ref="AK19">IFERROR(_xlfn.SINGLE(INDEX(DATABASE!$AV$14:$BC$968,SUMPRODUCT((ROW(DATABASE!$AV$14:$AV$968)) * (DATABASE!$AV$14:IA$968='Résultats observations'!$A19 ) * (DATABASE!$AW$14:$AW$968= AK$4))-ROW(DATABASE!$AV$14)+1,AK$5)),"")</f>
        <v>1.383899999999997</v>
      </c>
      <c r="AL19" s="33" cm="1">
        <f t="array" ref="AL19">IFERROR(_xlfn.SINGLE(INDEX(DATABASE!$AV$14:$BC$968,SUMPRODUCT((ROW(DATABASE!$AV$14:$AV$968)) * (DATABASE!$AV$14:IB$968='Résultats observations'!$A19 ) * (DATABASE!$AW$14:$AW$968= AL$4))-ROW(DATABASE!$AV$14)+1,AL$5)),"")</f>
        <v>2.8630490490543345</v>
      </c>
      <c r="AM19" s="33" cm="1">
        <f t="array" ref="AM19">IFERROR(_xlfn.SINGLE(INDEX(DATABASE!$AV$14:$BC$968,SUMPRODUCT((ROW(DATABASE!$AV$14:$AV$968)) * (DATABASE!$AV$14:IC$968='Résultats observations'!$A19 ) * (DATABASE!$AW$14:$AW$968= AM$4))-ROW(DATABASE!$AV$14)+1,AM$5)),"")</f>
        <v>2.6714982428967325E-2</v>
      </c>
      <c r="AN19" s="33" cm="1">
        <f t="array" ref="AN19">IFERROR(_xlfn.SINGLE(INDEX(DATABASE!$AV$14:$BC$968,SUMPRODUCT((ROW(DATABASE!$AV$14:$AV$968)) * (DATABASE!$AV$14:ID$968='Résultats observations'!$A19 ) * (DATABASE!$AW$14:$AW$968= AN$4))-ROW(DATABASE!$AV$14)+1,AN$5)),"")</f>
        <v>1.0457999999999998</v>
      </c>
      <c r="AO19" s="167" cm="1">
        <f t="array" ref="AO19">IFERROR(_xlfn.SINGLE(INDEX(DATABASE!$AV$14:$BC$968,SUMPRODUCT((ROW(DATABASE!$AV$14:$AV$968)) * (DATABASE!$AV$14:IE$968='Résultats observations'!$A19 ) * (DATABASE!$AW$14:$AW$968= AO$4))-ROW(DATABASE!$AV$14)+1,AO$5)),"")</f>
        <v>3.0166783666291552</v>
      </c>
      <c r="AP19" s="167" cm="1">
        <f t="array" ref="AP19">IFERROR(_xlfn.SINGLE(INDEX(DATABASE!$AV$14:$BC$968,SUMPRODUCT((ROW(DATABASE!$AV$14:$AV$968)) * (DATABASE!$AV$14:IF$968='Résultats observations'!$A19 ) * (DATABASE!$AW$14:$AW$968= AP$4))-ROW(DATABASE!$AV$14)+1,AP$5)),"")</f>
        <v>6.9303693306597552E-2</v>
      </c>
      <c r="AQ19" s="167" cm="1">
        <f t="array" ref="AQ19">IFERROR(_xlfn.SINGLE(INDEX(DATABASE!$AV$14:$BC$968,SUMPRODUCT((ROW(DATABASE!$AV$14:$AV$968)) * (DATABASE!$AV$14:IG$968='Résultats observations'!$A19 ) * (DATABASE!$AW$14:$AW$968= AQ$4))-ROW(DATABASE!$AV$14)+1,AQ$5)),"")</f>
        <v>0.59939999999998861</v>
      </c>
      <c r="AR19" s="33" cm="1">
        <f t="array" ref="AR19">IFERROR(_xlfn.SINGLE(INDEX(DATABASE!$AV$14:$BC$968,SUMPRODUCT((ROW(DATABASE!$AV$14:$AV$968)) * (DATABASE!$AV$14:IH$968='Résultats observations'!$A19 ) * (DATABASE!$AW$14:$AW$968= AR$4))-ROW(DATABASE!$AV$14)+1,AR$5)),"")</f>
        <v>-2.8362844975218371</v>
      </c>
      <c r="AS19" s="33" cm="1">
        <f t="array" ref="AS19">IFERROR(_xlfn.SINGLE(INDEX(DATABASE!$AV$14:$BC$968,SUMPRODUCT((ROW(DATABASE!$AV$14:$AV$968)) * (DATABASE!$AV$14:II$968='Résultats observations'!$A19 ) * (DATABASE!$AW$14:$AW$968= AS$4))-ROW(DATABASE!$AV$14)+1,AS$5)),"")</f>
        <v>1.4340206803295346E-2</v>
      </c>
      <c r="AT19" s="33" cm="1">
        <f t="array" ref="AT19">IFERROR(_xlfn.SINGLE(INDEX(DATABASE!$AV$14:$BC$968,SUMPRODUCT((ROW(DATABASE!$AV$14:$AV$968)) * (DATABASE!$AV$14:IJ$968='Résultats observations'!$A19 ) * (DATABASE!$AW$14:$AW$968= AT$4))-ROW(DATABASE!$AV$14)+1,AT$5)),"")</f>
        <v>1.171299999999988</v>
      </c>
      <c r="AU19" s="34"/>
      <c r="AV19" s="35">
        <f t="shared" ref="AV19:AV20" si="162">IF(AI19="","",(AI19-AI$10)*1000)</f>
        <v>-0.89409439325871531</v>
      </c>
      <c r="AW19" s="35">
        <f t="shared" ref="AW19:AW20" si="163">IF(AJ19="","",(AJ19-AJ$10)*1000)</f>
        <v>2.439860528960329E-2</v>
      </c>
      <c r="AX19" s="35">
        <f t="shared" ref="AX19:AX20" si="164">IF(AK19="","",(AK19-AK$10)*1000)</f>
        <v>-2.6999999999901547</v>
      </c>
      <c r="AY19" s="35">
        <f t="shared" ref="AY19:AY20" si="165">IF(AL19="","",(AL19-AL$11)*1000)</f>
        <v>-3.5732458488979546E-2</v>
      </c>
      <c r="AZ19" s="35">
        <f t="shared" ref="AZ19:AZ20" si="166">IF(AM19="","",(AM19-AM$11)*1000)</f>
        <v>1.9694474201887544</v>
      </c>
      <c r="BA19" s="35">
        <f t="shared" ref="BA19:BA20" si="167">IF(AN19="","",(AN19-AN$11)*1000)</f>
        <v>-0.99999999999056399</v>
      </c>
      <c r="BB19" s="35">
        <f t="shared" si="74"/>
        <v>-0.40274925167960163</v>
      </c>
      <c r="BC19" s="35">
        <f t="shared" ref="BC19:BC20" si="168">IF(AP19="","",(AP19-AP$14)*1000)</f>
        <v>-3.9222406583022673E-3</v>
      </c>
      <c r="BD19" s="35">
        <f t="shared" ref="BD19:BD20" si="169">IF(AQ19="","",(AQ19-AQ$14)*1000)</f>
        <v>-0.90000000000145519</v>
      </c>
      <c r="BE19" s="35">
        <f t="shared" ref="BE19:BE20" si="170">IF(AR19="","",(AR19-AR$10)*1000)</f>
        <v>0.19629158247980172</v>
      </c>
      <c r="BF19" s="35">
        <f t="shared" ref="BF19:BF20" si="171">IF(AS19="","",(AS19-AS$10)*1000)</f>
        <v>-0.18430856661688297</v>
      </c>
      <c r="BG19" s="35">
        <f t="shared" ref="BG19:BG20" si="172">IF(AT19="","",(AT19-AT$10)*1000)</f>
        <v>0.10000000000331966</v>
      </c>
    </row>
    <row r="20" spans="1:59" s="57" customFormat="1" ht="29.25" customHeight="1">
      <c r="A20" s="78">
        <v>45560</v>
      </c>
      <c r="B20" s="25">
        <f t="shared" si="148"/>
        <v>28</v>
      </c>
      <c r="C20" s="80" cm="1">
        <f t="array" ref="C20">IFERROR(_xlfn.SINGLE(INDEX(DATABASE!$AV$14:$BC$968,SUMPRODUCT((ROW(DATABASE!$AV$14:$AV$968)) * (DATABASE!AV$14:$AV$968='Résultats observations'!$A20 ) * (DATABASE!$AW$14:$AW$968= C$4))-ROW(DATABASE!$AV$14)+1,C$5)),"")</f>
        <v>823147.64870000002</v>
      </c>
      <c r="D20" s="158" cm="1">
        <f t="array" ref="D20">IFERROR(_xlfn.SINGLE(INDEX(DATABASE!$AV$14:$BC$968,SUMPRODUCT((ROW(DATABASE!$AV$14:$AV$968)) * (DATABASE!$AV$14:AW$968='Résultats observations'!$A20 ) * (DATABASE!$AW$14:$AW$968= D$4))-ROW(DATABASE!$AV$14)+1,D$5)),"")</f>
        <v>1091710.0851</v>
      </c>
      <c r="E20" s="158" cm="1">
        <f t="array" ref="E20">IFERROR(_xlfn.SINGLE(INDEX(DATABASE!$AV$14:$BC$968,SUMPRODUCT((ROW(DATABASE!$AV$14:$AV$968)) * (DATABASE!$AV$14:AX$968='Résultats observations'!$A20 ) * (DATABASE!$AW$14:$AW$968= E$4))-ROW(DATABASE!$AV$14)+1,E$5)),"")</f>
        <v>-121.5702</v>
      </c>
      <c r="F20" s="158" cm="1">
        <f t="array" ref="F20">IFERROR(_xlfn.SINGLE(INDEX(DATABASE!$AV$14:$BC$968,SUMPRODUCT((ROW(DATABASE!$AV$14:$AV$968)) * (DATABASE!$AV$14:AY$968='Résultats observations'!$A20 ) * (DATABASE!$AW$14:$AW$968= F$4))-ROW(DATABASE!$AV$14)+1,F$5)),"")</f>
        <v>823147.59129999997</v>
      </c>
      <c r="G20" s="158" cm="1">
        <f t="array" ref="G20">IFERROR(_xlfn.SINGLE(INDEX(DATABASE!$AV$14:$BC$968,SUMPRODUCT((ROW(DATABASE!$AV$14:$AV$968)) * (DATABASE!$AV$14:AZ$968='Résultats observations'!$A20 ) * (DATABASE!$AW$14:$AW$968= G$4))-ROW(DATABASE!$AV$14)+1,G$5)),"")</f>
        <v>1091710.2527000001</v>
      </c>
      <c r="H20" s="158" cm="1">
        <f t="array" ref="H20">IFERROR(_xlfn.SINGLE(INDEX(DATABASE!$AV$14:$BC$968,SUMPRODUCT((ROW(DATABASE!$AV$14:$AV$968)) * (DATABASE!$AV$14:BA$968='Résultats observations'!$A20 ) * (DATABASE!$AW$14:$AW$968= H$4))-ROW(DATABASE!$AV$14)+1,H$5)),"")</f>
        <v>-121.9085</v>
      </c>
      <c r="I20" s="167" cm="1">
        <f t="array" ref="I20">IFERROR(_xlfn.SINGLE(INDEX(DATABASE!$AV$14:$BC$968,SUMPRODUCT((ROW(DATABASE!$AV$14:$AV$968)) * (DATABASE!$AV$14:BB$968='Résultats observations'!$A20 ) * (DATABASE!$AW$14:$AW$968= I$4))-ROW(DATABASE!$AV$14)+1,I$5)),"")</f>
        <v>823147.56519999995</v>
      </c>
      <c r="J20" s="167" cm="1">
        <f t="array" ref="J20">IFERROR(_xlfn.SINGLE(INDEX(DATABASE!$AV$14:$BC$968,SUMPRODUCT((ROW(DATABASE!$AV$14:$AV$968)) * (DATABASE!$AV$14:BC$968='Résultats observations'!$A20 ) * (DATABASE!$AW$14:$AW$968= J$4))-ROW(DATABASE!$AV$14)+1,J$5)),"")</f>
        <v>1091710.4099000001</v>
      </c>
      <c r="K20" s="167" cm="1">
        <f t="array" ref="K20">IFERROR(_xlfn.SINGLE(INDEX(DATABASE!$AV$14:$BC$968,SUMPRODUCT((ROW(DATABASE!$AV$14:$AV$968)) * (DATABASE!$AV$14:BD$968='Résultats observations'!$A20 ) * (DATABASE!$AW$14:$AW$968= K$4))-ROW(DATABASE!$AV$14)+1,K$5)),"")</f>
        <v>-122.3544</v>
      </c>
      <c r="L20" s="158" cm="1">
        <f t="array" ref="L20">IFERROR(_xlfn.SINGLE(INDEX(DATABASE!$AV$14:$BC$968,SUMPRODUCT((ROW(DATABASE!$AV$14:$AV$968)) * (DATABASE!$AV$14:BE$968='Résultats observations'!$A20 ) * (DATABASE!$AW$14:$AW$968= L$4))-ROW(DATABASE!$AV$14)+1,L$5)),"")</f>
        <v>823149.98950000003</v>
      </c>
      <c r="M20" s="158" cm="1">
        <f t="array" ref="M20">IFERROR(_xlfn.SINGLE(INDEX(DATABASE!$AV$14:$BC$968,SUMPRODUCT((ROW(DATABASE!$AV$14:$AV$968)) * (DATABASE!$AV$14:BF$968='Résultats observations'!$A20 ) * (DATABASE!$AW$14:$AW$968= M$4))-ROW(DATABASE!$AV$14)+1,M$5)),"")</f>
        <v>1091705.0823249999</v>
      </c>
      <c r="N20" s="158" cm="1">
        <f t="array" ref="N20">IFERROR(_xlfn.SINGLE(INDEX(DATABASE!$AV$14:$BC$968,SUMPRODUCT((ROW(DATABASE!$AV$14:$AV$968)) * (DATABASE!$AV$14:BG$968='Résultats observations'!$A20 ) * (DATABASE!$AW$14:$AW$968= N$4))-ROW(DATABASE!$AV$14)+1,N$5)),"")</f>
        <v>-121.782675</v>
      </c>
      <c r="O20" s="33">
        <f t="shared" si="0"/>
        <v>5.5274087932801637</v>
      </c>
      <c r="P20" s="33">
        <f t="shared" si="1"/>
        <v>5.70087474110621</v>
      </c>
      <c r="Q20" s="33">
        <f t="shared" si="2"/>
        <v>5.8810845385106818</v>
      </c>
      <c r="R20" s="35">
        <f t="shared" si="149"/>
        <v>-0.96576187601815633</v>
      </c>
      <c r="S20" s="35">
        <f t="shared" si="150"/>
        <v>-5.1295291561004319E-3</v>
      </c>
      <c r="T20" s="35">
        <f t="shared" si="58"/>
        <v>-0.52333192157849595</v>
      </c>
      <c r="U20" s="34"/>
      <c r="V20" s="35">
        <f t="shared" si="151"/>
        <v>-9.9999946542084217E-2</v>
      </c>
      <c r="W20" s="35">
        <f t="shared" si="152"/>
        <v>-0.59999991208314896</v>
      </c>
      <c r="X20" s="35">
        <f t="shared" si="153"/>
        <v>-2.7999999999934744</v>
      </c>
      <c r="Y20" s="35">
        <f t="shared" si="154"/>
        <v>1.0999999940395355</v>
      </c>
      <c r="Z20" s="35">
        <f t="shared" si="155"/>
        <v>0.80000003799796104</v>
      </c>
      <c r="AA20" s="35">
        <f t="shared" si="156"/>
        <v>-1.300000000000523</v>
      </c>
      <c r="AB20" s="35">
        <f t="shared" si="64"/>
        <v>-0.30000007245689631</v>
      </c>
      <c r="AC20" s="35">
        <f t="shared" si="157"/>
        <v>-0.40000001899898052</v>
      </c>
      <c r="AD20" s="35">
        <f t="shared" si="158"/>
        <v>-0.69999999999481588</v>
      </c>
      <c r="AE20" s="35">
        <f t="shared" si="159"/>
        <v>-0.3499999875202775</v>
      </c>
      <c r="AF20" s="35">
        <f t="shared" si="160"/>
        <v>0.22499985061585903</v>
      </c>
      <c r="AG20" s="35">
        <f t="shared" si="161"/>
        <v>0.125000000011255</v>
      </c>
      <c r="AH20" s="34"/>
      <c r="AI20" s="33" cm="1">
        <f t="array" ref="AI20">IFERROR(_xlfn.SINGLE(INDEX(DATABASE!$AV$14:$BC$968,SUMPRODUCT((ROW(DATABASE!$AV$14:$AV$968)) * (DATABASE!$AV$14:HY$968='Résultats observations'!$A20 ) * (DATABASE!$AW$14:$AW$968= AI$4))-ROW(DATABASE!$AV$14)+1,AI$5)),"")</f>
        <v>2.6871900587735662</v>
      </c>
      <c r="AJ20" s="33" cm="1">
        <f t="array" ref="AJ20">IFERROR(_xlfn.SINGLE(INDEX(DATABASE!$AV$14:$BC$968,SUMPRODUCT((ROW(DATABASE!$AV$14:$AV$968)) * (DATABASE!$AV$14:HZ$968='Résultats observations'!$A20 ) * (DATABASE!$AW$14:$AW$968= AJ$4))-ROW(DATABASE!$AV$14)+1,AJ$5)),"")</f>
        <v>7.2659320497582627E-3</v>
      </c>
      <c r="AK20" s="33" cm="1">
        <f t="array" ref="AK20">IFERROR(_xlfn.SINGLE(INDEX(DATABASE!$AV$14:$BC$968,SUMPRODUCT((ROW(DATABASE!$AV$14:$AV$968)) * (DATABASE!$AV$14:IA$968='Résultats observations'!$A20 ) * (DATABASE!$AW$14:$AW$968= AK$4))-ROW(DATABASE!$AV$14)+1,AK$5)),"")</f>
        <v>1.3837999999999937</v>
      </c>
      <c r="AL20" s="33" cm="1">
        <f t="array" ref="AL20">IFERROR(_xlfn.SINGLE(INDEX(DATABASE!$AV$14:$BC$968,SUMPRODUCT((ROW(DATABASE!$AV$14:$AV$968)) * (DATABASE!$AV$14:IB$968='Résultats observations'!$A20 ) * (DATABASE!$AW$14:$AW$968= AL$4))-ROW(DATABASE!$AV$14)+1,AL$5)),"")</f>
        <v>2.8633449030436715</v>
      </c>
      <c r="AM20" s="33" cm="1">
        <f t="array" ref="AM20">IFERROR(_xlfn.SINGLE(INDEX(DATABASE!$AV$14:$BC$968,SUMPRODUCT((ROW(DATABASE!$AV$14:$AV$968)) * (DATABASE!$AV$14:IC$968='Résultats observations'!$A20 ) * (DATABASE!$AW$14:$AW$968= AM$4))-ROW(DATABASE!$AV$14)+1,AM$5)),"")</f>
        <v>2.6080576894589421E-2</v>
      </c>
      <c r="AN20" s="33" cm="1">
        <f t="array" ref="AN20">IFERROR(_xlfn.SINGLE(INDEX(DATABASE!$AV$14:$BC$968,SUMPRODUCT((ROW(DATABASE!$AV$14:$AV$968)) * (DATABASE!$AV$14:ID$968='Résultats observations'!$A20 ) * (DATABASE!$AW$14:$AW$968= AN$4))-ROW(DATABASE!$AV$14)+1,AN$5)),"")</f>
        <v>1.0454999999999899</v>
      </c>
      <c r="AO20" s="167" cm="1">
        <f t="array" ref="AO20">IFERROR(_xlfn.SINGLE(INDEX(DATABASE!$AV$14:$BC$968,SUMPRODUCT((ROW(DATABASE!$AV$14:$AV$968)) * (DATABASE!$AV$14:IE$968='Résultats observations'!$A20 ) * (DATABASE!$AW$14:$AW$968= AO$4))-ROW(DATABASE!$AV$14)+1,AO$5)),"")</f>
        <v>3.0168453930044774</v>
      </c>
      <c r="AP20" s="167" cm="1">
        <f t="array" ref="AP20">IFERROR(_xlfn.SINGLE(INDEX(DATABASE!$AV$14:$BC$968,SUMPRODUCT((ROW(DATABASE!$AV$14:$AV$968)) * (DATABASE!$AV$14:IF$968='Résultats observations'!$A20 ) * (DATABASE!$AW$14:$AW$968= AP$4))-ROW(DATABASE!$AV$14)+1,AP$5)),"")</f>
        <v>6.8866667949195118E-2</v>
      </c>
      <c r="AQ20" s="167" cm="1">
        <f t="array" ref="AQ20">IFERROR(_xlfn.SINGLE(INDEX(DATABASE!$AV$14:$BC$968,SUMPRODUCT((ROW(DATABASE!$AV$14:$AV$968)) * (DATABASE!$AV$14:IG$968='Résultats observations'!$A20 ) * (DATABASE!$AW$14:$AW$968= AQ$4))-ROW(DATABASE!$AV$14)+1,AQ$5)),"")</f>
        <v>0.59959999999999525</v>
      </c>
      <c r="AR20" s="33" cm="1">
        <f t="array" ref="AR20">IFERROR(_xlfn.SINGLE(INDEX(DATABASE!$AV$14:$BC$968,SUMPRODUCT((ROW(DATABASE!$AV$14:$AV$968)) * (DATABASE!$AV$14:IH$968='Résultats observations'!$A20 ) * (DATABASE!$AW$14:$AW$968= AR$4))-ROW(DATABASE!$AV$14)+1,AR$5)),"")</f>
        <v>-2.8361289461731416</v>
      </c>
      <c r="AS20" s="33" cm="1">
        <f t="array" ref="AS20">IFERROR(_xlfn.SINGLE(INDEX(DATABASE!$AV$14:$BC$968,SUMPRODUCT((ROW(DATABASE!$AV$14:$AV$968)) * (DATABASE!$AV$14:II$968='Résultats observations'!$A20 ) * (DATABASE!$AW$14:$AW$968= AS$4))-ROW(DATABASE!$AV$14)+1,AS$5)),"")</f>
        <v>1.4302408468121164E-2</v>
      </c>
      <c r="AT20" s="33" cm="1">
        <f t="array" ref="AT20">IFERROR(_xlfn.SINGLE(INDEX(DATABASE!$AV$14:$BC$968,SUMPRODUCT((ROW(DATABASE!$AV$14:$AV$968)) * (DATABASE!$AV$14:IJ$968='Résultats observations'!$A20 ) * (DATABASE!$AW$14:$AW$968= AT$4))-ROW(DATABASE!$AV$14)+1,AT$5)),"")</f>
        <v>1.171324999999996</v>
      </c>
      <c r="AU20" s="34"/>
      <c r="AV20" s="35">
        <f t="shared" si="162"/>
        <v>-0.50151127750241997</v>
      </c>
      <c r="AW20" s="35">
        <f t="shared" si="163"/>
        <v>-0.34421842243880385</v>
      </c>
      <c r="AX20" s="35">
        <f t="shared" si="164"/>
        <v>-2.7999999999934744</v>
      </c>
      <c r="AY20" s="35">
        <f t="shared" si="165"/>
        <v>0.26012153084797873</v>
      </c>
      <c r="AZ20" s="35">
        <f t="shared" si="166"/>
        <v>1.3350418858108504</v>
      </c>
      <c r="BA20" s="35">
        <f t="shared" si="167"/>
        <v>-1.300000000000523</v>
      </c>
      <c r="BB20" s="35">
        <f t="shared" si="74"/>
        <v>-0.23572287635742484</v>
      </c>
      <c r="BC20" s="35">
        <f t="shared" si="168"/>
        <v>-0.44094759806073691</v>
      </c>
      <c r="BD20" s="35">
        <f t="shared" si="169"/>
        <v>-0.69999999999481588</v>
      </c>
      <c r="BE20" s="35">
        <f t="shared" si="170"/>
        <v>0.35184293117529464</v>
      </c>
      <c r="BF20" s="35">
        <f t="shared" si="171"/>
        <v>-0.22210690179106513</v>
      </c>
      <c r="BG20" s="35">
        <f t="shared" si="172"/>
        <v>0.125000000011255</v>
      </c>
    </row>
    <row r="21" spans="1:59" s="57" customFormat="1" ht="29.25" customHeight="1">
      <c r="A21" s="78">
        <v>45562</v>
      </c>
      <c r="B21" s="25">
        <f t="shared" ref="B21" si="173">A21-A$10</f>
        <v>30</v>
      </c>
      <c r="C21" s="80" cm="1">
        <f t="array" ref="C21">IFERROR(_xlfn.SINGLE(INDEX(DATABASE!$AV$14:$BC$968,SUMPRODUCT((ROW(DATABASE!$AV$14:$AV$968)) * (DATABASE!AV$14:$AV$968='Résultats observations'!$A21 ) * (DATABASE!$AW$14:$AW$968= C$4))-ROW(DATABASE!$AV$14)+1,C$5)),"")</f>
        <v>823147.64910000004</v>
      </c>
      <c r="D21" s="158" cm="1">
        <f t="array" ref="D21">IFERROR(_xlfn.SINGLE(INDEX(DATABASE!$AV$14:$BC$968,SUMPRODUCT((ROW(DATABASE!$AV$14:$AV$968)) * (DATABASE!$AV$14:AW$968='Résultats observations'!$A21 ) * (DATABASE!$AW$14:$AW$968= D$4))-ROW(DATABASE!$AV$14)+1,D$5)),"")</f>
        <v>1091710.085</v>
      </c>
      <c r="E21" s="158" cm="1">
        <f t="array" ref="E21">IFERROR(_xlfn.SINGLE(INDEX(DATABASE!$AV$14:$BC$968,SUMPRODUCT((ROW(DATABASE!$AV$14:$AV$968)) * (DATABASE!$AV$14:AX$968='Résultats observations'!$A21 ) * (DATABASE!$AW$14:$AW$968= E$4))-ROW(DATABASE!$AV$14)+1,E$5)),"")</f>
        <v>-121.5702</v>
      </c>
      <c r="F21" s="158" cm="1">
        <f t="array" ref="F21">IFERROR(_xlfn.SINGLE(INDEX(DATABASE!$AV$14:$BC$968,SUMPRODUCT((ROW(DATABASE!$AV$14:$AV$968)) * (DATABASE!$AV$14:AY$968='Résultats observations'!$A21 ) * (DATABASE!$AW$14:$AW$968= F$4))-ROW(DATABASE!$AV$14)+1,F$5)),"")</f>
        <v>823147.59180000005</v>
      </c>
      <c r="G21" s="158" cm="1">
        <f t="array" ref="G21">IFERROR(_xlfn.SINGLE(INDEX(DATABASE!$AV$14:$BC$968,SUMPRODUCT((ROW(DATABASE!$AV$14:$AV$968)) * (DATABASE!$AV$14:AZ$968='Résultats observations'!$A21 ) * (DATABASE!$AW$14:$AW$968= G$4))-ROW(DATABASE!$AV$14)+1,G$5)),"")</f>
        <v>1091710.253</v>
      </c>
      <c r="H21" s="158" cm="1">
        <f t="array" ref="H21">IFERROR(_xlfn.SINGLE(INDEX(DATABASE!$AV$14:$BC$968,SUMPRODUCT((ROW(DATABASE!$AV$14:$AV$968)) * (DATABASE!$AV$14:BA$968='Résultats observations'!$A21 ) * (DATABASE!$AW$14:$AW$968= H$4))-ROW(DATABASE!$AV$14)+1,H$5)),"")</f>
        <v>-121.90830000000001</v>
      </c>
      <c r="I21" s="167" cm="1">
        <f t="array" ref="I21">IFERROR(_xlfn.SINGLE(INDEX(DATABASE!$AV$14:$BC$968,SUMPRODUCT((ROW(DATABASE!$AV$14:$AV$968)) * (DATABASE!$AV$14:BB$968='Résultats observations'!$A21 ) * (DATABASE!$AW$14:$AW$968= I$4))-ROW(DATABASE!$AV$14)+1,I$5)),"")</f>
        <v>823147.56570000004</v>
      </c>
      <c r="J21" s="167" cm="1">
        <f t="array" ref="J21">IFERROR(_xlfn.SINGLE(INDEX(DATABASE!$AV$14:$BC$968,SUMPRODUCT((ROW(DATABASE!$AV$14:$AV$968)) * (DATABASE!$AV$14:BC$968='Résultats observations'!$A21 ) * (DATABASE!$AW$14:$AW$968= J$4))-ROW(DATABASE!$AV$14)+1,J$5)),"")</f>
        <v>1091710.4099999999</v>
      </c>
      <c r="K21" s="167" cm="1">
        <f t="array" ref="K21">IFERROR(_xlfn.SINGLE(INDEX(DATABASE!$AV$14:$BC$968,SUMPRODUCT((ROW(DATABASE!$AV$14:$AV$968)) * (DATABASE!$AV$14:BD$968='Résultats observations'!$A21 ) * (DATABASE!$AW$14:$AW$968= K$4))-ROW(DATABASE!$AV$14)+1,K$5)),"")</f>
        <v>-122.3545</v>
      </c>
      <c r="L21" s="158" cm="1">
        <f t="array" ref="L21">IFERROR(_xlfn.SINGLE(INDEX(DATABASE!$AV$14:$BC$968,SUMPRODUCT((ROW(DATABASE!$AV$14:$AV$968)) * (DATABASE!$AV$14:BE$968='Résultats observations'!$A21 ) * (DATABASE!$AW$14:$AW$968= L$4))-ROW(DATABASE!$AV$14)+1,L$5)),"")</f>
        <v>823149.98959999997</v>
      </c>
      <c r="M21" s="158" cm="1">
        <f t="array" ref="M21">IFERROR(_xlfn.SINGLE(INDEX(DATABASE!$AV$14:$BC$968,SUMPRODUCT((ROW(DATABASE!$AV$14:$AV$968)) * (DATABASE!$AV$14:BF$968='Résultats observations'!$A21 ) * (DATABASE!$AW$14:$AW$968= M$4))-ROW(DATABASE!$AV$14)+1,M$5)),"")</f>
        <v>1091705.0822000001</v>
      </c>
      <c r="N21" s="158" cm="1">
        <f t="array" ref="N21">IFERROR(_xlfn.SINGLE(INDEX(DATABASE!$AV$14:$BC$968,SUMPRODUCT((ROW(DATABASE!$AV$14:$AV$968)) * (DATABASE!$AV$14:BG$968='Résultats observations'!$A21 ) * (DATABASE!$AW$14:$AW$968= N$4))-ROW(DATABASE!$AV$14)+1,N$5)),"")</f>
        <v>-121.7826</v>
      </c>
      <c r="O21" s="33">
        <f t="shared" si="0"/>
        <v>5.5273014978999635</v>
      </c>
      <c r="P21" s="33">
        <f t="shared" si="1"/>
        <v>5.7010891914820094</v>
      </c>
      <c r="Q21" s="33">
        <f t="shared" si="2"/>
        <v>5.8811405065795066</v>
      </c>
      <c r="R21" s="35">
        <f t="shared" ref="R21" si="174">IF(O21="","",(O21-O$10)*1000)</f>
        <v>-1.0730572562183127</v>
      </c>
      <c r="S21" s="35">
        <f t="shared" ref="S21" si="175">IF(P21="","",(P21-P$11)*1000)</f>
        <v>0.20932084664337935</v>
      </c>
      <c r="T21" s="35">
        <f t="shared" ref="T21" si="176">IF(Q21="","",(Q21-Q$14)*1000)</f>
        <v>-0.4673638527536994</v>
      </c>
      <c r="U21" s="34"/>
      <c r="V21" s="35">
        <f t="shared" ref="V21" si="177">IF(C21="","",(C21-C$10)*1000)</f>
        <v>0.30000007245689631</v>
      </c>
      <c r="W21" s="35">
        <f t="shared" ref="W21" si="178">IF(D21="","",(D21-D$10)*1000)</f>
        <v>-0.699999975040555</v>
      </c>
      <c r="X21" s="35">
        <f t="shared" ref="X21" si="179">IF(E21="","",(E21-E$10)*1000)</f>
        <v>-2.7999999999934744</v>
      </c>
      <c r="Y21" s="35">
        <f t="shared" ref="Y21" si="180">IF(F21="","",(F21-F$11)*1000)</f>
        <v>1.6000000759959221</v>
      </c>
      <c r="Z21" s="35">
        <f t="shared" ref="Z21" si="181">IF(G21="","",(G21-G$11)*1000)</f>
        <v>1.0999999940395355</v>
      </c>
      <c r="AA21" s="35">
        <f t="shared" ref="AA21" si="182">IF(H21="","",(H21-H$11)*1000)</f>
        <v>-1.1000000000080945</v>
      </c>
      <c r="AB21" s="35">
        <f t="shared" ref="AB21" si="183">IF(I21="","",(I21-I$14)*1000)</f>
        <v>0.20000000949949026</v>
      </c>
      <c r="AC21" s="35">
        <f t="shared" ref="AC21" si="184">IF(J21="","",(J21-J$14)*1000)</f>
        <v>-0.30000018887221813</v>
      </c>
      <c r="AD21" s="35">
        <f t="shared" ref="AD21" si="185">IF(K21="","",(K21-K$14)*1000)</f>
        <v>-0.79999999999813554</v>
      </c>
      <c r="AE21" s="35">
        <f t="shared" ref="AE21" si="186">IF(L21="","",(L21-L$10)*1000)</f>
        <v>-0.25000004097819328</v>
      </c>
      <c r="AF21" s="35">
        <f t="shared" ref="AF21" si="187">IF(M21="","",(M21-M$10)*1000)</f>
        <v>0.10000006295740604</v>
      </c>
      <c r="AG21" s="35">
        <f t="shared" ref="AG21" si="188">IF(N21="","",(N21-N$10)*1000)</f>
        <v>0.20000000000663931</v>
      </c>
      <c r="AH21" s="34"/>
      <c r="AI21" s="33" cm="1">
        <f t="array" ref="AI21">IFERROR(_xlfn.SINGLE(INDEX(DATABASE!$AV$14:$BC$968,SUMPRODUCT((ROW(DATABASE!$AV$14:$AV$968)) * (DATABASE!$AV$14:HY$968='Résultats observations'!$A21 ) * (DATABASE!$AW$14:$AW$968= AI$4))-ROW(DATABASE!$AV$14)+1,AI$5)),"")</f>
        <v>2.6869303699146867</v>
      </c>
      <c r="AJ21" s="33" cm="1">
        <f t="array" ref="AJ21">IFERROR(_xlfn.SINGLE(INDEX(DATABASE!$AV$14:$BC$968,SUMPRODUCT((ROW(DATABASE!$AV$14:$AV$968)) * (DATABASE!$AV$14:HZ$968='Résultats observations'!$A21 ) * (DATABASE!$AW$14:$AW$968= AJ$4))-ROW(DATABASE!$AV$14)+1,AJ$5)),"")</f>
        <v>7.5861846443840393E-3</v>
      </c>
      <c r="AK21" s="33" cm="1">
        <f t="array" ref="AK21">IFERROR(_xlfn.SINGLE(INDEX(DATABASE!$AV$14:$BC$968,SUMPRODUCT((ROW(DATABASE!$AV$14:$AV$968)) * (DATABASE!$AV$14:IA$968='Résultats observations'!$A21 ) * (DATABASE!$AW$14:$AW$968= AK$4))-ROW(DATABASE!$AV$14)+1,AK$5)),"")</f>
        <v>1.3837999999999937</v>
      </c>
      <c r="AL21" s="33" cm="1">
        <f t="array" ref="AL21">IFERROR(_xlfn.SINGLE(INDEX(DATABASE!$AV$14:$BC$968,SUMPRODUCT((ROW(DATABASE!$AV$14:$AV$968)) * (DATABASE!$AV$14:IB$968='Résultats observations'!$A21 ) * (DATABASE!$AW$14:$AW$968= AL$4))-ROW(DATABASE!$AV$14)+1,AL$5)),"")</f>
        <v>2.8634054667794171</v>
      </c>
      <c r="AM21" s="33" cm="1">
        <f t="array" ref="AM21">IFERROR(_xlfn.SINGLE(INDEX(DATABASE!$AV$14:$BC$968,SUMPRODUCT((ROW(DATABASE!$AV$14:$AV$968)) * (DATABASE!$AV$14:IC$968='Résultats observations'!$A21 ) * (DATABASE!$AW$14:$AW$968= AM$4))-ROW(DATABASE!$AV$14)+1,AM$5)),"")</f>
        <v>2.6660518348096143E-2</v>
      </c>
      <c r="AN21" s="33" cm="1">
        <f t="array" ref="AN21">IFERROR(_xlfn.SINGLE(INDEX(DATABASE!$AV$14:$BC$968,SUMPRODUCT((ROW(DATABASE!$AV$14:$AV$968)) * (DATABASE!$AV$14:ID$968='Résultats observations'!$A21 ) * (DATABASE!$AW$14:$AW$968= AN$4))-ROW(DATABASE!$AV$14)+1,AN$5)),"")</f>
        <v>1.0456999999999823</v>
      </c>
      <c r="AO21" s="167" cm="1">
        <f t="array" ref="AO21">IFERROR(_xlfn.SINGLE(INDEX(DATABASE!$AV$14:$BC$968,SUMPRODUCT((ROW(DATABASE!$AV$14:$AV$968)) * (DATABASE!$AV$14:IE$968='Résultats observations'!$A21 ) * (DATABASE!$AW$14:$AW$968= AO$4))-ROW(DATABASE!$AV$14)+1,AO$5)),"")</f>
        <v>3.0167246978955364</v>
      </c>
      <c r="AP21" s="167" cm="1">
        <f t="array" ref="AP21">IFERROR(_xlfn.SINGLE(INDEX(DATABASE!$AV$14:$BC$968,SUMPRODUCT((ROW(DATABASE!$AV$14:$AV$968)) * (DATABASE!$AV$14:IF$968='Résultats observations'!$A21 ) * (DATABASE!$AW$14:$AW$968= AP$4))-ROW(DATABASE!$AV$14)+1,AP$5)),"")</f>
        <v>6.9362079635230833E-2</v>
      </c>
      <c r="AQ21" s="167" cm="1">
        <f t="array" ref="AQ21">IFERROR(_xlfn.SINGLE(INDEX(DATABASE!$AV$14:$BC$968,SUMPRODUCT((ROW(DATABASE!$AV$14:$AV$968)) * (DATABASE!$AV$14:IG$968='Résultats observations'!$A21 ) * (DATABASE!$AW$14:$AW$968= AQ$4))-ROW(DATABASE!$AV$14)+1,AQ$5)),"")</f>
        <v>0.59949999999999193</v>
      </c>
      <c r="AR21" s="33" cm="1">
        <f t="array" ref="AR21">IFERROR(_xlfn.SINGLE(INDEX(DATABASE!$AV$14:$BC$968,SUMPRODUCT((ROW(DATABASE!$AV$14:$AV$968)) * (DATABASE!$AV$14:IH$968='Résultats observations'!$A21 ) * (DATABASE!$AW$14:$AW$968= AR$4))-ROW(DATABASE!$AV$14)+1,AR$5)),"")</f>
        <v>-2.8362844975218371</v>
      </c>
      <c r="AS21" s="33" cm="1">
        <f t="array" ref="AS21">IFERROR(_xlfn.SINGLE(INDEX(DATABASE!$AV$14:$BC$968,SUMPRODUCT((ROW(DATABASE!$AV$14:$AV$968)) * (DATABASE!$AV$14:II$968='Résultats observations'!$A21 ) * (DATABASE!$AW$14:$AW$968= AS$4))-ROW(DATABASE!$AV$14)+1,AS$5)),"")</f>
        <v>1.4340206803295346E-2</v>
      </c>
      <c r="AT21" s="33" cm="1">
        <f t="array" ref="AT21">IFERROR(_xlfn.SINGLE(INDEX(DATABASE!$AV$14:$BC$968,SUMPRODUCT((ROW(DATABASE!$AV$14:$AV$968)) * (DATABASE!$AV$14:IJ$968='Résultats observations'!$A21 ) * (DATABASE!$AW$14:$AW$968= AT$4))-ROW(DATABASE!$AV$14)+1,AT$5)),"")</f>
        <v>1.1713999999999913</v>
      </c>
      <c r="AU21" s="34"/>
      <c r="AV21" s="35">
        <f t="shared" ref="AV21" si="189">IF(AI21="","",(AI21-AI$10)*1000)</f>
        <v>-0.76120013638192319</v>
      </c>
      <c r="AW21" s="35">
        <f t="shared" ref="AW21" si="190">IF(AJ21="","",(AJ21-AJ$10)*1000)</f>
        <v>-2.3965827813027252E-2</v>
      </c>
      <c r="AX21" s="35">
        <f t="shared" ref="AX21" si="191">IF(AK21="","",(AK21-AK$10)*1000)</f>
        <v>-2.7999999999934744</v>
      </c>
      <c r="AY21" s="35">
        <f t="shared" ref="AY21" si="192">IF(AL21="","",(AL21-AL$11)*1000)</f>
        <v>0.32068526659356777</v>
      </c>
      <c r="AZ21" s="35">
        <f t="shared" ref="AZ21" si="193">IF(AM21="","",(AM21-AM$11)*1000)</f>
        <v>1.9149833393175726</v>
      </c>
      <c r="BA21" s="35">
        <f t="shared" ref="BA21" si="194">IF(AN21="","",(AN21-AN$11)*1000)</f>
        <v>-1.1000000000080945</v>
      </c>
      <c r="BB21" s="35">
        <f t="shared" ref="BB21" si="195">IF(AO21="","",(AO21-AO$14)*1000)</f>
        <v>-0.35641798529839619</v>
      </c>
      <c r="BC21" s="35">
        <f t="shared" ref="BC21" si="196">IF(AP21="","",(AP21-AP$14)*1000)</f>
        <v>5.4464087974978592E-2</v>
      </c>
      <c r="BD21" s="35">
        <f t="shared" ref="BD21" si="197">IF(AQ21="","",(AQ21-AQ$14)*1000)</f>
        <v>-0.79999999999813554</v>
      </c>
      <c r="BE21" s="35">
        <f t="shared" ref="BE21" si="198">IF(AR21="","",(AR21-AR$10)*1000)</f>
        <v>0.19629158247980172</v>
      </c>
      <c r="BF21" s="35">
        <f t="shared" ref="BF21" si="199">IF(AS21="","",(AS21-AS$10)*1000)</f>
        <v>-0.18430856661688297</v>
      </c>
      <c r="BG21" s="35">
        <f t="shared" ref="BG21" si="200">IF(AT21="","",(AT21-AT$10)*1000)</f>
        <v>0.20000000000663931</v>
      </c>
    </row>
    <row r="22" spans="1:59" s="57" customFormat="1" ht="29.25" customHeight="1">
      <c r="A22" s="78">
        <v>45565</v>
      </c>
      <c r="B22" s="25">
        <f t="shared" ref="B22" si="201">A22-A$10</f>
        <v>33</v>
      </c>
      <c r="C22" s="80" cm="1">
        <f t="array" ref="C22">IFERROR(_xlfn.SINGLE(INDEX(DATABASE!$AV$14:$BC$968,SUMPRODUCT((ROW(DATABASE!$AV$14:$AV$968)) * (DATABASE!AV$14:$AV$968='Résultats observations'!$A22 ) * (DATABASE!$AW$14:$AW$968= C$4))-ROW(DATABASE!$AV$14)+1,C$5)),"")</f>
        <v>823147.64859999996</v>
      </c>
      <c r="D22" s="158" cm="1">
        <f t="array" ref="D22">IFERROR(_xlfn.SINGLE(INDEX(DATABASE!$AV$14:$BC$968,SUMPRODUCT((ROW(DATABASE!$AV$14:$AV$968)) * (DATABASE!$AV$14:AW$968='Résultats observations'!$A22 ) * (DATABASE!$AW$14:$AW$968= D$4))-ROW(DATABASE!$AV$14)+1,D$5)),"")</f>
        <v>1091710.0845000001</v>
      </c>
      <c r="E22" s="158" cm="1">
        <f t="array" ref="E22">IFERROR(_xlfn.SINGLE(INDEX(DATABASE!$AV$14:$BC$968,SUMPRODUCT((ROW(DATABASE!$AV$14:$AV$968)) * (DATABASE!$AV$14:AX$968='Résultats observations'!$A22 ) * (DATABASE!$AW$14:$AW$968= E$4))-ROW(DATABASE!$AV$14)+1,E$5)),"")</f>
        <v>-121.57040000000001</v>
      </c>
      <c r="F22" s="158" cm="1">
        <f t="array" ref="F22">IFERROR(_xlfn.SINGLE(INDEX(DATABASE!$AV$14:$BC$968,SUMPRODUCT((ROW(DATABASE!$AV$14:$AV$968)) * (DATABASE!$AV$14:AY$968='Résultats observations'!$A22 ) * (DATABASE!$AW$14:$AW$968= F$4))-ROW(DATABASE!$AV$14)+1,F$5)),"")</f>
        <v>823147.59180000005</v>
      </c>
      <c r="G22" s="158" cm="1">
        <f t="array" ref="G22">IFERROR(_xlfn.SINGLE(INDEX(DATABASE!$AV$14:$BC$968,SUMPRODUCT((ROW(DATABASE!$AV$14:$AV$968)) * (DATABASE!$AV$14:AZ$968='Résultats observations'!$A22 ) * (DATABASE!$AW$14:$AW$968= G$4))-ROW(DATABASE!$AV$14)+1,G$5)),"")</f>
        <v>1091710.2524000001</v>
      </c>
      <c r="H22" s="158" cm="1">
        <f t="array" ref="H22">IFERROR(_xlfn.SINGLE(INDEX(DATABASE!$AV$14:$BC$968,SUMPRODUCT((ROW(DATABASE!$AV$14:$AV$968)) * (DATABASE!$AV$14:BA$968='Résultats observations'!$A22 ) * (DATABASE!$AW$14:$AW$968= H$4))-ROW(DATABASE!$AV$14)+1,H$5)),"")</f>
        <v>-121.908</v>
      </c>
      <c r="I22" s="167" cm="1">
        <f t="array" ref="I22">IFERROR(_xlfn.SINGLE(INDEX(DATABASE!$AV$14:$BC$968,SUMPRODUCT((ROW(DATABASE!$AV$14:$AV$968)) * (DATABASE!$AV$14:BB$968='Résultats observations'!$A22 ) * (DATABASE!$AW$14:$AW$968= I$4))-ROW(DATABASE!$AV$14)+1,I$5)),"")</f>
        <v>823147.56530000002</v>
      </c>
      <c r="J22" s="167" cm="1">
        <f t="array" ref="J22">IFERROR(_xlfn.SINGLE(INDEX(DATABASE!$AV$14:$BC$968,SUMPRODUCT((ROW(DATABASE!$AV$14:$AV$968)) * (DATABASE!$AV$14:BC$968='Résultats observations'!$A22 ) * (DATABASE!$AW$14:$AW$968= J$4))-ROW(DATABASE!$AV$14)+1,J$5)),"")</f>
        <v>1091710.4097</v>
      </c>
      <c r="K22" s="167" cm="1">
        <f t="array" ref="K22">IFERROR(_xlfn.SINGLE(INDEX(DATABASE!$AV$14:$BC$968,SUMPRODUCT((ROW(DATABASE!$AV$14:$AV$968)) * (DATABASE!$AV$14:BD$968='Résultats observations'!$A22 ) * (DATABASE!$AW$14:$AW$968= K$4))-ROW(DATABASE!$AV$14)+1,K$5)),"")</f>
        <v>-122.35470000000001</v>
      </c>
      <c r="L22" s="158" cm="1">
        <f t="array" ref="L22">IFERROR(_xlfn.SINGLE(INDEX(DATABASE!$AV$14:$BC$968,SUMPRODUCT((ROW(DATABASE!$AV$14:$AV$968)) * (DATABASE!$AV$14:BE$968='Résultats observations'!$A22 ) * (DATABASE!$AW$14:$AW$968= L$4))-ROW(DATABASE!$AV$14)+1,L$5)),"")</f>
        <v>823149.98910000001</v>
      </c>
      <c r="M22" s="158" cm="1">
        <f t="array" ref="M22">IFERROR(_xlfn.SINGLE(INDEX(DATABASE!$AV$14:$BC$968,SUMPRODUCT((ROW(DATABASE!$AV$14:$AV$968)) * (DATABASE!$AV$14:BF$968='Résultats observations'!$A22 ) * (DATABASE!$AW$14:$AW$968= M$4))-ROW(DATABASE!$AV$14)+1,M$5)),"")</f>
        <v>1091705.0819000001</v>
      </c>
      <c r="N22" s="158" cm="1">
        <f t="array" ref="N22">IFERROR(_xlfn.SINGLE(INDEX(DATABASE!$AV$14:$BC$968,SUMPRODUCT((ROW(DATABASE!$AV$14:$AV$968)) * (DATABASE!$AV$14:BG$968='Résultats observations'!$A22 ) * (DATABASE!$AW$14:$AW$968= N$4))-ROW(DATABASE!$AV$14)+1,N$5)),"")</f>
        <v>-121.78270000000001</v>
      </c>
      <c r="O22" s="33">
        <f t="shared" si="0"/>
        <v>5.5271166353083112</v>
      </c>
      <c r="P22" s="33">
        <f t="shared" si="1"/>
        <v>5.700598006336957</v>
      </c>
      <c r="Q22" s="33">
        <f t="shared" si="2"/>
        <v>5.8811090177269643</v>
      </c>
      <c r="R22" s="35">
        <f t="shared" ref="R22" si="202">IF(O22="","",(O22-O$10)*1000)</f>
        <v>-1.2579198478706033</v>
      </c>
      <c r="S22" s="35">
        <f t="shared" ref="S22" si="203">IF(P22="","",(P22-P$11)*1000)</f>
        <v>-0.28186429840904026</v>
      </c>
      <c r="T22" s="35">
        <f t="shared" ref="T22" si="204">IF(Q22="","",(Q22-Q$14)*1000)</f>
        <v>-0.49885270529603787</v>
      </c>
      <c r="U22" s="34"/>
      <c r="V22" s="35">
        <f t="shared" ref="V22" si="205">IF(C22="","",(C22-C$10)*1000)</f>
        <v>-0.20000000949949026</v>
      </c>
      <c r="W22" s="35">
        <f t="shared" ref="W22" si="206">IF(D22="","",(D22-D$10)*1000)</f>
        <v>-1.1999998241662979</v>
      </c>
      <c r="X22" s="35">
        <f t="shared" ref="X22" si="207">IF(E22="","",(E22-E$10)*1000)</f>
        <v>-3.0000000000001137</v>
      </c>
      <c r="Y22" s="35">
        <f t="shared" ref="Y22" si="208">IF(F22="","",(F22-F$11)*1000)</f>
        <v>1.6000000759959221</v>
      </c>
      <c r="Z22" s="35">
        <f t="shared" ref="Z22" si="209">IF(G22="","",(G22-G$11)*1000)</f>
        <v>0.50000008195638657</v>
      </c>
      <c r="AA22" s="35">
        <f t="shared" ref="AA22" si="210">IF(H22="","",(H22-H$11)*1000)</f>
        <v>-0.79999999999813554</v>
      </c>
      <c r="AB22" s="35">
        <f t="shared" ref="AB22" si="211">IF(I22="","",(I22-I$14)*1000)</f>
        <v>-0.20000000949949026</v>
      </c>
      <c r="AC22" s="35">
        <f t="shared" ref="AC22" si="212">IF(J22="","",(J22-J$14)*1000)</f>
        <v>-0.60000014491379261</v>
      </c>
      <c r="AD22" s="35">
        <f t="shared" ref="AD22" si="213">IF(K22="","",(K22-K$14)*1000)</f>
        <v>-1.0000000000047748</v>
      </c>
      <c r="AE22" s="35">
        <f t="shared" ref="AE22" si="214">IF(L22="","",(L22-L$10)*1000)</f>
        <v>-0.75000000651925802</v>
      </c>
      <c r="AF22" s="35">
        <f t="shared" ref="AF22" si="215">IF(M22="","",(M22-M$10)*1000)</f>
        <v>-0.19999989308416843</v>
      </c>
      <c r="AG22" s="35">
        <f t="shared" ref="AG22" si="216">IF(N22="","",(N22-N$10)*1000)</f>
        <v>0.10000000000331966</v>
      </c>
      <c r="AH22" s="34"/>
      <c r="AI22" s="33" cm="1">
        <f t="array" ref="AI22">IFERROR(_xlfn.SINGLE(INDEX(DATABASE!$AV$14:$BC$968,SUMPRODUCT((ROW(DATABASE!$AV$14:$AV$968)) * (DATABASE!$AV$14:HY$968='Résultats observations'!$A22 ) * (DATABASE!$AW$14:$AW$968= AI$4))-ROW(DATABASE!$AV$14)+1,AI$5)),"")</f>
        <v>2.6866885475452666</v>
      </c>
      <c r="AJ22" s="33" cm="1">
        <f t="array" ref="AJ22">IFERROR(_xlfn.SINGLE(INDEX(DATABASE!$AV$14:$BC$968,SUMPRODUCT((ROW(DATABASE!$AV$14:$AV$968)) * (DATABASE!$AV$14:HZ$968='Résultats observations'!$A22 ) * (DATABASE!$AW$14:$AW$968= AJ$4))-ROW(DATABASE!$AV$14)+1,AJ$5)),"")</f>
        <v>6.9217135218141278E-3</v>
      </c>
      <c r="AK22" s="33" cm="1">
        <f t="array" ref="AK22">IFERROR(_xlfn.SINGLE(INDEX(DATABASE!$AV$14:$BC$968,SUMPRODUCT((ROW(DATABASE!$AV$14:$AV$968)) * (DATABASE!$AV$14:IA$968='Résultats observations'!$A22 ) * (DATABASE!$AW$14:$AW$968= AK$4))-ROW(DATABASE!$AV$14)+1,AK$5)),"")</f>
        <v>1.3835999999999871</v>
      </c>
      <c r="AL22" s="33" cm="1">
        <f t="array" ref="AL22">IFERROR(_xlfn.SINGLE(INDEX(DATABASE!$AV$14:$BC$968,SUMPRODUCT((ROW(DATABASE!$AV$14:$AV$968)) * (DATABASE!$AV$14:IB$968='Résultats observations'!$A22 ) * (DATABASE!$AW$14:$AW$968= AL$4))-ROW(DATABASE!$AV$14)+1,AL$5)),"")</f>
        <v>2.8628616906673825</v>
      </c>
      <c r="AM22" s="33" cm="1">
        <f t="array" ref="AM22">IFERROR(_xlfn.SINGLE(INDEX(DATABASE!$AV$14:$BC$968,SUMPRODUCT((ROW(DATABASE!$AV$14:$AV$968)) * (DATABASE!$AV$14:IC$968='Résultats observations'!$A22 ) * (DATABASE!$AW$14:$AW$968= AM$4))-ROW(DATABASE!$AV$14)+1,AM$5)),"")</f>
        <v>2.6406929242492095E-2</v>
      </c>
      <c r="AN22" s="33" cm="1">
        <f t="array" ref="AN22">IFERROR(_xlfn.SINGLE(INDEX(DATABASE!$AV$14:$BC$968,SUMPRODUCT((ROW(DATABASE!$AV$14:$AV$968)) * (DATABASE!$AV$14:ID$968='Résultats observations'!$A22 ) * (DATABASE!$AW$14:$AW$968= AN$4))-ROW(DATABASE!$AV$14)+1,AN$5)),"")</f>
        <v>1.0459999999999923</v>
      </c>
      <c r="AO22" s="167" cm="1">
        <f t="array" ref="AO22">IFERROR(_xlfn.SINGLE(INDEX(DATABASE!$AV$14:$BC$968,SUMPRODUCT((ROW(DATABASE!$AV$14:$AV$968)) * (DATABASE!$AV$14:IE$968='Résultats observations'!$A22 ) * (DATABASE!$AW$14:$AW$968= AO$4))-ROW(DATABASE!$AV$14)+1,AO$5)),"")</f>
        <v>3.0166218692760549</v>
      </c>
      <c r="AP22" s="167" cm="1">
        <f t="array" ref="AP22">IFERROR(_xlfn.SINGLE(INDEX(DATABASE!$AV$14:$BC$968,SUMPRODUCT((ROW(DATABASE!$AV$14:$AV$968)) * (DATABASE!$AV$14:IF$968='Résultats observations'!$A22 ) * (DATABASE!$AW$14:$AW$968= AP$4))-ROW(DATABASE!$AV$14)+1,AP$5)),"")</f>
        <v>6.8872767604068116E-2</v>
      </c>
      <c r="AQ22" s="167" cm="1">
        <f t="array" ref="AQ22">IFERROR(_xlfn.SINGLE(INDEX(DATABASE!$AV$14:$BC$968,SUMPRODUCT((ROW(DATABASE!$AV$14:$AV$968)) * (DATABASE!$AV$14:IG$968='Résultats observations'!$A22 ) * (DATABASE!$AW$14:$AW$968= AQ$4))-ROW(DATABASE!$AV$14)+1,AQ$5)),"")</f>
        <v>0.59929999999998529</v>
      </c>
      <c r="AR22" s="33" cm="1">
        <f t="array" ref="AR22">IFERROR(_xlfn.SINGLE(INDEX(DATABASE!$AV$14:$BC$968,SUMPRODUCT((ROW(DATABASE!$AV$14:$AV$968)) * (DATABASE!$AV$14:IH$968='Résultats observations'!$A22 ) * (DATABASE!$AW$14:$AW$968= AR$4))-ROW(DATABASE!$AV$14)+1,AR$5)),"")</f>
        <v>-2.836345061306786</v>
      </c>
      <c r="AS22" s="33" cm="1">
        <f t="array" ref="AS22">IFERROR(_xlfn.SINGLE(INDEX(DATABASE!$AV$14:$BC$968,SUMPRODUCT((ROW(DATABASE!$AV$14:$AV$968)) * (DATABASE!$AV$14:II$968='Résultats observations'!$A22 ) * (DATABASE!$AW$14:$AW$968= AS$4))-ROW(DATABASE!$AV$14)+1,AS$5)),"")</f>
        <v>1.3760265455296614E-2</v>
      </c>
      <c r="AT22" s="33" cm="1">
        <f t="array" ref="AT22">IFERROR(_xlfn.SINGLE(INDEX(DATABASE!$AV$14:$BC$968,SUMPRODUCT((ROW(DATABASE!$AV$14:$AV$968)) * (DATABASE!$AV$14:IJ$968='Résultats observations'!$A22 ) * (DATABASE!$AW$14:$AW$968= AT$4))-ROW(DATABASE!$AV$14)+1,AT$5)),"")</f>
        <v>1.171299999999988</v>
      </c>
      <c r="AU22" s="34"/>
      <c r="AV22" s="35">
        <f t="shared" ref="AV22" si="217">IF(AI22="","",(AI22-AI$10)*1000)</f>
        <v>-1.0030225058019759</v>
      </c>
      <c r="AW22" s="35">
        <f t="shared" ref="AW22" si="218">IF(AJ22="","",(AJ22-AJ$10)*1000)</f>
        <v>-0.68843695038293873</v>
      </c>
      <c r="AX22" s="35">
        <f t="shared" ref="AX22" si="219">IF(AK22="","",(AK22-AK$10)*1000)</f>
        <v>-3.0000000000001137</v>
      </c>
      <c r="AY22" s="35">
        <f t="shared" ref="AY22" si="220">IF(AL22="","",(AL22-AL$11)*1000)</f>
        <v>-0.22309084544103186</v>
      </c>
      <c r="AZ22" s="35">
        <f t="shared" ref="AZ22" si="221">IF(AM22="","",(AM22-AM$11)*1000)</f>
        <v>1.6613942337135243</v>
      </c>
      <c r="BA22" s="35">
        <f t="shared" ref="BA22" si="222">IF(AN22="","",(AN22-AN$11)*1000)</f>
        <v>-0.79999999999813554</v>
      </c>
      <c r="BB22" s="35">
        <f t="shared" ref="BB22" si="223">IF(AO22="","",(AO22-AO$14)*1000)</f>
        <v>-0.45924660477991708</v>
      </c>
      <c r="BC22" s="35">
        <f t="shared" ref="BC22" si="224">IF(AP22="","",(AP22-AP$14)*1000)</f>
        <v>-0.43484794318773834</v>
      </c>
      <c r="BD22" s="35">
        <f t="shared" ref="BD22" si="225">IF(AQ22="","",(AQ22-AQ$14)*1000)</f>
        <v>-1.0000000000047748</v>
      </c>
      <c r="BE22" s="35">
        <f t="shared" ref="BE22" si="226">IF(AR22="","",(AR22-AR$10)*1000)</f>
        <v>0.13572779753090458</v>
      </c>
      <c r="BF22" s="35">
        <f t="shared" ref="BF22" si="227">IF(AS22="","",(AS22-AS$10)*1000)</f>
        <v>-0.76424991461561576</v>
      </c>
      <c r="BG22" s="35">
        <f t="shared" ref="BG22" si="228">IF(AT22="","",(AT22-AT$10)*1000)</f>
        <v>0.10000000000331966</v>
      </c>
    </row>
    <row r="23" spans="1:59" s="57" customFormat="1" ht="29.25" customHeight="1">
      <c r="A23" s="78">
        <v>45567</v>
      </c>
      <c r="B23" s="25">
        <f t="shared" ref="B23" si="229">A23-A$10</f>
        <v>35</v>
      </c>
      <c r="C23" s="80" cm="1">
        <f t="array" ref="C23">IFERROR(_xlfn.SINGLE(INDEX(DATABASE!$AV$14:$BC$968,SUMPRODUCT((ROW(DATABASE!$AV$14:$AV$968)) * (DATABASE!AV$14:$AV$968='Résultats observations'!$A23 ) * (DATABASE!$AW$14:$AW$968= C$4))-ROW(DATABASE!$AV$14)+1,C$5)),"")</f>
        <v>823147.64919999999</v>
      </c>
      <c r="D23" s="158" cm="1">
        <f t="array" ref="D23">IFERROR(_xlfn.SINGLE(INDEX(DATABASE!$AV$14:$BC$968,SUMPRODUCT((ROW(DATABASE!$AV$14:$AV$968)) * (DATABASE!$AV$14:AW$968='Résultats observations'!$A23 ) * (DATABASE!$AW$14:$AW$968= D$4))-ROW(DATABASE!$AV$14)+1,D$5)),"")</f>
        <v>1091710.0848999999</v>
      </c>
      <c r="E23" s="158" cm="1">
        <f t="array" ref="E23">IFERROR(_xlfn.SINGLE(INDEX(DATABASE!$AV$14:$BC$968,SUMPRODUCT((ROW(DATABASE!$AV$14:$AV$968)) * (DATABASE!$AV$14:AX$968='Résultats observations'!$A23 ) * (DATABASE!$AW$14:$AW$968= E$4))-ROW(DATABASE!$AV$14)+1,E$5)),"")</f>
        <v>-121.5702</v>
      </c>
      <c r="F23" s="158" cm="1">
        <f t="array" ref="F23">IFERROR(_xlfn.SINGLE(INDEX(DATABASE!$AV$14:$BC$968,SUMPRODUCT((ROW(DATABASE!$AV$14:$AV$968)) * (DATABASE!$AV$14:AY$968='Résultats observations'!$A23 ) * (DATABASE!$AW$14:$AW$968= F$4))-ROW(DATABASE!$AV$14)+1,F$5)),"")</f>
        <v>823147.59180000005</v>
      </c>
      <c r="G23" s="158" cm="1">
        <f t="array" ref="G23">IFERROR(_xlfn.SINGLE(INDEX(DATABASE!$AV$14:$BC$968,SUMPRODUCT((ROW(DATABASE!$AV$14:$AV$968)) * (DATABASE!$AV$14:AZ$968='Résultats observations'!$A23 ) * (DATABASE!$AW$14:$AW$968= G$4))-ROW(DATABASE!$AV$14)+1,G$5)),"")</f>
        <v>1091710.2522</v>
      </c>
      <c r="H23" s="158" cm="1">
        <f t="array" ref="H23">IFERROR(_xlfn.SINGLE(INDEX(DATABASE!$AV$14:$BC$968,SUMPRODUCT((ROW(DATABASE!$AV$14:$AV$968)) * (DATABASE!$AV$14:BA$968='Résultats observations'!$A23 ) * (DATABASE!$AW$14:$AW$968= H$4))-ROW(DATABASE!$AV$14)+1,H$5)),"")</f>
        <v>-121.9081</v>
      </c>
      <c r="I23" s="167" cm="1">
        <f t="array" ref="I23">IFERROR(_xlfn.SINGLE(INDEX(DATABASE!$AV$14:$BC$968,SUMPRODUCT((ROW(DATABASE!$AV$14:$AV$968)) * (DATABASE!$AV$14:BB$968='Résultats observations'!$A23 ) * (DATABASE!$AW$14:$AW$968= I$4))-ROW(DATABASE!$AV$14)+1,I$5)),"")</f>
        <v>823147.56579999998</v>
      </c>
      <c r="J23" s="167" cm="1">
        <f t="array" ref="J23">IFERROR(_xlfn.SINGLE(INDEX(DATABASE!$AV$14:$BC$968,SUMPRODUCT((ROW(DATABASE!$AV$14:$AV$968)) * (DATABASE!$AV$14:BC$968='Résultats observations'!$A23 ) * (DATABASE!$AW$14:$AW$968= J$4))-ROW(DATABASE!$AV$14)+1,J$5)),"")</f>
        <v>1091710.4099000001</v>
      </c>
      <c r="K23" s="167" cm="1">
        <f t="array" ref="K23">IFERROR(_xlfn.SINGLE(INDEX(DATABASE!$AV$14:$BC$968,SUMPRODUCT((ROW(DATABASE!$AV$14:$AV$968)) * (DATABASE!$AV$14:BD$968='Résultats observations'!$A23 ) * (DATABASE!$AW$14:$AW$968= K$4))-ROW(DATABASE!$AV$14)+1,K$5)),"")</f>
        <v>-122.3545</v>
      </c>
      <c r="L23" s="158" cm="1">
        <f t="array" ref="L23">IFERROR(_xlfn.SINGLE(INDEX(DATABASE!$AV$14:$BC$968,SUMPRODUCT((ROW(DATABASE!$AV$14:$AV$968)) * (DATABASE!$AV$14:BE$968='Résultats observations'!$A23 ) * (DATABASE!$AW$14:$AW$968= L$4))-ROW(DATABASE!$AV$14)+1,L$5)),"")</f>
        <v>823149.98979999998</v>
      </c>
      <c r="M23" s="158" cm="1">
        <f t="array" ref="M23">IFERROR(_xlfn.SINGLE(INDEX(DATABASE!$AV$14:$BC$968,SUMPRODUCT((ROW(DATABASE!$AV$14:$AV$968)) * (DATABASE!$AV$14:BF$968='Résultats observations'!$A23 ) * (DATABASE!$AW$14:$AW$968= M$4))-ROW(DATABASE!$AV$14)+1,M$5)),"")</f>
        <v>1091705.0821</v>
      </c>
      <c r="N23" s="158" cm="1">
        <f t="array" ref="N23">IFERROR(_xlfn.SINGLE(INDEX(DATABASE!$AV$14:$BC$968,SUMPRODUCT((ROW(DATABASE!$AV$14:$AV$968)) * (DATABASE!$AV$14:BG$968='Résultats observations'!$A23 ) * (DATABASE!$AW$14:$AW$968= N$4))-ROW(DATABASE!$AV$14)+1,N$5)),"")</f>
        <v>-121.7825</v>
      </c>
      <c r="O23" s="33">
        <f t="shared" si="0"/>
        <v>5.5273400012105176</v>
      </c>
      <c r="P23" s="33">
        <f t="shared" si="1"/>
        <v>5.7005362352621409</v>
      </c>
      <c r="Q23" s="33">
        <f t="shared" si="2"/>
        <v>5.8811914473953673</v>
      </c>
      <c r="R23" s="35">
        <f t="shared" ref="R23" si="230">IF(O23="","",(O23-O$10)*1000)</f>
        <v>-1.0345539456642072</v>
      </c>
      <c r="S23" s="35">
        <f t="shared" ref="S23" si="231">IF(P23="","",(P23-P$11)*1000)</f>
        <v>-0.34363537322512627</v>
      </c>
      <c r="T23" s="35">
        <f t="shared" ref="T23" si="232">IF(Q23="","",(Q23-Q$14)*1000)</f>
        <v>-0.41642303689304327</v>
      </c>
      <c r="U23" s="34"/>
      <c r="V23" s="35">
        <f t="shared" ref="V23" si="233">IF(C23="","",(C23-C$10)*1000)</f>
        <v>0.40000001899898052</v>
      </c>
      <c r="W23" s="35">
        <f t="shared" ref="W23" si="234">IF(D23="","",(D23-D$10)*1000)</f>
        <v>-0.80000003799796104</v>
      </c>
      <c r="X23" s="35">
        <f t="shared" ref="X23" si="235">IF(E23="","",(E23-E$10)*1000)</f>
        <v>-2.7999999999934744</v>
      </c>
      <c r="Y23" s="35">
        <f t="shared" ref="Y23" si="236">IF(F23="","",(F23-F$11)*1000)</f>
        <v>1.6000000759959221</v>
      </c>
      <c r="Z23" s="35">
        <f t="shared" ref="Z23" si="237">IF(G23="","",(G23-G$11)*1000)</f>
        <v>0.29999995604157448</v>
      </c>
      <c r="AA23" s="35">
        <f t="shared" ref="AA23" si="238">IF(H23="","",(H23-H$11)*1000)</f>
        <v>-0.90000000000145519</v>
      </c>
      <c r="AB23" s="35">
        <f t="shared" ref="AB23" si="239">IF(I23="","",(I23-I$14)*1000)</f>
        <v>0.29999995604157448</v>
      </c>
      <c r="AC23" s="35">
        <f t="shared" ref="AC23" si="240">IF(J23="","",(J23-J$14)*1000)</f>
        <v>-0.40000001899898052</v>
      </c>
      <c r="AD23" s="35">
        <f t="shared" ref="AD23" si="241">IF(K23="","",(K23-K$14)*1000)</f>
        <v>-0.79999999999813554</v>
      </c>
      <c r="AE23" s="35">
        <f t="shared" ref="AE23" si="242">IF(L23="","",(L23-L$10)*1000)</f>
        <v>-5.0000031478703022E-2</v>
      </c>
      <c r="AF23" s="35">
        <f t="shared" ref="AF23" si="243">IF(M23="","",(M23-M$10)*1000)</f>
        <v>0</v>
      </c>
      <c r="AG23" s="35">
        <f t="shared" ref="AG23" si="244">IF(N23="","",(N23-N$10)*1000)</f>
        <v>0.30000000000995897</v>
      </c>
      <c r="AH23" s="34"/>
      <c r="AI23" s="33" cm="1">
        <f t="array" ref="AI23">IFERROR(_xlfn.SINGLE(INDEX(DATABASE!$AV$14:$BC$968,SUMPRODUCT((ROW(DATABASE!$AV$14:$AV$968)) * (DATABASE!$AV$14:HY$968='Résultats observations'!$A23 ) * (DATABASE!$AW$14:$AW$968= AI$4))-ROW(DATABASE!$AV$14)+1,AI$5)),"")</f>
        <v>2.6867974756578099</v>
      </c>
      <c r="AJ23" s="33" cm="1">
        <f t="array" ref="AJ23">IFERROR(_xlfn.SINGLE(INDEX(DATABASE!$AV$14:$BC$968,SUMPRODUCT((ROW(DATABASE!$AV$14:$AV$968)) * (DATABASE!$AV$14:HZ$968='Résultats observations'!$A23 ) * (DATABASE!$AW$14:$AW$968= AJ$4))-ROW(DATABASE!$AV$14)+1,AJ$5)),"")</f>
        <v>7.6345490774866699E-3</v>
      </c>
      <c r="AK23" s="33" cm="1">
        <f t="array" ref="AK23">IFERROR(_xlfn.SINGLE(INDEX(DATABASE!$AV$14:$BC$968,SUMPRODUCT((ROW(DATABASE!$AV$14:$AV$968)) * (DATABASE!$AV$14:IA$968='Résultats observations'!$A23 ) * (DATABASE!$AW$14:$AW$968= AK$4))-ROW(DATABASE!$AV$14)+1,AK$5)),"")</f>
        <v>1.3837999999999937</v>
      </c>
      <c r="AL23" s="33" cm="1">
        <f t="array" ref="AL23">IFERROR(_xlfn.SINGLE(INDEX(DATABASE!$AV$14:$BC$968,SUMPRODUCT((ROW(DATABASE!$AV$14:$AV$968)) * (DATABASE!$AV$14:IB$968='Résultats observations'!$A23 ) * (DATABASE!$AW$14:$AW$968= AL$4))-ROW(DATABASE!$AV$14)+1,AL$5)),"")</f>
        <v>2.862680431822695</v>
      </c>
      <c r="AM23" s="33" cm="1">
        <f t="array" ref="AM23">IFERROR(_xlfn.SINGLE(INDEX(DATABASE!$AV$14:$BC$968,SUMPRODUCT((ROW(DATABASE!$AV$14:$AV$968)) * (DATABASE!$AV$14:IC$968='Résultats observations'!$A23 ) * (DATABASE!$AW$14:$AW$968= AM$4))-ROW(DATABASE!$AV$14)+1,AM$5)),"")</f>
        <v>2.6322399475022424E-2</v>
      </c>
      <c r="AN23" s="33" cm="1">
        <f t="array" ref="AN23">IFERROR(_xlfn.SINGLE(INDEX(DATABASE!$AV$14:$BC$968,SUMPRODUCT((ROW(DATABASE!$AV$14:$AV$968)) * (DATABASE!$AV$14:ID$968='Résultats observations'!$A23 ) * (DATABASE!$AW$14:$AW$968= AN$4))-ROW(DATABASE!$AV$14)+1,AN$5)),"")</f>
        <v>1.0458999999999889</v>
      </c>
      <c r="AO23" s="167" cm="1">
        <f t="array" ref="AO23">IFERROR(_xlfn.SINGLE(INDEX(DATABASE!$AV$14:$BC$968,SUMPRODUCT((ROW(DATABASE!$AV$14:$AV$968)) * (DATABASE!$AV$14:IE$968='Résultats observations'!$A23 ) * (DATABASE!$AW$14:$AW$968= AO$4))-ROW(DATABASE!$AV$14)+1,AO$5)),"")</f>
        <v>3.0165918038496726</v>
      </c>
      <c r="AP23" s="167" cm="1">
        <f t="array" ref="AP23">IFERROR(_xlfn.SINGLE(INDEX(DATABASE!$AV$14:$BC$968,SUMPRODUCT((ROW(DATABASE!$AV$14:$AV$968)) * (DATABASE!$AV$14:IF$968='Résultats observations'!$A23 ) * (DATABASE!$AW$14:$AW$968= AP$4))-ROW(DATABASE!$AV$14)+1,AP$5)),"")</f>
        <v>6.9410444166738902E-2</v>
      </c>
      <c r="AQ23" s="167" cm="1">
        <f t="array" ref="AQ23">IFERROR(_xlfn.SINGLE(INDEX(DATABASE!$AV$14:$BC$968,SUMPRODUCT((ROW(DATABASE!$AV$14:$AV$968)) * (DATABASE!$AV$14:IG$968='Résultats observations'!$A23 ) * (DATABASE!$AW$14:$AW$968= AQ$4))-ROW(DATABASE!$AV$14)+1,AQ$5)),"")</f>
        <v>0.59949999999999193</v>
      </c>
      <c r="AR23" s="33" cm="1">
        <f t="array" ref="AR23">IFERROR(_xlfn.SINGLE(INDEX(DATABASE!$AV$14:$BC$968,SUMPRODUCT((ROW(DATABASE!$AV$14:$AV$968)) * (DATABASE!$AV$14:IH$968='Résultats observations'!$A23 ) * (DATABASE!$AW$14:$AW$968= AR$4))-ROW(DATABASE!$AV$14)+1,AR$5)),"")</f>
        <v>-2.8364596566624489</v>
      </c>
      <c r="AS23" s="33" cm="1">
        <f t="array" ref="AS23">IFERROR(_xlfn.SINGLE(INDEX(DATABASE!$AV$14:$BC$968,SUMPRODUCT((ROW(DATABASE!$AV$14:$AV$968)) * (DATABASE!$AV$14:II$968='Résultats observations'!$A23 ) * (DATABASE!$AW$14:$AW$968= AS$4))-ROW(DATABASE!$AV$14)+1,AS$5)),"")</f>
        <v>1.4479200658740188E-2</v>
      </c>
      <c r="AT23" s="33" cm="1">
        <f t="array" ref="AT23">IFERROR(_xlfn.SINGLE(INDEX(DATABASE!$AV$14:$BC$968,SUMPRODUCT((ROW(DATABASE!$AV$14:$AV$968)) * (DATABASE!$AV$14:IJ$968='Résultats observations'!$A23 ) * (DATABASE!$AW$14:$AW$968= AT$4))-ROW(DATABASE!$AV$14)+1,AT$5)),"")</f>
        <v>1.1714999999999947</v>
      </c>
      <c r="AU23" s="34"/>
      <c r="AV23" s="35">
        <f t="shared" ref="AV23" si="245">IF(AI23="","",(AI23-AI$10)*1000)</f>
        <v>-0.89409439325871531</v>
      </c>
      <c r="AW23" s="35">
        <f t="shared" ref="AW23" si="246">IF(AJ23="","",(AJ23-AJ$10)*1000)</f>
        <v>2.439860528960329E-2</v>
      </c>
      <c r="AX23" s="35">
        <f t="shared" ref="AX23" si="247">IF(AK23="","",(AK23-AK$10)*1000)</f>
        <v>-2.7999999999934744</v>
      </c>
      <c r="AY23" s="35">
        <f t="shared" ref="AY23" si="248">IF(AL23="","",(AL23-AL$11)*1000)</f>
        <v>-0.40434969012848043</v>
      </c>
      <c r="AZ23" s="35">
        <f t="shared" ref="AZ23" si="249">IF(AM23="","",(AM23-AM$11)*1000)</f>
        <v>1.5768644662438533</v>
      </c>
      <c r="BA23" s="35">
        <f t="shared" ref="BA23" si="250">IF(AN23="","",(AN23-AN$11)*1000)</f>
        <v>-0.90000000000145519</v>
      </c>
      <c r="BB23" s="35">
        <f t="shared" ref="BB23" si="251">IF(AO23="","",(AO23-AO$14)*1000)</f>
        <v>-0.48931203116220345</v>
      </c>
      <c r="BC23" s="35">
        <f t="shared" ref="BC23" si="252">IF(AP23="","",(AP23-AP$14)*1000)</f>
        <v>0.10282861948304745</v>
      </c>
      <c r="BD23" s="35">
        <f t="shared" ref="BD23" si="253">IF(AQ23="","",(AQ23-AQ$14)*1000)</f>
        <v>-0.79999999999813554</v>
      </c>
      <c r="BE23" s="35">
        <f t="shared" ref="BE23" si="254">IF(AR23="","",(AR23-AR$10)*1000)</f>
        <v>2.1132441867965923E-2</v>
      </c>
      <c r="BF23" s="35">
        <f t="shared" ref="BF23" si="255">IF(AS23="","",(AS23-AS$10)*1000)</f>
        <v>-4.531471117204082E-2</v>
      </c>
      <c r="BG23" s="35">
        <f t="shared" ref="BG23" si="256">IF(AT23="","",(AT23-AT$10)*1000)</f>
        <v>0.30000000000995897</v>
      </c>
    </row>
    <row r="24" spans="1:59" s="57" customFormat="1" ht="29.25" customHeight="1">
      <c r="A24" s="78">
        <v>45569</v>
      </c>
      <c r="B24" s="25">
        <f t="shared" ref="B24" si="257">A24-A$10</f>
        <v>37</v>
      </c>
      <c r="C24" s="80" cm="1">
        <f t="array" ref="C24">IFERROR(_xlfn.SINGLE(INDEX(DATABASE!$AV$14:$BC$968,SUMPRODUCT((ROW(DATABASE!$AV$14:$AV$968)) * (DATABASE!AV$14:$AV$968='Résultats observations'!$A24 ) * (DATABASE!$AW$14:$AW$968= C$4))-ROW(DATABASE!$AV$14)+1,C$5)),"")</f>
        <v>823147.64930000005</v>
      </c>
      <c r="D24" s="158" cm="1">
        <f t="array" ref="D24">IFERROR(_xlfn.SINGLE(INDEX(DATABASE!$AV$14:$BC$968,SUMPRODUCT((ROW(DATABASE!$AV$14:$AV$968)) * (DATABASE!$AV$14:AW$968='Résultats observations'!$A24 ) * (DATABASE!$AW$14:$AW$968= D$4))-ROW(DATABASE!$AV$14)+1,D$5)),"")</f>
        <v>1091710.0854</v>
      </c>
      <c r="E24" s="158" cm="1">
        <f t="array" ref="E24">IFERROR(_xlfn.SINGLE(INDEX(DATABASE!$AV$14:$BC$968,SUMPRODUCT((ROW(DATABASE!$AV$14:$AV$968)) * (DATABASE!$AV$14:AX$968='Résultats observations'!$A24 ) * (DATABASE!$AW$14:$AW$968= E$4))-ROW(DATABASE!$AV$14)+1,E$5)),"")</f>
        <v>-121.5705</v>
      </c>
      <c r="F24" s="158" cm="1">
        <f t="array" ref="F24">IFERROR(_xlfn.SINGLE(INDEX(DATABASE!$AV$14:$BC$968,SUMPRODUCT((ROW(DATABASE!$AV$14:$AV$968)) * (DATABASE!$AV$14:AY$968='Résultats observations'!$A24 ) * (DATABASE!$AW$14:$AW$968= F$4))-ROW(DATABASE!$AV$14)+1,F$5)),"")</f>
        <v>823147.59169999999</v>
      </c>
      <c r="G24" s="158" cm="1">
        <f t="array" ref="G24">IFERROR(_xlfn.SINGLE(INDEX(DATABASE!$AV$14:$BC$968,SUMPRODUCT((ROW(DATABASE!$AV$14:$AV$968)) * (DATABASE!$AV$14:AZ$968='Résultats observations'!$A24 ) * (DATABASE!$AW$14:$AW$968= G$4))-ROW(DATABASE!$AV$14)+1,G$5)),"")</f>
        <v>1091710.2520999999</v>
      </c>
      <c r="H24" s="158" cm="1">
        <f t="array" ref="H24">IFERROR(_xlfn.SINGLE(INDEX(DATABASE!$AV$14:$BC$968,SUMPRODUCT((ROW(DATABASE!$AV$14:$AV$968)) * (DATABASE!$AV$14:BA$968='Résultats observations'!$A24 ) * (DATABASE!$AW$14:$AW$968= H$4))-ROW(DATABASE!$AV$14)+1,H$5)),"")</f>
        <v>-121.9085</v>
      </c>
      <c r="I24" s="167" cm="1">
        <f t="array" ref="I24">IFERROR(_xlfn.SINGLE(INDEX(DATABASE!$AV$14:$BC$968,SUMPRODUCT((ROW(DATABASE!$AV$14:$AV$968)) * (DATABASE!$AV$14:BB$968='Résultats observations'!$A24 ) * (DATABASE!$AW$14:$AW$968= I$4))-ROW(DATABASE!$AV$14)+1,I$5)),"")</f>
        <v>823147.56599999999</v>
      </c>
      <c r="J24" s="167" cm="1">
        <f t="array" ref="J24">IFERROR(_xlfn.SINGLE(INDEX(DATABASE!$AV$14:$BC$968,SUMPRODUCT((ROW(DATABASE!$AV$14:$AV$968)) * (DATABASE!$AV$14:BC$968='Résultats observations'!$A24 ) * (DATABASE!$AW$14:$AW$968= J$4))-ROW(DATABASE!$AV$14)+1,J$5)),"")</f>
        <v>1091710.4109</v>
      </c>
      <c r="K24" s="167" cm="1">
        <f t="array" ref="K24">IFERROR(_xlfn.SINGLE(INDEX(DATABASE!$AV$14:$BC$968,SUMPRODUCT((ROW(DATABASE!$AV$14:$AV$968)) * (DATABASE!$AV$14:BD$968='Résultats observations'!$A24 ) * (DATABASE!$AW$14:$AW$968= K$4))-ROW(DATABASE!$AV$14)+1,K$5)),"")</f>
        <v>-122.35469999999999</v>
      </c>
      <c r="L24" s="158" cm="1">
        <f t="array" ref="L24">IFERROR(_xlfn.SINGLE(INDEX(DATABASE!$AV$14:$BC$968,SUMPRODUCT((ROW(DATABASE!$AV$14:$AV$968)) * (DATABASE!$AV$14:BE$968='Résultats observations'!$A24 ) * (DATABASE!$AW$14:$AW$968= L$4))-ROW(DATABASE!$AV$14)+1,L$5)),"")</f>
        <v>823149.98970000003</v>
      </c>
      <c r="M24" s="158" cm="1">
        <f t="array" ref="M24">IFERROR(_xlfn.SINGLE(INDEX(DATABASE!$AV$14:$BC$968,SUMPRODUCT((ROW(DATABASE!$AV$14:$AV$968)) * (DATABASE!$AV$14:BF$968='Résultats observations'!$A24 ) * (DATABASE!$AW$14:$AW$968= M$4))-ROW(DATABASE!$AV$14)+1,M$5)),"")</f>
        <v>1091705.0826999999</v>
      </c>
      <c r="N24" s="158" cm="1">
        <f t="array" ref="N24">IFERROR(_xlfn.SINGLE(INDEX(DATABASE!$AV$14:$BC$968,SUMPRODUCT((ROW(DATABASE!$AV$14:$AV$968)) * (DATABASE!$AV$14:BG$968='Résultats observations'!$A24 ) * (DATABASE!$AW$14:$AW$968= N$4))-ROW(DATABASE!$AV$14)+1,N$5)),"")</f>
        <v>-121.78270000000001</v>
      </c>
      <c r="O24" s="33">
        <f t="shared" si="0"/>
        <v>5.5271609611659667</v>
      </c>
      <c r="P24" s="33">
        <f t="shared" si="1"/>
        <v>5.6999057887260784</v>
      </c>
      <c r="Q24" s="33">
        <f t="shared" si="2"/>
        <v>5.8814301773745488</v>
      </c>
      <c r="R24" s="35">
        <f t="shared" ref="R24" si="258">IF(O24="","",(O24-O$10)*1000)</f>
        <v>-1.2135939902151449</v>
      </c>
      <c r="S24" s="35">
        <f t="shared" ref="S24" si="259">IF(P24="","",(P24-P$11)*1000)</f>
        <v>-0.97408190928760519</v>
      </c>
      <c r="T24" s="35">
        <f t="shared" ref="T24" si="260">IF(Q24="","",(Q24-Q$14)*1000)</f>
        <v>-0.17769305771153654</v>
      </c>
      <c r="U24" s="34"/>
      <c r="V24" s="35">
        <f t="shared" ref="V24" si="261">IF(C24="","",(C24-C$10)*1000)</f>
        <v>0.50000008195638657</v>
      </c>
      <c r="W24" s="35">
        <f t="shared" ref="W24" si="262">IF(D24="","",(D24-D$10)*1000)</f>
        <v>-0.29999995604157448</v>
      </c>
      <c r="X24" s="35">
        <f t="shared" ref="X24" si="263">IF(E24="","",(E24-E$10)*1000)</f>
        <v>-3.0999999999892225</v>
      </c>
      <c r="Y24" s="35">
        <f t="shared" ref="Y24" si="264">IF(F24="","",(F24-F$11)*1000)</f>
        <v>1.500000013038516</v>
      </c>
      <c r="Z24" s="35">
        <f t="shared" ref="Z24" si="265">IF(G24="","",(G24-G$11)*1000)</f>
        <v>0.19999989308416843</v>
      </c>
      <c r="AA24" s="35">
        <f t="shared" ref="AA24" si="266">IF(H24="","",(H24-H$11)*1000)</f>
        <v>-1.300000000000523</v>
      </c>
      <c r="AB24" s="35">
        <f t="shared" ref="AB24" si="267">IF(I24="","",(I24-I$14)*1000)</f>
        <v>0.49999996554106474</v>
      </c>
      <c r="AC24" s="35">
        <f t="shared" ref="AC24" si="268">IF(J24="","",(J24-J$14)*1000)</f>
        <v>0.59999991208314896</v>
      </c>
      <c r="AD24" s="35">
        <f t="shared" ref="AD24" si="269">IF(K24="","",(K24-K$14)*1000)</f>
        <v>-0.99999999999056399</v>
      </c>
      <c r="AE24" s="35">
        <f t="shared" ref="AE24" si="270">IF(L24="","",(L24-L$10)*1000)</f>
        <v>-0.14999997802078724</v>
      </c>
      <c r="AF24" s="35">
        <f t="shared" ref="AF24" si="271">IF(M24="","",(M24-M$10)*1000)</f>
        <v>0.59999991208314896</v>
      </c>
      <c r="AG24" s="35">
        <f t="shared" ref="AG24" si="272">IF(N24="","",(N24-N$10)*1000)</f>
        <v>0.10000000000331966</v>
      </c>
      <c r="AH24" s="34"/>
      <c r="AI24" s="33" cm="1">
        <f t="array" ref="AI24">IFERROR(_xlfn.SINGLE(INDEX(DATABASE!$AV$14:$BC$968,SUMPRODUCT((ROW(DATABASE!$AV$14:$AV$968)) * (DATABASE!$AV$14:HY$968='Résultats observations'!$A24 ) * (DATABASE!$AW$14:$AW$968= AI$4))-ROW(DATABASE!$AV$14)+1,AI$5)),"")</f>
        <v>2.6872083576747792</v>
      </c>
      <c r="AJ24" s="33" cm="1">
        <f t="array" ref="AJ24">IFERROR(_xlfn.SINGLE(INDEX(DATABASE!$AV$14:$BC$968,SUMPRODUCT((ROW(DATABASE!$AV$14:$AV$968)) * (DATABASE!$AV$14:HZ$968='Résultats observations'!$A24 ) * (DATABASE!$AW$14:$AW$968= AJ$4))-ROW(DATABASE!$AV$14)+1,AJ$5)),"")</f>
        <v>7.9365028201007631E-3</v>
      </c>
      <c r="AK24" s="33" cm="1">
        <f t="array" ref="AK24">IFERROR(_xlfn.SINGLE(INDEX(DATABASE!$AV$14:$BC$968,SUMPRODUCT((ROW(DATABASE!$AV$14:$AV$968)) * (DATABASE!$AV$14:IA$968='Résultats observations'!$A24 ) * (DATABASE!$AW$14:$AW$968= AK$4))-ROW(DATABASE!$AV$14)+1,AK$5)),"")</f>
        <v>1.383499999999998</v>
      </c>
      <c r="AL24" s="33" cm="1">
        <f t="array" ref="AL24">IFERROR(_xlfn.SINGLE(INDEX(DATABASE!$AV$14:$BC$968,SUMPRODUCT((ROW(DATABASE!$AV$14:$AV$968)) * (DATABASE!$AV$14:IB$968='Résultats observations'!$A24 ) * (DATABASE!$AW$14:$AW$968= AL$4))-ROW(DATABASE!$AV$14)+1,AL$5)),"")</f>
        <v>2.8626320672840868</v>
      </c>
      <c r="AM24" s="33" cm="1">
        <f t="array" ref="AM24">IFERROR(_xlfn.SINGLE(INDEX(DATABASE!$AV$14:$BC$968,SUMPRODUCT((ROW(DATABASE!$AV$14:$AV$968)) * (DATABASE!$AV$14:IC$968='Résultats observations'!$A24 ) * (DATABASE!$AW$14:$AW$968= AM$4))-ROW(DATABASE!$AV$14)+1,AM$5)),"")</f>
        <v>2.6189505168941991E-2</v>
      </c>
      <c r="AN24" s="33" cm="1">
        <f t="array" ref="AN24">IFERROR(_xlfn.SINGLE(INDEX(DATABASE!$AV$14:$BC$968,SUMPRODUCT((ROW(DATABASE!$AV$14:$AV$968)) * (DATABASE!$AV$14:ID$968='Résultats observations'!$A24 ) * (DATABASE!$AW$14:$AW$968= AN$4))-ROW(DATABASE!$AV$14)+1,AN$5)),"")</f>
        <v>1.0454999999999899</v>
      </c>
      <c r="AO24" s="167" cm="1">
        <f t="array" ref="AO24">IFERROR(_xlfn.SINGLE(INDEX(DATABASE!$AV$14:$BC$968,SUMPRODUCT((ROW(DATABASE!$AV$14:$AV$968)) * (DATABASE!$AV$14:IE$968='Résultats observations'!$A24 ) * (DATABASE!$AW$14:$AW$968= AO$4))-ROW(DATABASE!$AV$14)+1,AO$5)),"")</f>
        <v>3.0174135677218006</v>
      </c>
      <c r="AP24" s="167" cm="1">
        <f t="array" ref="AP24">IFERROR(_xlfn.SINGLE(INDEX(DATABASE!$AV$14:$BC$968,SUMPRODUCT((ROW(DATABASE!$AV$14:$AV$968)) * (DATABASE!$AV$14:IF$968='Résultats observations'!$A24 ) * (DATABASE!$AW$14:$AW$968= AP$4))-ROW(DATABASE!$AV$14)+1,AP$5)),"")</f>
        <v>7.0014351448057455E-2</v>
      </c>
      <c r="AQ24" s="167" cm="1">
        <f t="array" ref="AQ24">IFERROR(_xlfn.SINGLE(INDEX(DATABASE!$AV$14:$BC$968,SUMPRODUCT((ROW(DATABASE!$AV$14:$AV$968)) * (DATABASE!$AV$14:IG$968='Résultats observations'!$A24 ) * (DATABASE!$AW$14:$AW$968= AQ$4))-ROW(DATABASE!$AV$14)+1,AQ$5)),"")</f>
        <v>0.5992999999999995</v>
      </c>
      <c r="AR24" s="33" cm="1">
        <f t="array" ref="AR24">IFERROR(_xlfn.SINGLE(INDEX(DATABASE!$AV$14:$BC$968,SUMPRODUCT((ROW(DATABASE!$AV$14:$AV$968)) * (DATABASE!$AV$14:IH$968='Résultats observations'!$A24 ) * (DATABASE!$AW$14:$AW$968= AR$4))-ROW(DATABASE!$AV$14)+1,AR$5)),"")</f>
        <v>-2.8358736157158817</v>
      </c>
      <c r="AS24" s="33" cm="1">
        <f t="array" ref="AS24">IFERROR(_xlfn.SINGLE(INDEX(DATABASE!$AV$14:$BC$968,SUMPRODUCT((ROW(DATABASE!$AV$14:$AV$968)) * (DATABASE!$AV$14:II$968='Résultats observations'!$A24 ) * (DATABASE!$AW$14:$AW$968= AS$4))-ROW(DATABASE!$AV$14)+1,AS$5)),"")</f>
        <v>1.464216044750564E-2</v>
      </c>
      <c r="AT24" s="33" cm="1">
        <f t="array" ref="AT24">IFERROR(_xlfn.SINGLE(INDEX(DATABASE!$AV$14:$BC$968,SUMPRODUCT((ROW(DATABASE!$AV$14:$AV$968)) * (DATABASE!$AV$14:IJ$968='Résultats observations'!$A24 ) * (DATABASE!$AW$14:$AW$968= AT$4))-ROW(DATABASE!$AV$14)+1,AT$5)),"")</f>
        <v>1.171299999999988</v>
      </c>
      <c r="AU24" s="34"/>
      <c r="AV24" s="35">
        <f t="shared" ref="AV24" si="273">IF(AI24="","",(AI24-AI$10)*1000)</f>
        <v>-0.48321237628945468</v>
      </c>
      <c r="AW24" s="35">
        <f t="shared" ref="AW24" si="274">IF(AJ24="","",(AJ24-AJ$10)*1000)</f>
        <v>0.32635234790369655</v>
      </c>
      <c r="AX24" s="35">
        <f t="shared" ref="AX24" si="275">IF(AK24="","",(AK24-AK$10)*1000)</f>
        <v>-3.0999999999892225</v>
      </c>
      <c r="AY24" s="35">
        <f t="shared" ref="AY24" si="276">IF(AL24="","",(AL24-AL$11)*1000)</f>
        <v>-0.45271422873671696</v>
      </c>
      <c r="AZ24" s="35">
        <f t="shared" ref="AZ24" si="277">IF(AM24="","",(AM24-AM$11)*1000)</f>
        <v>1.4439701601634201</v>
      </c>
      <c r="BA24" s="35">
        <f t="shared" ref="BA24" si="278">IF(AN24="","",(AN24-AN$11)*1000)</f>
        <v>-1.300000000000523</v>
      </c>
      <c r="BB24" s="35">
        <f t="shared" ref="BB24" si="279">IF(AO24="","",(AO24-AO$14)*1000)</f>
        <v>0.33245184096575287</v>
      </c>
      <c r="BC24" s="35">
        <f t="shared" ref="BC24" si="280">IF(AP24="","",(AP24-AP$14)*1000)</f>
        <v>0.70673590080159998</v>
      </c>
      <c r="BD24" s="35">
        <f t="shared" ref="BD24" si="281">IF(AQ24="","",(AQ24-AQ$14)*1000)</f>
        <v>-0.99999999999056399</v>
      </c>
      <c r="BE24" s="35">
        <f t="shared" ref="BE24" si="282">IF(AR24="","",(AR24-AR$10)*1000)</f>
        <v>0.60717338843518931</v>
      </c>
      <c r="BF24" s="35">
        <f t="shared" ref="BF24" si="283">IF(AS24="","",(AS24-AS$10)*1000)</f>
        <v>0.11764507759341042</v>
      </c>
      <c r="BG24" s="35">
        <f t="shared" ref="BG24" si="284">IF(AT24="","",(AT24-AT$10)*1000)</f>
        <v>0.10000000000331966</v>
      </c>
    </row>
    <row r="25" spans="1:59" s="57" customFormat="1" ht="29.25" customHeight="1">
      <c r="A25" s="78">
        <v>45572</v>
      </c>
      <c r="B25" s="25">
        <f t="shared" ref="B25" si="285">A25-A$10</f>
        <v>40</v>
      </c>
      <c r="C25" s="80" cm="1">
        <f t="array" ref="C25">IFERROR(_xlfn.SINGLE(INDEX(DATABASE!$AV$14:$BC$968,SUMPRODUCT((ROW(DATABASE!$AV$14:$AV$968)) * (DATABASE!AV$14:$AV$968='Résultats observations'!$A25 ) * (DATABASE!$AW$14:$AW$968= C$4))-ROW(DATABASE!$AV$14)+1,C$5)),"")</f>
        <v>823147.64930000005</v>
      </c>
      <c r="D25" s="158" cm="1">
        <f t="array" ref="D25">IFERROR(_xlfn.SINGLE(INDEX(DATABASE!$AV$14:$BC$968,SUMPRODUCT((ROW(DATABASE!$AV$14:$AV$968)) * (DATABASE!$AV$14:AW$968='Résultats observations'!$A25 ) * (DATABASE!$AW$14:$AW$968= D$4))-ROW(DATABASE!$AV$14)+1,D$5)),"")</f>
        <v>1091710.0855</v>
      </c>
      <c r="E25" s="158" cm="1">
        <f t="array" ref="E25">IFERROR(_xlfn.SINGLE(INDEX(DATABASE!$AV$14:$BC$968,SUMPRODUCT((ROW(DATABASE!$AV$14:$AV$968)) * (DATABASE!$AV$14:AX$968='Résultats observations'!$A25 ) * (DATABASE!$AW$14:$AW$968= E$4))-ROW(DATABASE!$AV$14)+1,E$5)),"")</f>
        <v>-121.5702</v>
      </c>
      <c r="F25" s="158" cm="1">
        <f t="array" ref="F25">IFERROR(_xlfn.SINGLE(INDEX(DATABASE!$AV$14:$BC$968,SUMPRODUCT((ROW(DATABASE!$AV$14:$AV$968)) * (DATABASE!$AV$14:AY$968='Résultats observations'!$A25 ) * (DATABASE!$AW$14:$AW$968= F$4))-ROW(DATABASE!$AV$14)+1,F$5)),"")</f>
        <v>823147.59169999999</v>
      </c>
      <c r="G25" s="158" cm="1">
        <f t="array" ref="G25">IFERROR(_xlfn.SINGLE(INDEX(DATABASE!$AV$14:$BC$968,SUMPRODUCT((ROW(DATABASE!$AV$14:$AV$968)) * (DATABASE!$AV$14:AZ$968='Résultats observations'!$A25 ) * (DATABASE!$AW$14:$AW$968= G$4))-ROW(DATABASE!$AV$14)+1,G$5)),"")</f>
        <v>1091710.2524000001</v>
      </c>
      <c r="H25" s="158" cm="1">
        <f t="array" ref="H25">IFERROR(_xlfn.SINGLE(INDEX(DATABASE!$AV$14:$BC$968,SUMPRODUCT((ROW(DATABASE!$AV$14:$AV$968)) * (DATABASE!$AV$14:BA$968='Résultats observations'!$A25 ) * (DATABASE!$AW$14:$AW$968= H$4))-ROW(DATABASE!$AV$14)+1,H$5)),"")</f>
        <v>-121.9085</v>
      </c>
      <c r="I25" s="167" cm="1">
        <f t="array" ref="I25">IFERROR(_xlfn.SINGLE(INDEX(DATABASE!$AV$14:$BC$968,SUMPRODUCT((ROW(DATABASE!$AV$14:$AV$968)) * (DATABASE!$AV$14:BB$968='Résultats observations'!$A25 ) * (DATABASE!$AW$14:$AW$968= I$4))-ROW(DATABASE!$AV$14)+1,I$5)),"")</f>
        <v>823147.56579999998</v>
      </c>
      <c r="J25" s="167" cm="1">
        <f t="array" ref="J25">IFERROR(_xlfn.SINGLE(INDEX(DATABASE!$AV$14:$BC$968,SUMPRODUCT((ROW(DATABASE!$AV$14:$AV$968)) * (DATABASE!$AV$14:BC$968='Résultats observations'!$A25 ) * (DATABASE!$AW$14:$AW$968= J$4))-ROW(DATABASE!$AV$14)+1,J$5)),"")</f>
        <v>1091710.4099999999</v>
      </c>
      <c r="K25" s="167" cm="1">
        <f t="array" ref="K25">IFERROR(_xlfn.SINGLE(INDEX(DATABASE!$AV$14:$BC$968,SUMPRODUCT((ROW(DATABASE!$AV$14:$AV$968)) * (DATABASE!$AV$14:BD$968='Résultats observations'!$A25 ) * (DATABASE!$AW$14:$AW$968= K$4))-ROW(DATABASE!$AV$14)+1,K$5)),"")</f>
        <v>-122.3546</v>
      </c>
      <c r="L25" s="158" cm="1">
        <f t="array" ref="L25">IFERROR(_xlfn.SINGLE(INDEX(DATABASE!$AV$14:$BC$968,SUMPRODUCT((ROW(DATABASE!$AV$14:$AV$968)) * (DATABASE!$AV$14:BE$968='Résultats observations'!$A25 ) * (DATABASE!$AW$14:$AW$968= L$4))-ROW(DATABASE!$AV$14)+1,L$5)),"")</f>
        <v>823149.98979999998</v>
      </c>
      <c r="M25" s="158" cm="1">
        <f t="array" ref="M25">IFERROR(_xlfn.SINGLE(INDEX(DATABASE!$AV$14:$BC$968,SUMPRODUCT((ROW(DATABASE!$AV$14:$AV$968)) * (DATABASE!$AV$14:BF$968='Résultats observations'!$A25 ) * (DATABASE!$AW$14:$AW$968= M$4))-ROW(DATABASE!$AV$14)+1,M$5)),"")</f>
        <v>1091705.0825</v>
      </c>
      <c r="N25" s="158" cm="1">
        <f t="array" ref="N25">IFERROR(_xlfn.SINGLE(INDEX(DATABASE!$AV$14:$BC$968,SUMPRODUCT((ROW(DATABASE!$AV$14:$AV$968)) * (DATABASE!$AV$14:BG$968='Résultats observations'!$A25 ) * (DATABASE!$AW$14:$AW$968= N$4))-ROW(DATABASE!$AV$14)+1,N$5)),"")</f>
        <v>-121.7825</v>
      </c>
      <c r="O25" s="33">
        <f t="shared" si="0"/>
        <v>5.5274786783801382</v>
      </c>
      <c r="P25" s="33">
        <f t="shared" si="1"/>
        <v>5.7004057417822542</v>
      </c>
      <c r="Q25" s="33">
        <f t="shared" si="2"/>
        <v>5.8809294043462153</v>
      </c>
      <c r="R25" s="35">
        <f t="shared" ref="R25" si="286">IF(O25="","",(O25-O$10)*1000)</f>
        <v>-0.89587677604363591</v>
      </c>
      <c r="S25" s="35">
        <f t="shared" ref="S25" si="287">IF(P25="","",(P25-P$11)*1000)</f>
        <v>-0.47412885311182151</v>
      </c>
      <c r="T25" s="35">
        <f t="shared" ref="T25" si="288">IF(Q25="","",(Q25-Q$14)*1000)</f>
        <v>-0.67846608604504866</v>
      </c>
      <c r="U25" s="34"/>
      <c r="V25" s="35">
        <f t="shared" ref="V25" si="289">IF(C25="","",(C25-C$10)*1000)</f>
        <v>0.50000008195638657</v>
      </c>
      <c r="W25" s="35">
        <f t="shared" ref="W25" si="290">IF(D25="","",(D25-D$10)*1000)</f>
        <v>-0.19999989308416843</v>
      </c>
      <c r="X25" s="35">
        <f t="shared" ref="X25" si="291">IF(E25="","",(E25-E$10)*1000)</f>
        <v>-2.7999999999934744</v>
      </c>
      <c r="Y25" s="35">
        <f t="shared" ref="Y25" si="292">IF(F25="","",(F25-F$11)*1000)</f>
        <v>1.500000013038516</v>
      </c>
      <c r="Z25" s="35">
        <f t="shared" ref="Z25" si="293">IF(G25="","",(G25-G$11)*1000)</f>
        <v>0.50000008195638657</v>
      </c>
      <c r="AA25" s="35">
        <f t="shared" ref="AA25" si="294">IF(H25="","",(H25-H$11)*1000)</f>
        <v>-1.300000000000523</v>
      </c>
      <c r="AB25" s="35">
        <f t="shared" ref="AB25" si="295">IF(I25="","",(I25-I$14)*1000)</f>
        <v>0.29999995604157448</v>
      </c>
      <c r="AC25" s="35">
        <f t="shared" ref="AC25" si="296">IF(J25="","",(J25-J$14)*1000)</f>
        <v>-0.30000018887221813</v>
      </c>
      <c r="AD25" s="35">
        <f t="shared" ref="AD25" si="297">IF(K25="","",(K25-K$14)*1000)</f>
        <v>-0.90000000000145519</v>
      </c>
      <c r="AE25" s="35">
        <f t="shared" ref="AE25" si="298">IF(L25="","",(L25-L$10)*1000)</f>
        <v>-5.0000031478703022E-2</v>
      </c>
      <c r="AF25" s="35">
        <f t="shared" ref="AF25" si="299">IF(M25="","",(M25-M$10)*1000)</f>
        <v>0.40000001899898052</v>
      </c>
      <c r="AG25" s="35">
        <f t="shared" ref="AG25" si="300">IF(N25="","",(N25-N$10)*1000)</f>
        <v>0.30000000000995897</v>
      </c>
      <c r="AH25" s="34"/>
      <c r="AI25" s="33" cm="1">
        <f t="array" ref="AI25">IFERROR(_xlfn.SINGLE(INDEX(DATABASE!$AV$14:$BC$968,SUMPRODUCT((ROW(DATABASE!$AV$14:$AV$968)) * (DATABASE!$AV$14:HY$968='Résultats observations'!$A25 ) * (DATABASE!$AW$14:$AW$968= AI$4))-ROW(DATABASE!$AV$14)+1,AI$5)),"")</f>
        <v>2.6872989870971224</v>
      </c>
      <c r="AJ25" s="33" cm="1">
        <f t="array" ref="AJ25">IFERROR(_xlfn.SINGLE(INDEX(DATABASE!$AV$14:$BC$968,SUMPRODUCT((ROW(DATABASE!$AV$14:$AV$968)) * (DATABASE!$AV$14:HZ$968='Résultats observations'!$A25 ) * (DATABASE!$AW$14:$AW$968= AJ$4))-ROW(DATABASE!$AV$14)+1,AJ$5)),"")</f>
        <v>7.9787677038376907E-3</v>
      </c>
      <c r="AK25" s="33" cm="1">
        <f t="array" ref="AK25">IFERROR(_xlfn.SINGLE(INDEX(DATABASE!$AV$14:$BC$968,SUMPRODUCT((ROW(DATABASE!$AV$14:$AV$968)) * (DATABASE!$AV$14:IA$968='Résultats observations'!$A25 ) * (DATABASE!$AW$14:$AW$968= AK$4))-ROW(DATABASE!$AV$14)+1,AK$5)),"")</f>
        <v>1.3837999999999937</v>
      </c>
      <c r="AL25" s="33" cm="1">
        <f t="array" ref="AL25">IFERROR(_xlfn.SINGLE(INDEX(DATABASE!$AV$14:$BC$968,SUMPRODUCT((ROW(DATABASE!$AV$14:$AV$968)) * (DATABASE!$AV$14:IB$968='Résultats observations'!$A25 ) * (DATABASE!$AW$14:$AW$968= AL$4))-ROW(DATABASE!$AV$14)+1,AL$5)),"")</f>
        <v>2.8629039555511175</v>
      </c>
      <c r="AM25" s="33" cm="1">
        <f t="array" ref="AM25">IFERROR(_xlfn.SINGLE(INDEX(DATABASE!$AV$14:$BC$968,SUMPRODUCT((ROW(DATABASE!$AV$14:$AV$968)) * (DATABASE!$AV$14:IC$968='Résultats observations'!$A25 ) * (DATABASE!$AW$14:$AW$968= AM$4))-ROW(DATABASE!$AV$14)+1,AM$5)),"")</f>
        <v>2.6316299820150279E-2</v>
      </c>
      <c r="AN25" s="33" cm="1">
        <f t="array" ref="AN25">IFERROR(_xlfn.SINGLE(INDEX(DATABASE!$AV$14:$BC$968,SUMPRODUCT((ROW(DATABASE!$AV$14:$AV$968)) * (DATABASE!$AV$14:ID$968='Résultats observations'!$A25 ) * (DATABASE!$AW$14:$AW$968= AN$4))-ROW(DATABASE!$AV$14)+1,AN$5)),"")</f>
        <v>1.0454999999999899</v>
      </c>
      <c r="AO25" s="167" cm="1">
        <f t="array" ref="AO25">IFERROR(_xlfn.SINGLE(INDEX(DATABASE!$AV$14:$BC$968,SUMPRODUCT((ROW(DATABASE!$AV$14:$AV$968)) * (DATABASE!$AV$14:IE$968='Résultats observations'!$A25 ) * (DATABASE!$AW$14:$AW$968= AO$4))-ROW(DATABASE!$AV$14)+1,AO$5)),"")</f>
        <v>3.0166824330610034</v>
      </c>
      <c r="AP25" s="167" cm="1">
        <f t="array" ref="AP25">IFERROR(_xlfn.SINGLE(INDEX(DATABASE!$AV$14:$BC$968,SUMPRODUCT((ROW(DATABASE!$AV$14:$AV$968)) * (DATABASE!$AV$14:IF$968='Résultats observations'!$A25 ) * (DATABASE!$AW$14:$AW$968= AP$4))-ROW(DATABASE!$AV$14)+1,AP$5)),"")</f>
        <v>6.9452708952066955E-2</v>
      </c>
      <c r="AQ25" s="167" cm="1">
        <f t="array" ref="AQ25">IFERROR(_xlfn.SINGLE(INDEX(DATABASE!$AV$14:$BC$968,SUMPRODUCT((ROW(DATABASE!$AV$14:$AV$968)) * (DATABASE!$AV$14:IG$968='Résultats observations'!$A25 ) * (DATABASE!$AW$14:$AW$968= AQ$4))-ROW(DATABASE!$AV$14)+1,AQ$5)),"")</f>
        <v>0.59939999999998861</v>
      </c>
      <c r="AR25" s="33" cm="1">
        <f t="array" ref="AR25">IFERROR(_xlfn.SINGLE(INDEX(DATABASE!$AV$14:$BC$968,SUMPRODUCT((ROW(DATABASE!$AV$14:$AV$968)) * (DATABASE!$AV$14:IH$968='Résultats observations'!$A25 ) * (DATABASE!$AW$14:$AW$968= AR$4))-ROW(DATABASE!$AV$14)+1,AR$5)),"")</f>
        <v>-2.8360971391840879</v>
      </c>
      <c r="AS25" s="33" cm="1">
        <f t="array" ref="AS25">IFERROR(_xlfn.SINGLE(INDEX(DATABASE!$AV$14:$BC$968,SUMPRODUCT((ROW(DATABASE!$AV$14:$AV$968)) * (DATABASE!$AV$14:II$968='Résultats observations'!$A25 ) * (DATABASE!$AW$14:$AW$968= AS$4))-ROW(DATABASE!$AV$14)+1,AS$5)),"")</f>
        <v>1.4648260095277331E-2</v>
      </c>
      <c r="AT25" s="33" cm="1">
        <f t="array" ref="AT25">IFERROR(_xlfn.SINGLE(INDEX(DATABASE!$AV$14:$BC$968,SUMPRODUCT((ROW(DATABASE!$AV$14:$AV$968)) * (DATABASE!$AV$14:IJ$968='Résultats observations'!$A25 ) * (DATABASE!$AW$14:$AW$968= AT$4))-ROW(DATABASE!$AV$14)+1,AT$5)),"")</f>
        <v>1.1714999999999947</v>
      </c>
      <c r="AU25" s="34"/>
      <c r="AV25" s="35">
        <f t="shared" ref="AV25" si="301">IF(AI25="","",(AI25-AI$10)*1000)</f>
        <v>-0.39258295394617448</v>
      </c>
      <c r="AW25" s="35">
        <f t="shared" ref="AW25" si="302">IF(AJ25="","",(AJ25-AJ$10)*1000)</f>
        <v>0.3686172316406241</v>
      </c>
      <c r="AX25" s="35">
        <f t="shared" ref="AX25" si="303">IF(AK25="","",(AK25-AK$10)*1000)</f>
        <v>-2.7999999999934744</v>
      </c>
      <c r="AY25" s="35">
        <f t="shared" ref="AY25" si="304">IF(AL25="","",(AL25-AL$11)*1000)</f>
        <v>-0.18082596170598819</v>
      </c>
      <c r="AZ25" s="35">
        <f t="shared" ref="AZ25" si="305">IF(AM25="","",(AM25-AM$11)*1000)</f>
        <v>1.5707648113717081</v>
      </c>
      <c r="BA25" s="35">
        <f t="shared" ref="BA25" si="306">IF(AN25="","",(AN25-AN$11)*1000)</f>
        <v>-1.300000000000523</v>
      </c>
      <c r="BB25" s="35">
        <f t="shared" ref="BB25" si="307">IF(AO25="","",(AO25-AO$14)*1000)</f>
        <v>-0.39868281983146403</v>
      </c>
      <c r="BC25" s="35">
        <f t="shared" ref="BC25" si="308">IF(AP25="","",(AP25-AP$14)*1000)</f>
        <v>0.14509340481110022</v>
      </c>
      <c r="BD25" s="35">
        <f t="shared" ref="BD25" si="309">IF(AQ25="","",(AQ25-AQ$14)*1000)</f>
        <v>-0.90000000000145519</v>
      </c>
      <c r="BE25" s="35">
        <f t="shared" ref="BE25" si="310">IF(AR25="","",(AR25-AR$10)*1000)</f>
        <v>0.38364992022899003</v>
      </c>
      <c r="BF25" s="35">
        <f t="shared" ref="BF25" si="311">IF(AS25="","",(AS25-AS$10)*1000)</f>
        <v>0.1237447253651016</v>
      </c>
      <c r="BG25" s="35">
        <f t="shared" ref="BG25" si="312">IF(AT25="","",(AT25-AT$10)*1000)</f>
        <v>0.30000000000995897</v>
      </c>
    </row>
    <row r="26" spans="1:59" s="57" customFormat="1" ht="29.25" customHeight="1">
      <c r="A26" s="78">
        <v>45579</v>
      </c>
      <c r="B26" s="25">
        <f t="shared" ref="B26" si="313">A26-A$10</f>
        <v>47</v>
      </c>
      <c r="C26" s="80" cm="1">
        <f t="array" ref="C26">IFERROR(_xlfn.SINGLE(INDEX(DATABASE!$AV$14:$BC$968,SUMPRODUCT((ROW(DATABASE!$AV$14:$AV$968)) * (DATABASE!AV$14:$AV$968='Résultats observations'!$A26 ) * (DATABASE!$AW$14:$AW$968= C$4))-ROW(DATABASE!$AV$14)+1,C$5)),"")</f>
        <v>823147.6496</v>
      </c>
      <c r="D26" s="158" cm="1">
        <f t="array" ref="D26">IFERROR(_xlfn.SINGLE(INDEX(DATABASE!$AV$14:$BC$968,SUMPRODUCT((ROW(DATABASE!$AV$14:$AV$968)) * (DATABASE!$AV$14:AW$968='Résultats observations'!$A26 ) * (DATABASE!$AW$14:$AW$968= D$4))-ROW(DATABASE!$AV$14)+1,D$5)),"")</f>
        <v>1091710.085</v>
      </c>
      <c r="E26" s="158" cm="1">
        <f t="array" ref="E26">IFERROR(_xlfn.SINGLE(INDEX(DATABASE!$AV$14:$BC$968,SUMPRODUCT((ROW(DATABASE!$AV$14:$AV$968)) * (DATABASE!$AV$14:AX$968='Résultats observations'!$A26 ) * (DATABASE!$AW$14:$AW$968= E$4))-ROW(DATABASE!$AV$14)+1,E$5)),"")</f>
        <v>-121.5706</v>
      </c>
      <c r="F26" s="158" cm="1">
        <f t="array" ref="F26">IFERROR(_xlfn.SINGLE(INDEX(DATABASE!$AV$14:$BC$968,SUMPRODUCT((ROW(DATABASE!$AV$14:$AV$968)) * (DATABASE!$AV$14:AY$968='Résultats observations'!$A26 ) * (DATABASE!$AW$14:$AW$968= F$4))-ROW(DATABASE!$AV$14)+1,F$5)),"")</f>
        <v>823147.59210000001</v>
      </c>
      <c r="G26" s="158" cm="1">
        <f t="array" ref="G26">IFERROR(_xlfn.SINGLE(INDEX(DATABASE!$AV$14:$BC$968,SUMPRODUCT((ROW(DATABASE!$AV$14:$AV$968)) * (DATABASE!$AV$14:AZ$968='Résultats observations'!$A26 ) * (DATABASE!$AW$14:$AW$968= G$4))-ROW(DATABASE!$AV$14)+1,G$5)),"")</f>
        <v>1091710.2527000001</v>
      </c>
      <c r="H26" s="158" cm="1">
        <f t="array" ref="H26">IFERROR(_xlfn.SINGLE(INDEX(DATABASE!$AV$14:$BC$968,SUMPRODUCT((ROW(DATABASE!$AV$14:$AV$968)) * (DATABASE!$AV$14:BA$968='Résultats observations'!$A26 ) * (DATABASE!$AW$14:$AW$968= H$4))-ROW(DATABASE!$AV$14)+1,H$5)),"")</f>
        <v>-121.9084</v>
      </c>
      <c r="I26" s="167" cm="1">
        <f t="array" ref="I26">IFERROR(_xlfn.SINGLE(INDEX(DATABASE!$AV$14:$BC$968,SUMPRODUCT((ROW(DATABASE!$AV$14:$AV$968)) * (DATABASE!$AV$14:BB$968='Résultats observations'!$A26 ) * (DATABASE!$AW$14:$AW$968= I$4))-ROW(DATABASE!$AV$14)+1,I$5)),"")</f>
        <v>823147.56610000005</v>
      </c>
      <c r="J26" s="167" cm="1">
        <f t="array" ref="J26">IFERROR(_xlfn.SINGLE(INDEX(DATABASE!$AV$14:$BC$968,SUMPRODUCT((ROW(DATABASE!$AV$14:$AV$968)) * (DATABASE!$AV$14:BC$968='Résultats observations'!$A26 ) * (DATABASE!$AW$14:$AW$968= J$4))-ROW(DATABASE!$AV$14)+1,J$5)),"")</f>
        <v>1091710.4101</v>
      </c>
      <c r="K26" s="167" cm="1">
        <f t="array" ref="K26">IFERROR(_xlfn.SINGLE(INDEX(DATABASE!$AV$14:$BC$968,SUMPRODUCT((ROW(DATABASE!$AV$14:$AV$968)) * (DATABASE!$AV$14:BD$968='Résultats observations'!$A26 ) * (DATABASE!$AW$14:$AW$968= K$4))-ROW(DATABASE!$AV$14)+1,K$5)),"")</f>
        <v>-122.3548</v>
      </c>
      <c r="L26" s="158" cm="1">
        <f t="array" ref="L26">IFERROR(_xlfn.SINGLE(INDEX(DATABASE!$AV$14:$BC$968,SUMPRODUCT((ROW(DATABASE!$AV$14:$AV$968)) * (DATABASE!$AV$14:BE$968='Résultats observations'!$A26 ) * (DATABASE!$AW$14:$AW$968= L$4))-ROW(DATABASE!$AV$14)+1,L$5)),"")</f>
        <v>823149.99</v>
      </c>
      <c r="M26" s="158" cm="1">
        <f t="array" ref="M26">IFERROR(_xlfn.SINGLE(INDEX(DATABASE!$AV$14:$BC$968,SUMPRODUCT((ROW(DATABASE!$AV$14:$AV$968)) * (DATABASE!$AV$14:BF$968='Résultats observations'!$A26 ) * (DATABASE!$AW$14:$AW$968= M$4))-ROW(DATABASE!$AV$14)+1,M$5)),"")</f>
        <v>1091705.0822999999</v>
      </c>
      <c r="N26" s="158" cm="1">
        <f t="array" ref="N26">IFERROR(_xlfn.SINGLE(INDEX(DATABASE!$AV$14:$BC$968,SUMPRODUCT((ROW(DATABASE!$AV$14:$AV$968)) * (DATABASE!$AV$14:BG$968='Résultats observations'!$A26 ) * (DATABASE!$AW$14:$AW$968= N$4))-ROW(DATABASE!$AV$14)+1,N$5)),"")</f>
        <v>-121.78270000000001</v>
      </c>
      <c r="O26" s="33">
        <f t="shared" si="0"/>
        <v>5.5271571228468881</v>
      </c>
      <c r="P26" s="33">
        <f t="shared" si="1"/>
        <v>5.7007684623869901</v>
      </c>
      <c r="Q26" s="33">
        <f t="shared" si="2"/>
        <v>5.88115995876759</v>
      </c>
      <c r="R26" s="35">
        <f t="shared" ref="R26" si="314">IF(O26="","",(O26-O$10)*1000)</f>
        <v>-1.21743230929372</v>
      </c>
      <c r="S26" s="35">
        <f t="shared" ref="S26" si="315">IF(P26="","",(P26-P$11)*1000)</f>
        <v>-0.11140824837596597</v>
      </c>
      <c r="T26" s="35">
        <f t="shared" ref="T26" si="316">IF(Q26="","",(Q26-Q$14)*1000)</f>
        <v>-0.44791166467028631</v>
      </c>
      <c r="U26" s="34"/>
      <c r="V26" s="35">
        <f t="shared" ref="V26" si="317">IF(C26="","",(C26-C$10)*1000)</f>
        <v>0.80000003799796104</v>
      </c>
      <c r="W26" s="35">
        <f t="shared" ref="W26" si="318">IF(D26="","",(D26-D$10)*1000)</f>
        <v>-0.699999975040555</v>
      </c>
      <c r="X26" s="35">
        <f t="shared" ref="X26" si="319">IF(E26="","",(E26-E$10)*1000)</f>
        <v>-3.1999999999925421</v>
      </c>
      <c r="Y26" s="35">
        <f t="shared" ref="Y26" si="320">IF(F26="","",(F26-F$11)*1000)</f>
        <v>1.9000000320374966</v>
      </c>
      <c r="Z26" s="35">
        <f t="shared" ref="Z26" si="321">IF(G26="","",(G26-G$11)*1000)</f>
        <v>0.80000003799796104</v>
      </c>
      <c r="AA26" s="35">
        <f t="shared" ref="AA26" si="322">IF(H26="","",(H26-H$11)*1000)</f>
        <v>-1.1999999999972033</v>
      </c>
      <c r="AB26" s="35">
        <f t="shared" ref="AB26" si="323">IF(I26="","",(I26-I$14)*1000)</f>
        <v>0.60000002849847078</v>
      </c>
      <c r="AC26" s="35">
        <f t="shared" ref="AC26" si="324">IF(J26="","",(J26-J$14)*1000)</f>
        <v>-0.20000012591481209</v>
      </c>
      <c r="AD26" s="35">
        <f t="shared" ref="AD26" si="325">IF(K26="","",(K26-K$14)*1000)</f>
        <v>-1.0999999999938836</v>
      </c>
      <c r="AE26" s="35">
        <f t="shared" ref="AE26" si="326">IF(L26="","",(L26-L$10)*1000)</f>
        <v>0.14999997802078724</v>
      </c>
      <c r="AF26" s="35">
        <f t="shared" ref="AF26" si="327">IF(M26="","",(M26-M$10)*1000)</f>
        <v>0.19999989308416843</v>
      </c>
      <c r="AG26" s="35">
        <f t="shared" ref="AG26" si="328">IF(N26="","",(N26-N$10)*1000)</f>
        <v>0.10000000000331966</v>
      </c>
      <c r="AH26" s="34"/>
      <c r="AI26" s="33" cm="1">
        <f t="array" ref="AI26">IFERROR(_xlfn.SINGLE(INDEX(DATABASE!$AV$14:$BC$968,SUMPRODUCT((ROW(DATABASE!$AV$14:$AV$968)) * (DATABASE!$AV$14:HY$968='Résultats observations'!$A26 ) * (DATABASE!$AW$14:$AW$968= AI$4))-ROW(DATABASE!$AV$14)+1,AI$5)),"")</f>
        <v>2.686719045643617</v>
      </c>
      <c r="AJ26" s="33" cm="1">
        <f t="array" ref="AJ26">IFERROR(_xlfn.SINGLE(INDEX(DATABASE!$AV$14:$BC$968,SUMPRODUCT((ROW(DATABASE!$AV$14:$AV$968)) * (DATABASE!$AV$14:HZ$968='Résultats observations'!$A26 ) * (DATABASE!$AW$14:$AW$968= AJ$4))-ROW(DATABASE!$AV$14)+1,AJ$5)),"")</f>
        <v>8.0393314395831132E-3</v>
      </c>
      <c r="AK26" s="33" cm="1">
        <f t="array" ref="AK26">IFERROR(_xlfn.SINGLE(INDEX(DATABASE!$AV$14:$BC$968,SUMPRODUCT((ROW(DATABASE!$AV$14:$AV$968)) * (DATABASE!$AV$14:IA$968='Résultats observations'!$A26 ) * (DATABASE!$AW$14:$AW$968= AK$4))-ROW(DATABASE!$AV$14)+1,AK$5)),"")</f>
        <v>1.3833999999999946</v>
      </c>
      <c r="AL26" s="33" cm="1">
        <f t="array" ref="AL26">IFERROR(_xlfn.SINGLE(INDEX(DATABASE!$AV$14:$BC$968,SUMPRODUCT((ROW(DATABASE!$AV$14:$AV$968)) * (DATABASE!$AV$14:IB$968='Résultats observations'!$A26 ) * (DATABASE!$AW$14:$AW$968= AL$4))-ROW(DATABASE!$AV$14)+1,AL$5)),"")</f>
        <v>2.8630067841705986</v>
      </c>
      <c r="AM26" s="33" cm="1">
        <f t="array" ref="AM26">IFERROR(_xlfn.SINGLE(INDEX(DATABASE!$AV$14:$BC$968,SUMPRODUCT((ROW(DATABASE!$AV$14:$AV$968)) * (DATABASE!$AV$14:IC$968='Résultats observations'!$A26 ) * (DATABASE!$AW$14:$AW$968= AM$4))-ROW(DATABASE!$AV$14)+1,AM$5)),"")</f>
        <v>2.6805611851311986E-2</v>
      </c>
      <c r="AN26" s="33" cm="1">
        <f t="array" ref="AN26">IFERROR(_xlfn.SINGLE(INDEX(DATABASE!$AV$14:$BC$968,SUMPRODUCT((ROW(DATABASE!$AV$14:$AV$968)) * (DATABASE!$AV$14:ID$968='Résultats observations'!$A26 ) * (DATABASE!$AW$14:$AW$968= AN$4))-ROW(DATABASE!$AV$14)+1,AN$5)),"")</f>
        <v>1.0455999999999932</v>
      </c>
      <c r="AO26" s="167" cm="1">
        <f t="array" ref="AO26">IFERROR(_xlfn.SINGLE(INDEX(DATABASE!$AV$14:$BC$968,SUMPRODUCT((ROW(DATABASE!$AV$14:$AV$968)) * (DATABASE!$AV$14:IE$968='Résultats observations'!$A26 ) * (DATABASE!$AW$14:$AW$968= AO$4))-ROW(DATABASE!$AV$14)+1,AO$5)),"")</f>
        <v>3.016646267881343</v>
      </c>
      <c r="AP26" s="167" cm="1">
        <f t="array" ref="AP26">IFERROR(_xlfn.SINGLE(INDEX(DATABASE!$AV$14:$BC$968,SUMPRODUCT((ROW(DATABASE!$AV$14:$AV$968)) * (DATABASE!$AV$14:IF$968='Résultats observations'!$A26 ) * (DATABASE!$AW$14:$AW$968= AP$4))-ROW(DATABASE!$AV$14)+1,AP$5)),"")</f>
        <v>6.9766861997326679E-2</v>
      </c>
      <c r="AQ26" s="167" cm="1">
        <f t="array" ref="AQ26">IFERROR(_xlfn.SINGLE(INDEX(DATABASE!$AV$14:$BC$968,SUMPRODUCT((ROW(DATABASE!$AV$14:$AV$968)) * (DATABASE!$AV$14:IG$968='Résultats observations'!$A26 ) * (DATABASE!$AW$14:$AW$968= AQ$4))-ROW(DATABASE!$AV$14)+1,AQ$5)),"")</f>
        <v>0.59919999999999618</v>
      </c>
      <c r="AR26" s="33" cm="1">
        <f t="array" ref="AR26">IFERROR(_xlfn.SINGLE(INDEX(DATABASE!$AV$14:$BC$968,SUMPRODUCT((ROW(DATABASE!$AV$14:$AV$968)) * (DATABASE!$AV$14:IH$968='Résultats observations'!$A26 ) * (DATABASE!$AW$14:$AW$968= AR$4))-ROW(DATABASE!$AV$14)+1,AR$5)),"")</f>
        <v>-2.836362927747043</v>
      </c>
      <c r="AS26" s="33" cm="1">
        <f t="array" ref="AS26">IFERROR(_xlfn.SINGLE(INDEX(DATABASE!$AV$14:$BC$968,SUMPRODUCT((ROW(DATABASE!$AV$14:$AV$968)) * (DATABASE!$AV$14:II$968='Résultats observations'!$A26 ) * (DATABASE!$AW$14:$AW$968= AS$4))-ROW(DATABASE!$AV$14)+1,AS$5)),"")</f>
        <v>1.4744989066986527E-2</v>
      </c>
      <c r="AT26" s="33" cm="1">
        <f t="array" ref="AT26">IFERROR(_xlfn.SINGLE(INDEX(DATABASE!$AV$14:$BC$968,SUMPRODUCT((ROW(DATABASE!$AV$14:$AV$968)) * (DATABASE!$AV$14:IJ$968='Résultats observations'!$A26 ) * (DATABASE!$AW$14:$AW$968= AT$4))-ROW(DATABASE!$AV$14)+1,AT$5)),"")</f>
        <v>1.171299999999988</v>
      </c>
      <c r="AU26" s="34"/>
      <c r="AV26" s="35">
        <f t="shared" ref="AV26" si="329">IF(AI26="","",(AI26-AI$10)*1000)</f>
        <v>-0.97252440745165813</v>
      </c>
      <c r="AW26" s="35">
        <f t="shared" ref="AW26" si="330">IF(AJ26="","",(AJ26-AJ$10)*1000)</f>
        <v>0.42918096738604661</v>
      </c>
      <c r="AX26" s="35">
        <f t="shared" ref="AX26" si="331">IF(AK26="","",(AK26-AK$10)*1000)</f>
        <v>-3.1999999999925421</v>
      </c>
      <c r="AY26" s="35">
        <f t="shared" ref="AY26" si="332">IF(AL26="","",(AL26-AL$11)*1000)</f>
        <v>-7.7997342224911392E-2</v>
      </c>
      <c r="AZ26" s="35">
        <f t="shared" ref="AZ26" si="333">IF(AM26="","",(AM26-AM$11)*1000)</f>
        <v>2.0600768425334155</v>
      </c>
      <c r="BA26" s="35">
        <f t="shared" ref="BA26" si="334">IF(AN26="","",(AN26-AN$11)*1000)</f>
        <v>-1.1999999999972033</v>
      </c>
      <c r="BB26" s="35">
        <f t="shared" ref="BB26" si="335">IF(AO26="","",(AO26-AO$14)*1000)</f>
        <v>-0.4348479994917831</v>
      </c>
      <c r="BC26" s="35">
        <f t="shared" ref="BC26" si="336">IF(AP26="","",(AP26-AP$14)*1000)</f>
        <v>0.45924645007082432</v>
      </c>
      <c r="BD26" s="35">
        <f t="shared" ref="BD26" si="337">IF(AQ26="","",(AQ26-AQ$14)*1000)</f>
        <v>-1.0999999999938836</v>
      </c>
      <c r="BE26" s="35">
        <f t="shared" ref="BE26" si="338">IF(AR26="","",(AR26-AR$10)*1000)</f>
        <v>0.11786135727387403</v>
      </c>
      <c r="BF26" s="35">
        <f t="shared" ref="BF26" si="339">IF(AS26="","",(AS26-AS$10)*1000)</f>
        <v>0.22047369707429815</v>
      </c>
      <c r="BG26" s="35">
        <f t="shared" ref="BG26" si="340">IF(AT26="","",(AT26-AT$10)*1000)</f>
        <v>0.10000000000331966</v>
      </c>
    </row>
    <row r="27" spans="1:59" s="57" customFormat="1" ht="29.25" customHeight="1">
      <c r="A27" s="78">
        <v>45586</v>
      </c>
      <c r="B27" s="25">
        <f t="shared" ref="B27" si="341">A27-A$10</f>
        <v>54</v>
      </c>
      <c r="C27" s="80" cm="1">
        <f t="array" ref="C27">IFERROR(_xlfn.SINGLE(INDEX(DATABASE!$AV$14:$BC$968,SUMPRODUCT((ROW(DATABASE!$AV$14:$AV$968)) * (DATABASE!AV$14:$AV$968='Résultats observations'!$A27 ) * (DATABASE!$AW$14:$AW$968= C$4))-ROW(DATABASE!$AV$14)+1,C$5)),"")</f>
        <v>823147.64919999999</v>
      </c>
      <c r="D27" s="158" cm="1">
        <f t="array" ref="D27">IFERROR(_xlfn.SINGLE(INDEX(DATABASE!$AV$14:$BC$968,SUMPRODUCT((ROW(DATABASE!$AV$14:$AV$968)) * (DATABASE!$AV$14:AW$968='Résultats observations'!$A27 ) * (DATABASE!$AW$14:$AW$968= D$4))-ROW(DATABASE!$AV$14)+1,D$5)),"")</f>
        <v>1091710.0852999999</v>
      </c>
      <c r="E27" s="158" cm="1">
        <f t="array" ref="E27">IFERROR(_xlfn.SINGLE(INDEX(DATABASE!$AV$14:$BC$968,SUMPRODUCT((ROW(DATABASE!$AV$14:$AV$968)) * (DATABASE!$AV$14:AX$968='Résultats observations'!$A27 ) * (DATABASE!$AW$14:$AW$968= E$4))-ROW(DATABASE!$AV$14)+1,E$5)),"")</f>
        <v>-121.5706</v>
      </c>
      <c r="F27" s="158" cm="1">
        <f t="array" ref="F27">IFERROR(_xlfn.SINGLE(INDEX(DATABASE!$AV$14:$BC$968,SUMPRODUCT((ROW(DATABASE!$AV$14:$AV$968)) * (DATABASE!$AV$14:AY$968='Résultats observations'!$A27 ) * (DATABASE!$AW$14:$AW$968= F$4))-ROW(DATABASE!$AV$14)+1,F$5)),"")</f>
        <v>823147.59180000005</v>
      </c>
      <c r="G27" s="158" cm="1">
        <f t="array" ref="G27">IFERROR(_xlfn.SINGLE(INDEX(DATABASE!$AV$14:$BC$968,SUMPRODUCT((ROW(DATABASE!$AV$14:$AV$968)) * (DATABASE!$AV$14:AZ$968='Résultats observations'!$A27 ) * (DATABASE!$AW$14:$AW$968= G$4))-ROW(DATABASE!$AV$14)+1,G$5)),"")</f>
        <v>1091710.2526</v>
      </c>
      <c r="H27" s="158" cm="1">
        <f t="array" ref="H27">IFERROR(_xlfn.SINGLE(INDEX(DATABASE!$AV$14:$BC$968,SUMPRODUCT((ROW(DATABASE!$AV$14:$AV$968)) * (DATABASE!$AV$14:BA$968='Résultats observations'!$A27 ) * (DATABASE!$AW$14:$AW$968= H$4))-ROW(DATABASE!$AV$14)+1,H$5)),"")</f>
        <v>-121.9089</v>
      </c>
      <c r="I27" s="167" cm="1">
        <f t="array" ref="I27">IFERROR(_xlfn.SINGLE(INDEX(DATABASE!$AV$14:$BC$968,SUMPRODUCT((ROW(DATABASE!$AV$14:$AV$968)) * (DATABASE!$AV$14:BB$968='Résultats observations'!$A27 ) * (DATABASE!$AW$14:$AW$968= I$4))-ROW(DATABASE!$AV$14)+1,I$5)),"")</f>
        <v>823147.56590000005</v>
      </c>
      <c r="J27" s="167" cm="1">
        <f t="array" ref="J27">IFERROR(_xlfn.SINGLE(INDEX(DATABASE!$AV$14:$BC$968,SUMPRODUCT((ROW(DATABASE!$AV$14:$AV$968)) * (DATABASE!$AV$14:BC$968='Résultats observations'!$A27 ) * (DATABASE!$AW$14:$AW$968= J$4))-ROW(DATABASE!$AV$14)+1,J$5)),"")</f>
        <v>1091710.4101</v>
      </c>
      <c r="K27" s="167" cm="1">
        <f t="array" ref="K27">IFERROR(_xlfn.SINGLE(INDEX(DATABASE!$AV$14:$BC$968,SUMPRODUCT((ROW(DATABASE!$AV$14:$AV$968)) * (DATABASE!$AV$14:BD$968='Résultats observations'!$A27 ) * (DATABASE!$AW$14:$AW$968= K$4))-ROW(DATABASE!$AV$14)+1,K$5)),"")</f>
        <v>-122.355</v>
      </c>
      <c r="L27" s="158" cm="1">
        <f t="array" ref="L27">IFERROR(_xlfn.SINGLE(INDEX(DATABASE!$AV$14:$BC$968,SUMPRODUCT((ROW(DATABASE!$AV$14:$AV$968)) * (DATABASE!$AV$14:BE$968='Résultats observations'!$A27 ) * (DATABASE!$AW$14:$AW$968= L$4))-ROW(DATABASE!$AV$14)+1,L$5)),"")</f>
        <v>823149.98979999998</v>
      </c>
      <c r="M27" s="158" cm="1">
        <f t="array" ref="M27">IFERROR(_xlfn.SINGLE(INDEX(DATABASE!$AV$14:$BC$968,SUMPRODUCT((ROW(DATABASE!$AV$14:$AV$968)) * (DATABASE!$AV$14:BF$968='Résultats observations'!$A27 ) * (DATABASE!$AW$14:$AW$968= M$4))-ROW(DATABASE!$AV$14)+1,M$5)),"")</f>
        <v>1091705.0825</v>
      </c>
      <c r="N27" s="158" cm="1">
        <f t="array" ref="N27">IFERROR(_xlfn.SINGLE(INDEX(DATABASE!$AV$14:$BC$968,SUMPRODUCT((ROW(DATABASE!$AV$14:$AV$968)) * (DATABASE!$AV$14:BG$968='Résultats observations'!$A27 ) * (DATABASE!$AW$14:$AW$968= N$4))-ROW(DATABASE!$AV$14)+1,N$5)),"")</f>
        <v>-121.78270000000001</v>
      </c>
      <c r="O27" s="33">
        <f t="shared" si="0"/>
        <v>5.5273323230091647</v>
      </c>
      <c r="P27" s="33">
        <f t="shared" si="1"/>
        <v>5.7005494866316759</v>
      </c>
      <c r="Q27" s="33">
        <f t="shared" si="2"/>
        <v>5.8809982366320712</v>
      </c>
      <c r="R27" s="35">
        <f t="shared" ref="R27" si="342">IF(O27="","",(O27-O$10)*1000)</f>
        <v>-1.0422321470171525</v>
      </c>
      <c r="S27" s="35">
        <f t="shared" ref="S27" si="343">IF(P27="","",(P27-P$11)*1000)</f>
        <v>-0.33038400369012066</v>
      </c>
      <c r="T27" s="35">
        <f t="shared" ref="T27" si="344">IF(Q27="","",(Q27-Q$14)*1000)</f>
        <v>-0.60963380018907998</v>
      </c>
      <c r="U27" s="34"/>
      <c r="V27" s="35">
        <f t="shared" ref="V27" si="345">IF(C27="","",(C27-C$10)*1000)</f>
        <v>0.40000001899898052</v>
      </c>
      <c r="W27" s="35">
        <f t="shared" ref="W27" si="346">IF(D27="","",(D27-D$10)*1000)</f>
        <v>-0.40000001899898052</v>
      </c>
      <c r="X27" s="35">
        <f t="shared" ref="X27" si="347">IF(E27="","",(E27-E$10)*1000)</f>
        <v>-3.1999999999925421</v>
      </c>
      <c r="Y27" s="35">
        <f t="shared" ref="Y27" si="348">IF(F27="","",(F27-F$11)*1000)</f>
        <v>1.6000000759959221</v>
      </c>
      <c r="Z27" s="35">
        <f t="shared" ref="Z27" si="349">IF(G27="","",(G27-G$11)*1000)</f>
        <v>0.699999975040555</v>
      </c>
      <c r="AA27" s="35">
        <f t="shared" ref="AA27" si="350">IF(H27="","",(H27-H$11)*1000)</f>
        <v>-1.6999999999995907</v>
      </c>
      <c r="AB27" s="35">
        <f t="shared" ref="AB27" si="351">IF(I27="","",(I27-I$14)*1000)</f>
        <v>0.40000001899898052</v>
      </c>
      <c r="AC27" s="35">
        <f t="shared" ref="AC27" si="352">IF(J27="","",(J27-J$14)*1000)</f>
        <v>-0.20000012591481209</v>
      </c>
      <c r="AD27" s="35">
        <f t="shared" ref="AD27" si="353">IF(K27="","",(K27-K$14)*1000)</f>
        <v>-1.300000000000523</v>
      </c>
      <c r="AE27" s="35">
        <f t="shared" ref="AE27" si="354">IF(L27="","",(L27-L$10)*1000)</f>
        <v>-5.0000031478703022E-2</v>
      </c>
      <c r="AF27" s="35">
        <f t="shared" ref="AF27" si="355">IF(M27="","",(M27-M$10)*1000)</f>
        <v>0.40000001899898052</v>
      </c>
      <c r="AG27" s="35">
        <f t="shared" ref="AG27" si="356">IF(N27="","",(N27-N$10)*1000)</f>
        <v>0.10000000000331966</v>
      </c>
      <c r="AH27" s="34"/>
      <c r="AI27" s="33" cm="1">
        <f t="array" ref="AI27">IFERROR(_xlfn.SINGLE(INDEX(DATABASE!$AV$14:$BC$968,SUMPRODUCT((ROW(DATABASE!$AV$14:$AV$968)) * (DATABASE!$AV$14:HY$968='Résultats observations'!$A27 ) * (DATABASE!$AW$14:$AW$968= AI$4))-ROW(DATABASE!$AV$14)+1,AI$5)),"")</f>
        <v>2.6871599931361709</v>
      </c>
      <c r="AJ27" s="33" cm="1">
        <f t="array" ref="AJ27">IFERROR(_xlfn.SINGLE(INDEX(DATABASE!$AV$14:$BC$968,SUMPRODUCT((ROW(DATABASE!$AV$14:$AV$968)) * (DATABASE!$AV$14:HZ$968='Résultats observations'!$A27 ) * (DATABASE!$AW$14:$AW$968= AJ$4))-ROW(DATABASE!$AV$14)+1,AJ$5)),"")</f>
        <v>7.8036085140232364E-3</v>
      </c>
      <c r="AK27" s="33" cm="1">
        <f t="array" ref="AK27">IFERROR(_xlfn.SINGLE(INDEX(DATABASE!$AV$14:$BC$968,SUMPRODUCT((ROW(DATABASE!$AV$14:$AV$968)) * (DATABASE!$AV$14:IA$968='Résultats observations'!$A27 ) * (DATABASE!$AW$14:$AW$968= AK$4))-ROW(DATABASE!$AV$14)+1,AK$5)),"")</f>
        <v>1.3833999999999946</v>
      </c>
      <c r="AL27" s="33" cm="1">
        <f t="array" ref="AL27">IFERROR(_xlfn.SINGLE(INDEX(DATABASE!$AV$14:$BC$968,SUMPRODUCT((ROW(DATABASE!$AV$14:$AV$968)) * (DATABASE!$AV$14:IB$968='Résultats observations'!$A27 ) * (DATABASE!$AW$14:$AW$968= AL$4))-ROW(DATABASE!$AV$14)+1,AL$5)),"")</f>
        <v>2.8630429493010561</v>
      </c>
      <c r="AM27" s="33" cm="1">
        <f t="array" ref="AM27">IFERROR(_xlfn.SINGLE(INDEX(DATABASE!$AV$14:$BC$968,SUMPRODUCT((ROW(DATABASE!$AV$14:$AV$968)) * (DATABASE!$AV$14:IC$968='Résultats observations'!$A27 ) * (DATABASE!$AW$14:$AW$968= AM$4))-ROW(DATABASE!$AV$14)+1,AM$5)),"")</f>
        <v>2.6491458911558737E-2</v>
      </c>
      <c r="AN27" s="33" cm="1">
        <f t="array" ref="AN27">IFERROR(_xlfn.SINGLE(INDEX(DATABASE!$AV$14:$BC$968,SUMPRODUCT((ROW(DATABASE!$AV$14:$AV$968)) * (DATABASE!$AV$14:ID$968='Résultats observations'!$A27 ) * (DATABASE!$AW$14:$AW$968= AN$4))-ROW(DATABASE!$AV$14)+1,AN$5)),"")</f>
        <v>1.0450999999999908</v>
      </c>
      <c r="AO27" s="167" cm="1">
        <f t="array" ref="AO27">IFERROR(_xlfn.SINGLE(INDEX(DATABASE!$AV$14:$BC$968,SUMPRODUCT((ROW(DATABASE!$AV$14:$AV$968)) * (DATABASE!$AV$14:IE$968='Résultats observations'!$A27 ) * (DATABASE!$AW$14:$AW$968= AO$4))-ROW(DATABASE!$AV$14)+1,AO$5)),"")</f>
        <v>3.0167307975996112</v>
      </c>
      <c r="AP27" s="167" cm="1">
        <f t="array" ref="AP27">IFERROR(_xlfn.SINGLE(INDEX(DATABASE!$AV$14:$BC$968,SUMPRODUCT((ROW(DATABASE!$AV$14:$AV$968)) * (DATABASE!$AV$14:IF$968='Résultats observations'!$A27 ) * (DATABASE!$AW$14:$AW$968= AP$4))-ROW(DATABASE!$AV$14)+1,AP$5)),"")</f>
        <v>6.9585603258145612E-2</v>
      </c>
      <c r="AQ27" s="167" cm="1">
        <f t="array" ref="AQ27">IFERROR(_xlfn.SINGLE(INDEX(DATABASE!$AV$14:$BC$968,SUMPRODUCT((ROW(DATABASE!$AV$14:$AV$968)) * (DATABASE!$AV$14:IG$968='Résultats observations'!$A27 ) * (DATABASE!$AW$14:$AW$968= AQ$4))-ROW(DATABASE!$AV$14)+1,AQ$5)),"")</f>
        <v>0.59899999999998954</v>
      </c>
      <c r="AR27" s="33" cm="1">
        <f t="array" ref="AR27">IFERROR(_xlfn.SINGLE(INDEX(DATABASE!$AV$14:$BC$968,SUMPRODUCT((ROW(DATABASE!$AV$14:$AV$968)) * (DATABASE!$AV$14:IH$968='Résultats observations'!$A27 ) * (DATABASE!$AW$14:$AW$968= AR$4))-ROW(DATABASE!$AV$14)+1,AR$5)),"")</f>
        <v>-2.8360971391840879</v>
      </c>
      <c r="AS27" s="33" cm="1">
        <f t="array" ref="AS27">IFERROR(_xlfn.SINGLE(INDEX(DATABASE!$AV$14:$BC$968,SUMPRODUCT((ROW(DATABASE!$AV$14:$AV$968)) * (DATABASE!$AV$14:II$968='Résultats observations'!$A27 ) * (DATABASE!$AW$14:$AW$968= AS$4))-ROW(DATABASE!$AV$14)+1,AS$5)),"")</f>
        <v>1.4648260095277331E-2</v>
      </c>
      <c r="AT27" s="33" cm="1">
        <f t="array" ref="AT27">IFERROR(_xlfn.SINGLE(INDEX(DATABASE!$AV$14:$BC$968,SUMPRODUCT((ROW(DATABASE!$AV$14:$AV$968)) * (DATABASE!$AV$14:IJ$968='Résultats observations'!$A27 ) * (DATABASE!$AW$14:$AW$968= AT$4))-ROW(DATABASE!$AV$14)+1,AT$5)),"")</f>
        <v>1.171299999999988</v>
      </c>
      <c r="AU27" s="34"/>
      <c r="AV27" s="35">
        <f t="shared" ref="AV27" si="357">IF(AI27="","",(AI27-AI$10)*1000)</f>
        <v>-0.53157691489769121</v>
      </c>
      <c r="AW27" s="35">
        <f t="shared" ref="AW27" si="358">IF(AJ27="","",(AJ27-AJ$10)*1000)</f>
        <v>0.19345804182616977</v>
      </c>
      <c r="AX27" s="35">
        <f t="shared" ref="AX27" si="359">IF(AK27="","",(AK27-AK$10)*1000)</f>
        <v>-3.1999999999925421</v>
      </c>
      <c r="AY27" s="35">
        <f t="shared" ref="AY27" si="360">IF(AL27="","",(AL27-AL$11)*1000)</f>
        <v>-4.1832211767456329E-2</v>
      </c>
      <c r="AZ27" s="35">
        <f t="shared" ref="AZ27" si="361">IF(AM27="","",(AM27-AM$11)*1000)</f>
        <v>1.7459239027801665</v>
      </c>
      <c r="BA27" s="35">
        <f t="shared" ref="BA27" si="362">IF(AN27="","",(AN27-AN$11)*1000)</f>
        <v>-1.6999999999995907</v>
      </c>
      <c r="BB27" s="35">
        <f t="shared" ref="BB27" si="363">IF(AO27="","",(AO27-AO$14)*1000)</f>
        <v>-0.35031828122367159</v>
      </c>
      <c r="BC27" s="35">
        <f t="shared" ref="BC27" si="364">IF(AP27="","",(AP27-AP$14)*1000)</f>
        <v>0.27798771088975716</v>
      </c>
      <c r="BD27" s="35">
        <f t="shared" ref="BD27" si="365">IF(AQ27="","",(AQ27-AQ$14)*1000)</f>
        <v>-1.300000000000523</v>
      </c>
      <c r="BE27" s="35">
        <f t="shared" ref="BE27" si="366">IF(AR27="","",(AR27-AR$10)*1000)</f>
        <v>0.38364992022899003</v>
      </c>
      <c r="BF27" s="35">
        <f t="shared" ref="BF27" si="367">IF(AS27="","",(AS27-AS$10)*1000)</f>
        <v>0.1237447253651016</v>
      </c>
      <c r="BG27" s="35">
        <f t="shared" ref="BG27" si="368">IF(AT27="","",(AT27-AT$10)*1000)</f>
        <v>0.10000000000331966</v>
      </c>
    </row>
    <row r="28" spans="1:59" s="57" customFormat="1" ht="29.25" customHeight="1">
      <c r="A28" s="78">
        <v>45593</v>
      </c>
      <c r="B28" s="25">
        <f t="shared" ref="B28" si="369">A28-A$10</f>
        <v>61</v>
      </c>
      <c r="C28" s="80" cm="1">
        <f t="array" ref="C28">IFERROR(_xlfn.SINGLE(INDEX(DATABASE!$AV$14:$BC$968,SUMPRODUCT((ROW(DATABASE!$AV$14:$AV$968)) * (DATABASE!AV$14:$AV$968='Résultats observations'!$A28 ) * (DATABASE!$AW$14:$AW$968= C$4))-ROW(DATABASE!$AV$14)+1,C$5)),"")</f>
        <v>823147.64919999999</v>
      </c>
      <c r="D28" s="158" cm="1">
        <f t="array" ref="D28">IFERROR(_xlfn.SINGLE(INDEX(DATABASE!$AV$14:$BC$968,SUMPRODUCT((ROW(DATABASE!$AV$14:$AV$968)) * (DATABASE!$AV$14:AW$968='Résultats observations'!$A28 ) * (DATABASE!$AW$14:$AW$968= D$4))-ROW(DATABASE!$AV$14)+1,D$5)),"")</f>
        <v>1091710.0851499999</v>
      </c>
      <c r="E28" s="158" cm="1">
        <f t="array" ref="E28">IFERROR(_xlfn.SINGLE(INDEX(DATABASE!$AV$14:$BC$968,SUMPRODUCT((ROW(DATABASE!$AV$14:$AV$968)) * (DATABASE!$AV$14:AX$968='Résultats observations'!$A28 ) * (DATABASE!$AW$14:$AW$968= E$4))-ROW(DATABASE!$AV$14)+1,E$5)),"")</f>
        <v>-121.5706</v>
      </c>
      <c r="F28" s="158" cm="1">
        <f t="array" ref="F28">IFERROR(_xlfn.SINGLE(INDEX(DATABASE!$AV$14:$BC$968,SUMPRODUCT((ROW(DATABASE!$AV$14:$AV$968)) * (DATABASE!$AV$14:AY$968='Résultats observations'!$A28 ) * (DATABASE!$AW$14:$AW$968= F$4))-ROW(DATABASE!$AV$14)+1,F$5)),"")</f>
        <v>823147.59155000001</v>
      </c>
      <c r="G28" s="158" cm="1">
        <f t="array" ref="G28">IFERROR(_xlfn.SINGLE(INDEX(DATABASE!$AV$14:$BC$968,SUMPRODUCT((ROW(DATABASE!$AV$14:$AV$968)) * (DATABASE!$AV$14:AZ$968='Résultats observations'!$A28 ) * (DATABASE!$AW$14:$AW$968= G$4))-ROW(DATABASE!$AV$14)+1,G$5)),"")</f>
        <v>1091710.2515</v>
      </c>
      <c r="H28" s="158" cm="1">
        <f t="array" ref="H28">IFERROR(_xlfn.SINGLE(INDEX(DATABASE!$AV$14:$BC$968,SUMPRODUCT((ROW(DATABASE!$AV$14:$AV$968)) * (DATABASE!$AV$14:BA$968='Résultats observations'!$A28 ) * (DATABASE!$AW$14:$AW$968= H$4))-ROW(DATABASE!$AV$14)+1,H$5)),"")</f>
        <v>-121.90915000000001</v>
      </c>
      <c r="I28" s="167" cm="1">
        <f t="array" ref="I28">IFERROR(_xlfn.SINGLE(INDEX(DATABASE!$AV$14:$BC$968,SUMPRODUCT((ROW(DATABASE!$AV$14:$AV$968)) * (DATABASE!$AV$14:BB$968='Résultats observations'!$A28 ) * (DATABASE!$AW$14:$AW$968= I$4))-ROW(DATABASE!$AV$14)+1,I$5)),"")</f>
        <v>823147.56605000002</v>
      </c>
      <c r="J28" s="167" cm="1">
        <f t="array" ref="J28">IFERROR(_xlfn.SINGLE(INDEX(DATABASE!$AV$14:$BC$968,SUMPRODUCT((ROW(DATABASE!$AV$14:$AV$968)) * (DATABASE!$AV$14:BC$968='Résultats observations'!$A28 ) * (DATABASE!$AW$14:$AW$968= J$4))-ROW(DATABASE!$AV$14)+1,J$5)),"")</f>
        <v>1091710.4098499999</v>
      </c>
      <c r="K28" s="167" cm="1">
        <f t="array" ref="K28">IFERROR(_xlfn.SINGLE(INDEX(DATABASE!$AV$14:$BC$968,SUMPRODUCT((ROW(DATABASE!$AV$14:$AV$968)) * (DATABASE!$AV$14:BD$968='Résultats observations'!$A28 ) * (DATABASE!$AW$14:$AW$968= K$4))-ROW(DATABASE!$AV$14)+1,K$5)),"")</f>
        <v>-122.35505000000001</v>
      </c>
      <c r="L28" s="158" cm="1">
        <f t="array" ref="L28">IFERROR(_xlfn.SINGLE(INDEX(DATABASE!$AV$14:$BC$968,SUMPRODUCT((ROW(DATABASE!$AV$14:$AV$968)) * (DATABASE!$AV$14:BE$968='Résultats observations'!$A28 ) * (DATABASE!$AW$14:$AW$968= L$4))-ROW(DATABASE!$AV$14)+1,L$5)),"")</f>
        <v>823149.98944999999</v>
      </c>
      <c r="M28" s="158" cm="1">
        <f t="array" ref="M28">IFERROR(_xlfn.SINGLE(INDEX(DATABASE!$AV$14:$BC$968,SUMPRODUCT((ROW(DATABASE!$AV$14:$AV$968)) * (DATABASE!$AV$14:BF$968='Résultats observations'!$A28 ) * (DATABASE!$AW$14:$AW$968= M$4))-ROW(DATABASE!$AV$14)+1,M$5)),"")</f>
        <v>1091705.08225</v>
      </c>
      <c r="N28" s="158" cm="1">
        <f t="array" ref="N28">IFERROR(_xlfn.SINGLE(INDEX(DATABASE!$AV$14:$BC$968,SUMPRODUCT((ROW(DATABASE!$AV$14:$AV$968)) * (DATABASE!$AV$14:BG$968='Résultats observations'!$A28 ) * (DATABASE!$AW$14:$AW$968= N$4))-ROW(DATABASE!$AV$14)+1,N$5)),"")</f>
        <v>-121.78290000000001</v>
      </c>
      <c r="O28" s="33">
        <f t="shared" si="0"/>
        <v>5.5272823125085822</v>
      </c>
      <c r="P28" s="33">
        <f t="shared" si="1"/>
        <v>5.6997376286350532</v>
      </c>
      <c r="Q28" s="33">
        <f t="shared" si="2"/>
        <v>5.8807775797029258</v>
      </c>
      <c r="R28" s="35">
        <f t="shared" ref="R28" si="370">IF(O28="","",(O28-O$10)*1000)</f>
        <v>-1.0922426475996616</v>
      </c>
      <c r="S28" s="35">
        <f t="shared" ref="S28" si="371">IF(P28="","",(P28-P$11)*1000)</f>
        <v>-1.1422420003128764</v>
      </c>
      <c r="T28" s="35">
        <f t="shared" ref="T28" si="372">IF(Q28="","",(Q28-Q$14)*1000)</f>
        <v>-0.83029072933449299</v>
      </c>
      <c r="U28" s="34"/>
      <c r="V28" s="35">
        <f t="shared" ref="V28" si="373">IF(C28="","",(C28-C$10)*1000)</f>
        <v>0.40000001899898052</v>
      </c>
      <c r="W28" s="35">
        <f t="shared" ref="W28" si="374">IF(D28="","",(D28-D$10)*1000)</f>
        <v>-0.54999999701976776</v>
      </c>
      <c r="X28" s="35">
        <f t="shared" ref="X28" si="375">IF(E28="","",(E28-E$10)*1000)</f>
        <v>-3.1999999999925421</v>
      </c>
      <c r="Y28" s="35">
        <f t="shared" ref="Y28" si="376">IF(F28="","",(F28-F$11)*1000)</f>
        <v>1.3500000350177288</v>
      </c>
      <c r="Z28" s="35">
        <f t="shared" ref="Z28" si="377">IF(G28="","",(G28-G$11)*1000)</f>
        <v>-0.40000001899898052</v>
      </c>
      <c r="AA28" s="35">
        <f t="shared" ref="AA28" si="378">IF(H28="","",(H28-H$11)*1000)</f>
        <v>-1.9500000000078899</v>
      </c>
      <c r="AB28" s="35">
        <f t="shared" ref="AB28" si="379">IF(I28="","",(I28-I$14)*1000)</f>
        <v>0.54999999701976776</v>
      </c>
      <c r="AC28" s="35">
        <f t="shared" ref="AC28" si="380">IF(J28="","",(J28-J$14)*1000)</f>
        <v>-0.45000016689300537</v>
      </c>
      <c r="AD28" s="35">
        <f t="shared" ref="AD28" si="381">IF(K28="","",(K28-K$14)*1000)</f>
        <v>-1.3500000000021828</v>
      </c>
      <c r="AE28" s="35">
        <f t="shared" ref="AE28" si="382">IF(L28="","",(L28-L$10)*1000)</f>
        <v>-0.40000001899898052</v>
      </c>
      <c r="AF28" s="35">
        <f t="shared" ref="AF28" si="383">IF(M28="","",(M28-M$10)*1000)</f>
        <v>0.14999997802078724</v>
      </c>
      <c r="AG28" s="35">
        <f t="shared" ref="AG28" si="384">IF(N28="","",(N28-N$10)*1000)</f>
        <v>-0.10000000000331966</v>
      </c>
      <c r="AH28" s="34"/>
      <c r="AI28" s="33" cm="1">
        <f t="array" ref="AI28">IFERROR(_xlfn.SINGLE(INDEX(DATABASE!$AV$14:$BC$968,SUMPRODUCT((ROW(DATABASE!$AV$14:$AV$968)) * (DATABASE!$AV$14:HY$968='Résultats observations'!$A28 ) * (DATABASE!$AW$14:$AW$968= AI$4))-ROW(DATABASE!$AV$14)+1,AI$5)),"")</f>
        <v>2.6870240491081625</v>
      </c>
      <c r="AJ28" s="33" cm="1">
        <f t="array" ref="AJ28">IFERROR(_xlfn.SINGLE(INDEX(DATABASE!$AV$14:$BC$968,SUMPRODUCT((ROW(DATABASE!$AV$14:$AV$968)) * (DATABASE!$AV$14:HZ$968='Résultats observations'!$A28 ) * (DATABASE!$AW$14:$AW$968= AJ$4))-ROW(DATABASE!$AV$14)+1,AJ$5)),"")</f>
        <v>7.740211237622475E-3</v>
      </c>
      <c r="AK28" s="33" cm="1">
        <f t="array" ref="AK28">IFERROR(_xlfn.SINGLE(INDEX(DATABASE!$AV$14:$BC$968,SUMPRODUCT((ROW(DATABASE!$AV$14:$AV$968)) * (DATABASE!$AV$14:IA$968='Résultats observations'!$A28 ) * (DATABASE!$AW$14:$AW$968= AK$4))-ROW(DATABASE!$AV$14)+1,AK$5)),"")</f>
        <v>1.3833999999999946</v>
      </c>
      <c r="AL28" s="33" cm="1">
        <f t="array" ref="AL28">IFERROR(_xlfn.SINGLE(INDEX(DATABASE!$AV$14:$BC$968,SUMPRODUCT((ROW(DATABASE!$AV$14:$AV$968)) * (DATABASE!$AV$14:IB$968='Résultats observations'!$A28 ) * (DATABASE!$AW$14:$AW$968= AL$4))-ROW(DATABASE!$AV$14)+1,AL$5)),"")</f>
        <v>2.8621516884484524</v>
      </c>
      <c r="AM28" s="33" cm="1">
        <f t="array" ref="AM28">IFERROR(_xlfn.SINGLE(INDEX(DATABASE!$AV$14:$BC$968,SUMPRODUCT((ROW(DATABASE!$AV$14:$AV$968)) * (DATABASE!$AV$14:IC$968='Résultats observations'!$A28 ) * (DATABASE!$AW$14:$AW$968= AM$4))-ROW(DATABASE!$AV$14)+1,AM$5)),"")</f>
        <v>2.5799972035332561E-2</v>
      </c>
      <c r="AN28" s="33" cm="1">
        <f t="array" ref="AN28">IFERROR(_xlfn.SINGLE(INDEX(DATABASE!$AV$14:$BC$968,SUMPRODUCT((ROW(DATABASE!$AV$14:$AV$968)) * (DATABASE!$AV$14:ID$968='Résultats observations'!$A28 ) * (DATABASE!$AW$14:$AW$968= AN$4))-ROW(DATABASE!$AV$14)+1,AN$5)),"")</f>
        <v>1.0448499999999825</v>
      </c>
      <c r="AO28" s="167" cm="1">
        <f t="array" ref="AO28">IFERROR(_xlfn.SINGLE(INDEX(DATABASE!$AV$14:$BC$968,SUMPRODUCT((ROW(DATABASE!$AV$14:$AV$968)) * (DATABASE!$AV$14:IE$968='Résultats observations'!$A28 ) * (DATABASE!$AW$14:$AW$968= AO$4))-ROW(DATABASE!$AV$14)+1,AO$5)),"")</f>
        <v>3.0164408268728584</v>
      </c>
      <c r="AP28" s="167" cm="1">
        <f t="array" ref="AP28">IFERROR(_xlfn.SINGLE(INDEX(DATABASE!$AV$14:$BC$968,SUMPRODUCT((ROW(DATABASE!$AV$14:$AV$968)) * (DATABASE!$AV$14:IF$968='Résultats observations'!$A28 ) * (DATABASE!$AW$14:$AW$968= AP$4))-ROW(DATABASE!$AV$14)+1,AP$5)),"")</f>
        <v>6.9615885126019947E-2</v>
      </c>
      <c r="AQ28" s="167" cm="1">
        <f t="array" ref="AQ28">IFERROR(_xlfn.SINGLE(INDEX(DATABASE!$AV$14:$BC$968,SUMPRODUCT((ROW(DATABASE!$AV$14:$AV$968)) * (DATABASE!$AV$14:IG$968='Résultats observations'!$A28 ) * (DATABASE!$AW$14:$AW$968= AQ$4))-ROW(DATABASE!$AV$14)+1,AQ$5)),"")</f>
        <v>0.59894999999998788</v>
      </c>
      <c r="AR28" s="33" cm="1">
        <f t="array" ref="AR28">IFERROR(_xlfn.SINGLE(INDEX(DATABASE!$AV$14:$BC$968,SUMPRODUCT((ROW(DATABASE!$AV$14:$AV$968)) * (DATABASE!$AV$14:IH$968='Résultats observations'!$A28 ) * (DATABASE!$AW$14:$AW$968= AR$4))-ROW(DATABASE!$AV$14)+1,AR$5)),"")</f>
        <v>-2.8361757856397709</v>
      </c>
      <c r="AS28" s="33" cm="1">
        <f t="array" ref="AS28">IFERROR(_xlfn.SINGLE(INDEX(DATABASE!$AV$14:$BC$968,SUMPRODUCT((ROW(DATABASE!$AV$14:$AV$968)) * (DATABASE!$AV$14:II$968='Résultats observations'!$A28 ) * (DATABASE!$AW$14:$AW$968= AS$4))-ROW(DATABASE!$AV$14)+1,AS$5)),"")</f>
        <v>1.4225395167951954E-2</v>
      </c>
      <c r="AT28" s="33" cm="1">
        <f t="array" ref="AT28">IFERROR(_xlfn.SINGLE(INDEX(DATABASE!$AV$14:$BC$968,SUMPRODUCT((ROW(DATABASE!$AV$14:$AV$968)) * (DATABASE!$AV$14:IJ$968='Résultats observations'!$A28 ) * (DATABASE!$AW$14:$AW$968= AT$4))-ROW(DATABASE!$AV$14)+1,AT$5)),"")</f>
        <v>1.1710999999999814</v>
      </c>
      <c r="AU28" s="34"/>
      <c r="AV28" s="35">
        <f t="shared" ref="AV28" si="385">IF(AI28="","",(AI28-AI$10)*1000)</f>
        <v>-0.66752094290611907</v>
      </c>
      <c r="AW28" s="35">
        <f t="shared" ref="AW28" si="386">IF(AJ28="","",(AJ28-AJ$10)*1000)</f>
        <v>0.13006076542540837</v>
      </c>
      <c r="AX28" s="35">
        <f t="shared" ref="AX28" si="387">IF(AK28="","",(AK28-AK$10)*1000)</f>
        <v>-3.1999999999925421</v>
      </c>
      <c r="AY28" s="35">
        <f t="shared" ref="AY28" si="388">IF(AL28="","",(AL28-AL$11)*1000)</f>
        <v>-0.93309306437117101</v>
      </c>
      <c r="AZ28" s="35">
        <f t="shared" ref="AZ28" si="389">IF(AM28="","",(AM28-AM$11)*1000)</f>
        <v>1.05443702655399</v>
      </c>
      <c r="BA28" s="35">
        <f t="shared" ref="BA28" si="390">IF(AN28="","",(AN28-AN$11)*1000)</f>
        <v>-1.9500000000078899</v>
      </c>
      <c r="BB28" s="35">
        <f t="shared" ref="BB28" si="391">IF(AO28="","",(AO28-AO$14)*1000)</f>
        <v>-0.64028900797641342</v>
      </c>
      <c r="BC28" s="35">
        <f t="shared" ref="BC28" si="392">IF(AP28="","",(AP28-AP$14)*1000)</f>
        <v>0.30826957876409211</v>
      </c>
      <c r="BD28" s="35">
        <f t="shared" ref="BD28" si="393">IF(AQ28="","",(AQ28-AQ$14)*1000)</f>
        <v>-1.3500000000021828</v>
      </c>
      <c r="BE28" s="35">
        <f t="shared" ref="BE28" si="394">IF(AR28="","",(AR28-AR$10)*1000)</f>
        <v>0.30500346454598315</v>
      </c>
      <c r="BF28" s="35">
        <f t="shared" ref="BF28" si="395">IF(AS28="","",(AS28-AS$10)*1000)</f>
        <v>-0.29912020196027483</v>
      </c>
      <c r="BG28" s="35">
        <f t="shared" ref="BG28" si="396">IF(AT28="","",(AT28-AT$10)*1000)</f>
        <v>-0.10000000000331966</v>
      </c>
    </row>
    <row r="29" spans="1:59" s="57" customFormat="1" ht="29.25" customHeight="1">
      <c r="A29" s="172">
        <v>45601</v>
      </c>
      <c r="B29" s="25">
        <f t="shared" ref="B29" si="397">A29-A$10</f>
        <v>69</v>
      </c>
      <c r="C29" s="80" cm="1">
        <f t="array" ref="C29">IFERROR(_xlfn.SINGLE(INDEX(DATABASE!$AV$14:$BC$968,SUMPRODUCT((ROW(DATABASE!$AV$14:$AV$968)) * (DATABASE!AV$14:$AV$968='Résultats observations'!$A29 ) * (DATABASE!$AW$14:$AW$968= C$4))-ROW(DATABASE!$AV$14)+1,C$5)),"")</f>
        <v>823147.64989999996</v>
      </c>
      <c r="D29" s="158" cm="1">
        <f t="array" ref="D29">IFERROR(_xlfn.SINGLE(INDEX(DATABASE!$AV$14:$BC$968,SUMPRODUCT((ROW(DATABASE!$AV$14:$AV$968)) * (DATABASE!$AV$14:AW$968='Résultats observations'!$A29 ) * (DATABASE!$AW$14:$AW$968= D$4))-ROW(DATABASE!$AV$14)+1,D$5)),"")</f>
        <v>1091710.0855</v>
      </c>
      <c r="E29" s="158" cm="1">
        <f t="array" ref="E29">IFERROR(_xlfn.SINGLE(INDEX(DATABASE!$AV$14:$BC$968,SUMPRODUCT((ROW(DATABASE!$AV$14:$AV$968)) * (DATABASE!$AV$14:AX$968='Résultats observations'!$A29 ) * (DATABASE!$AW$14:$AW$968= E$4))-ROW(DATABASE!$AV$14)+1,E$5)),"")</f>
        <v>-121.5706</v>
      </c>
      <c r="F29" s="158" cm="1">
        <f t="array" ref="F29">IFERROR(_xlfn.SINGLE(INDEX(DATABASE!$AV$14:$BC$968,SUMPRODUCT((ROW(DATABASE!$AV$14:$AV$968)) * (DATABASE!$AV$14:AY$968='Résultats observations'!$A29 ) * (DATABASE!$AW$14:$AW$968= F$4))-ROW(DATABASE!$AV$14)+1,F$5)),"")</f>
        <v>823147.59160000004</v>
      </c>
      <c r="G29" s="158" cm="1">
        <f t="array" ref="G29">IFERROR(_xlfn.SINGLE(INDEX(DATABASE!$AV$14:$BC$968,SUMPRODUCT((ROW(DATABASE!$AV$14:$AV$968)) * (DATABASE!$AV$14:AZ$968='Résultats observations'!$A29 ) * (DATABASE!$AW$14:$AW$968= G$4))-ROW(DATABASE!$AV$14)+1,G$5)),"")</f>
        <v>1091710.2510500001</v>
      </c>
      <c r="H29" s="158" cm="1">
        <f t="array" ref="H29">IFERROR(_xlfn.SINGLE(INDEX(DATABASE!$AV$14:$BC$968,SUMPRODUCT((ROW(DATABASE!$AV$14:$AV$968)) * (DATABASE!$AV$14:BA$968='Résultats observations'!$A29 ) * (DATABASE!$AW$14:$AW$968= H$4))-ROW(DATABASE!$AV$14)+1,H$5)),"")</f>
        <v>-121.9093</v>
      </c>
      <c r="I29" s="167" cm="1">
        <f t="array" ref="I29">IFERROR(_xlfn.SINGLE(INDEX(DATABASE!$AV$14:$BC$968,SUMPRODUCT((ROW(DATABASE!$AV$14:$AV$968)) * (DATABASE!$AV$14:BB$968='Résultats observations'!$A29 ) * (DATABASE!$AW$14:$AW$968= I$4))-ROW(DATABASE!$AV$14)+1,I$5)),"")</f>
        <v>823147.56649999996</v>
      </c>
      <c r="J29" s="167" cm="1">
        <f t="array" ref="J29">IFERROR(_xlfn.SINGLE(INDEX(DATABASE!$AV$14:$BC$968,SUMPRODUCT((ROW(DATABASE!$AV$14:$AV$968)) * (DATABASE!$AV$14:BC$968='Résultats observations'!$A29 ) * (DATABASE!$AW$14:$AW$968= J$4))-ROW(DATABASE!$AV$14)+1,J$5)),"")</f>
        <v>1091710.4101</v>
      </c>
      <c r="K29" s="167" cm="1">
        <f t="array" ref="K29">IFERROR(_xlfn.SINGLE(INDEX(DATABASE!$AV$14:$BC$968,SUMPRODUCT((ROW(DATABASE!$AV$14:$AV$968)) * (DATABASE!$AV$14:BD$968='Résultats observations'!$A29 ) * (DATABASE!$AW$14:$AW$968= K$4))-ROW(DATABASE!$AV$14)+1,K$5)),"")</f>
        <v>-122.35509999999999</v>
      </c>
      <c r="L29" s="158" cm="1">
        <f t="array" ref="L29">IFERROR(_xlfn.SINGLE(INDEX(DATABASE!$AV$14:$BC$968,SUMPRODUCT((ROW(DATABASE!$AV$14:$AV$968)) * (DATABASE!$AV$14:BE$968='Résultats observations'!$A29 ) * (DATABASE!$AW$14:$AW$968= L$4))-ROW(DATABASE!$AV$14)+1,L$5)),"")</f>
        <v>823149.98880000005</v>
      </c>
      <c r="M29" s="158" cm="1">
        <f t="array" ref="M29">IFERROR(_xlfn.SINGLE(INDEX(DATABASE!$AV$14:$BC$968,SUMPRODUCT((ROW(DATABASE!$AV$14:$AV$968)) * (DATABASE!$AV$14:BF$968='Résultats observations'!$A29 ) * (DATABASE!$AW$14:$AW$968= M$4))-ROW(DATABASE!$AV$14)+1,M$5)),"")</f>
        <v>1091705.0824</v>
      </c>
      <c r="N29" s="158" cm="1">
        <f t="array" ref="N29">IFERROR(_xlfn.SINGLE(INDEX(DATABASE!$AV$14:$BC$968,SUMPRODUCT((ROW(DATABASE!$AV$14:$AV$968)) * (DATABASE!$AV$14:BG$968='Résultats observations'!$A29 ) * (DATABASE!$AW$14:$AW$968= N$4))-ROW(DATABASE!$AV$14)+1,N$5)),"")</f>
        <v>-121.7831</v>
      </c>
      <c r="O29" s="33">
        <f t="shared" si="0"/>
        <v>5.526899589400089</v>
      </c>
      <c r="P29" s="33">
        <f t="shared" si="1"/>
        <v>5.6988978850131025</v>
      </c>
      <c r="Q29" s="33">
        <f t="shared" si="2"/>
        <v>5.8804003758843111</v>
      </c>
      <c r="R29" s="35">
        <f t="shared" ref="R29" si="398">IF(O29="","",(O29-O$10)*1000)</f>
        <v>-1.4749657560928497</v>
      </c>
      <c r="S29" s="35">
        <f t="shared" ref="S29" si="399">IF(P29="","",(P29-P$11)*1000)</f>
        <v>-1.9819856222635934</v>
      </c>
      <c r="T29" s="35">
        <f t="shared" ref="T29" si="400">IF(Q29="","",(Q29-Q$14)*1000)</f>
        <v>-1.2074945479492172</v>
      </c>
      <c r="U29" s="34"/>
      <c r="V29" s="35">
        <f t="shared" ref="V29" si="401">IF(C29="","",(C29-C$10)*1000)</f>
        <v>1.0999999940395355</v>
      </c>
      <c r="W29" s="35">
        <f t="shared" ref="W29" si="402">IF(D29="","",(D29-D$10)*1000)</f>
        <v>-0.19999989308416843</v>
      </c>
      <c r="X29" s="35">
        <f t="shared" ref="X29" si="403">IF(E29="","",(E29-E$10)*1000)</f>
        <v>-3.1999999999925421</v>
      </c>
      <c r="Y29" s="35">
        <f t="shared" ref="Y29" si="404">IF(F29="","",(F29-F$11)*1000)</f>
        <v>1.4000000664964318</v>
      </c>
      <c r="Z29" s="35">
        <f t="shared" ref="Z29" si="405">IF(G29="","",(G29-G$11)*1000)</f>
        <v>-0.84999995306134224</v>
      </c>
      <c r="AA29" s="35">
        <f t="shared" ref="AA29" si="406">IF(H29="","",(H29-H$11)*1000)</f>
        <v>-2.0999999999986585</v>
      </c>
      <c r="AB29" s="35">
        <f t="shared" ref="AB29" si="407">IF(I29="","",(I29-I$14)*1000)</f>
        <v>0.99999993108212948</v>
      </c>
      <c r="AC29" s="35">
        <f t="shared" ref="AC29" si="408">IF(J29="","",(J29-J$14)*1000)</f>
        <v>-0.20000012591481209</v>
      </c>
      <c r="AD29" s="35">
        <f t="shared" ref="AD29" si="409">IF(K29="","",(K29-K$14)*1000)</f>
        <v>-1.3999999999896318</v>
      </c>
      <c r="AE29" s="35">
        <f t="shared" ref="AE29" si="410">IF(L29="","",(L29-L$10)*1000)</f>
        <v>-1.0499999625608325</v>
      </c>
      <c r="AF29" s="35">
        <f t="shared" ref="AF29" si="411">IF(M29="","",(M29-M$10)*1000)</f>
        <v>0.29999995604157448</v>
      </c>
      <c r="AG29" s="35">
        <f t="shared" ref="AG29" si="412">IF(N29="","",(N29-N$10)*1000)</f>
        <v>-0.29999999999574811</v>
      </c>
      <c r="AH29" s="34"/>
      <c r="AI29" s="33" cm="1">
        <f t="array" ref="AI29">IFERROR(_xlfn.SINGLE(INDEX(DATABASE!$AV$14:$BC$968,SUMPRODUCT((ROW(DATABASE!$AV$14:$AV$968)) * (DATABASE!$AV$14:HY$968='Résultats observations'!$A29 ) * (DATABASE!$AW$14:$AW$968= AI$4))-ROW(DATABASE!$AV$14)+1,AI$5)),"")</f>
        <v>2.6870453979915205</v>
      </c>
      <c r="AJ29" s="33" cm="1">
        <f t="array" ref="AJ29">IFERROR(_xlfn.SINGLE(INDEX(DATABASE!$AV$14:$BC$968,SUMPRODUCT((ROW(DATABASE!$AV$14:$AV$968)) * (DATABASE!$AV$14:HZ$968='Résultats observations'!$A29 ) * (DATABASE!$AW$14:$AW$968= AJ$4))-ROW(DATABASE!$AV$14)+1,AJ$5)),"")</f>
        <v>8.5225438158728923E-3</v>
      </c>
      <c r="AK29" s="33" cm="1">
        <f t="array" ref="AK29">IFERROR(_xlfn.SINGLE(INDEX(DATABASE!$AV$14:$BC$968,SUMPRODUCT((ROW(DATABASE!$AV$14:$AV$968)) * (DATABASE!$AV$14:IA$968='Résultats observations'!$A29 ) * (DATABASE!$AW$14:$AW$968= AK$4))-ROW(DATABASE!$AV$14)+1,AK$5)),"")</f>
        <v>1.3833999999999946</v>
      </c>
      <c r="AL29" s="33" cm="1">
        <f t="array" ref="AL29">IFERROR(_xlfn.SINGLE(INDEX(DATABASE!$AV$14:$BC$968,SUMPRODUCT((ROW(DATABASE!$AV$14:$AV$968)) * (DATABASE!$AV$14:IB$968='Résultats observations'!$A29 ) * (DATABASE!$AW$14:$AW$968= AL$4))-ROW(DATABASE!$AV$14)+1,AL$5)),"")</f>
        <v>2.8617227239225587</v>
      </c>
      <c r="AM29" s="33" cm="1">
        <f t="array" ref="AM29">IFERROR(_xlfn.SINGLE(INDEX(DATABASE!$AV$14:$BC$968,SUMPRODUCT((ROW(DATABASE!$AV$14:$AV$968)) * (DATABASE!$AV$14:IC$968='Résultats observations'!$A29 ) * (DATABASE!$AW$14:$AW$968= AM$4))-ROW(DATABASE!$AV$14)+1,AM$5)),"")</f>
        <v>2.5655094917302147E-2</v>
      </c>
      <c r="AN29" s="33" cm="1">
        <f t="array" ref="AN29">IFERROR(_xlfn.SINGLE(INDEX(DATABASE!$AV$14:$BC$968,SUMPRODUCT((ROW(DATABASE!$AV$14:$AV$968)) * (DATABASE!$AV$14:ID$968='Résultats observations'!$A29 ) * (DATABASE!$AW$14:$AW$968= AN$4))-ROW(DATABASE!$AV$14)+1,AN$5)),"")</f>
        <v>1.0446999999999917</v>
      </c>
      <c r="AO29" s="167" cm="1">
        <f t="array" ref="AO29">IFERROR(_xlfn.SINGLE(INDEX(DATABASE!$AV$14:$BC$968,SUMPRODUCT((ROW(DATABASE!$AV$14:$AV$968)) * (DATABASE!$AV$14:IE$968='Résultats observations'!$A29 ) * (DATABASE!$AW$14:$AW$968= AO$4))-ROW(DATABASE!$AV$14)+1,AO$5)),"")</f>
        <v>3.0164772084940092</v>
      </c>
      <c r="AP29" s="167" cm="1">
        <f t="array" ref="AP29">IFERROR(_xlfn.SINGLE(INDEX(DATABASE!$AV$14:$BC$968,SUMPRODUCT((ROW(DATABASE!$AV$14:$AV$968)) * (DATABASE!$AV$14:IF$968='Résultats observations'!$A29 ) * (DATABASE!$AW$14:$AW$968= AP$4))-ROW(DATABASE!$AV$14)+1,AP$5)),"")</f>
        <v>7.0129379370182238E-2</v>
      </c>
      <c r="AQ29" s="167" cm="1">
        <f t="array" ref="AQ29">IFERROR(_xlfn.SINGLE(INDEX(DATABASE!$AV$14:$BC$968,SUMPRODUCT((ROW(DATABASE!$AV$14:$AV$968)) * (DATABASE!$AV$14:IG$968='Résultats observations'!$A29 ) * (DATABASE!$AW$14:$AW$968= AQ$4))-ROW(DATABASE!$AV$14)+1,AQ$5)),"")</f>
        <v>0.59890000000000043</v>
      </c>
      <c r="AR29" s="33" cm="1">
        <f t="array" ref="AR29">IFERROR(_xlfn.SINGLE(INDEX(DATABASE!$AV$14:$BC$968,SUMPRODUCT((ROW(DATABASE!$AV$14:$AV$968)) * (DATABASE!$AV$14:IH$968='Résultats observations'!$A29 ) * (DATABASE!$AW$14:$AW$968= AR$4))-ROW(DATABASE!$AV$14)+1,AR$5)),"")</f>
        <v>-2.835765120064293</v>
      </c>
      <c r="AS29" s="33" cm="1">
        <f t="array" ref="AS29">IFERROR(_xlfn.SINGLE(INDEX(DATABASE!$AV$14:$BC$968,SUMPRODUCT((ROW(DATABASE!$AV$14:$AV$968)) * (DATABASE!$AV$14:II$968='Résultats observations'!$A29 ) * (DATABASE!$AW$14:$AW$968= AS$4))-ROW(DATABASE!$AV$14)+1,AS$5)),"")</f>
        <v>1.3699701621145423E-2</v>
      </c>
      <c r="AT29" s="33" cm="1">
        <f t="array" ref="AT29">IFERROR(_xlfn.SINGLE(INDEX(DATABASE!$AV$14:$BC$968,SUMPRODUCT((ROW(DATABASE!$AV$14:$AV$968)) * (DATABASE!$AV$14:IJ$968='Résultats observations'!$A29 ) * (DATABASE!$AW$14:$AW$968= AT$4))-ROW(DATABASE!$AV$14)+1,AT$5)),"")</f>
        <v>1.1708999999999889</v>
      </c>
      <c r="AU29" s="34"/>
      <c r="AV29" s="35">
        <f t="shared" ref="AV29" si="413">IF(AI29="","",(AI29-AI$10)*1000)</f>
        <v>-0.64617205954808909</v>
      </c>
      <c r="AW29" s="35">
        <f t="shared" ref="AW29" si="414">IF(AJ29="","",(AJ29-AJ$10)*1000)</f>
        <v>0.9123933436758257</v>
      </c>
      <c r="AX29" s="35">
        <f t="shared" ref="AX29" si="415">IF(AK29="","",(AK29-AK$10)*1000)</f>
        <v>-3.1999999999925421</v>
      </c>
      <c r="AY29" s="35">
        <f t="shared" ref="AY29" si="416">IF(AL29="","",(AL29-AL$11)*1000)</f>
        <v>-1.3620575902648646</v>
      </c>
      <c r="AZ29" s="35">
        <f t="shared" ref="AZ29" si="417">IF(AM29="","",(AM29-AM$11)*1000)</f>
        <v>0.9095599085235766</v>
      </c>
      <c r="BA29" s="35">
        <f t="shared" ref="BA29" si="418">IF(AN29="","",(AN29-AN$11)*1000)</f>
        <v>-2.0999999999986585</v>
      </c>
      <c r="BB29" s="35">
        <f t="shared" ref="BB29" si="419">IF(AO29="","",(AO29-AO$14)*1000)</f>
        <v>-0.6039073868255862</v>
      </c>
      <c r="BC29" s="35">
        <f t="shared" ref="BC29" si="420">IF(AP29="","",(AP29-AP$14)*1000)</f>
        <v>0.82176382292638295</v>
      </c>
      <c r="BD29" s="35">
        <f t="shared" ref="BD29" si="421">IF(AQ29="","",(AQ29-AQ$14)*1000)</f>
        <v>-1.3999999999896318</v>
      </c>
      <c r="BE29" s="35">
        <f t="shared" ref="BE29" si="422">IF(AR29="","",(AR29-AR$10)*1000)</f>
        <v>0.71566904002384746</v>
      </c>
      <c r="BF29" s="35">
        <f t="shared" ref="BF29" si="423">IF(AS29="","",(AS29-AS$10)*1000)</f>
        <v>-0.82481374876680613</v>
      </c>
      <c r="BG29" s="35">
        <f t="shared" ref="BG29" si="424">IF(AT29="","",(AT29-AT$10)*1000)</f>
        <v>-0.29999999999574811</v>
      </c>
    </row>
    <row r="30" spans="1:59" s="57" customFormat="1" ht="29.25" customHeight="1">
      <c r="A30" s="172">
        <v>45609</v>
      </c>
      <c r="B30" s="25">
        <f t="shared" ref="B30" si="425">A30-A$10</f>
        <v>77</v>
      </c>
      <c r="C30" s="80" cm="1">
        <f t="array" ref="C30">IFERROR(_xlfn.SINGLE(INDEX(DATABASE!$AV$14:$BC$968,SUMPRODUCT((ROW(DATABASE!$AV$14:$AV$968)) * (DATABASE!AV$14:$AV$968='Résultats observations'!$A30 ) * (DATABASE!$AW$14:$AW$968= C$4))-ROW(DATABASE!$AV$14)+1,C$5)),"")</f>
        <v>823147.6496</v>
      </c>
      <c r="D30" s="158" cm="1">
        <f t="array" ref="D30">IFERROR(_xlfn.SINGLE(INDEX(DATABASE!$AV$14:$BC$968,SUMPRODUCT((ROW(DATABASE!$AV$14:$AV$968)) * (DATABASE!$AV$14:AW$968='Résultats observations'!$A30 ) * (DATABASE!$AW$14:$AW$968= D$4))-ROW(DATABASE!$AV$14)+1,D$5)),"")</f>
        <v>1091710.0856000001</v>
      </c>
      <c r="E30" s="158" cm="1">
        <f t="array" ref="E30">IFERROR(_xlfn.SINGLE(INDEX(DATABASE!$AV$14:$BC$968,SUMPRODUCT((ROW(DATABASE!$AV$14:$AV$968)) * (DATABASE!$AV$14:AX$968='Résultats observations'!$A30 ) * (DATABASE!$AW$14:$AW$968= E$4))-ROW(DATABASE!$AV$14)+1,E$5)),"")</f>
        <v>-121.57040000000001</v>
      </c>
      <c r="F30" s="158" cm="1">
        <f t="array" ref="F30">IFERROR(_xlfn.SINGLE(INDEX(DATABASE!$AV$14:$BC$968,SUMPRODUCT((ROW(DATABASE!$AV$14:$AV$968)) * (DATABASE!$AV$14:AY$968='Résultats observations'!$A30 ) * (DATABASE!$AW$14:$AW$968= F$4))-ROW(DATABASE!$AV$14)+1,F$5)),"")</f>
        <v>823147.59129999997</v>
      </c>
      <c r="G30" s="158" cm="1">
        <f t="array" ref="G30">IFERROR(_xlfn.SINGLE(INDEX(DATABASE!$AV$14:$BC$968,SUMPRODUCT((ROW(DATABASE!$AV$14:$AV$968)) * (DATABASE!$AV$14:AZ$968='Résultats observations'!$A30 ) * (DATABASE!$AW$14:$AW$968= G$4))-ROW(DATABASE!$AV$14)+1,G$5)),"")</f>
        <v>1091710.2508</v>
      </c>
      <c r="H30" s="158" cm="1">
        <f t="array" ref="H30">IFERROR(_xlfn.SINGLE(INDEX(DATABASE!$AV$14:$BC$968,SUMPRODUCT((ROW(DATABASE!$AV$14:$AV$968)) * (DATABASE!$AV$14:BA$968='Résultats observations'!$A30 ) * (DATABASE!$AW$14:$AW$968= H$4))-ROW(DATABASE!$AV$14)+1,H$5)),"")</f>
        <v>-121.9093</v>
      </c>
      <c r="I30" s="167" cm="1">
        <f t="array" ref="I30">IFERROR(_xlfn.SINGLE(INDEX(DATABASE!$AV$14:$BC$968,SUMPRODUCT((ROW(DATABASE!$AV$14:$AV$968)) * (DATABASE!$AV$14:BB$968='Résultats observations'!$A30 ) * (DATABASE!$AW$14:$AW$968= I$4))-ROW(DATABASE!$AV$14)+1,I$5)),"")</f>
        <v>823147.56610000005</v>
      </c>
      <c r="J30" s="167" cm="1">
        <f t="array" ref="J30">IFERROR(_xlfn.SINGLE(INDEX(DATABASE!$AV$14:$BC$968,SUMPRODUCT((ROW(DATABASE!$AV$14:$AV$968)) * (DATABASE!$AV$14:BC$968='Résultats observations'!$A30 ) * (DATABASE!$AW$14:$AW$968= J$4))-ROW(DATABASE!$AV$14)+1,J$5)),"")</f>
        <v>1091710.4095999999</v>
      </c>
      <c r="K30" s="167" cm="1">
        <f t="array" ref="K30">IFERROR(_xlfn.SINGLE(INDEX(DATABASE!$AV$14:$BC$968,SUMPRODUCT((ROW(DATABASE!$AV$14:$AV$968)) * (DATABASE!$AV$14:BD$968='Résultats observations'!$A30 ) * (DATABASE!$AW$14:$AW$968= K$4))-ROW(DATABASE!$AV$14)+1,K$5)),"")</f>
        <v>-122.355</v>
      </c>
      <c r="L30" s="158" cm="1">
        <f t="array" ref="L30">IFERROR(_xlfn.SINGLE(INDEX(DATABASE!$AV$14:$BC$968,SUMPRODUCT((ROW(DATABASE!$AV$14:$AV$968)) * (DATABASE!$AV$14:BE$968='Résultats observations'!$A30 ) * (DATABASE!$AW$14:$AW$968= L$4))-ROW(DATABASE!$AV$14)+1,L$5)),"")</f>
        <v>823149.9889</v>
      </c>
      <c r="M30" s="158" cm="1">
        <f t="array" ref="M30">IFERROR(_xlfn.SINGLE(INDEX(DATABASE!$AV$14:$BC$968,SUMPRODUCT((ROW(DATABASE!$AV$14:$AV$968)) * (DATABASE!$AV$14:BF$968='Résultats observations'!$A30 ) * (DATABASE!$AW$14:$AW$968= M$4))-ROW(DATABASE!$AV$14)+1,M$5)),"")</f>
        <v>1091705.0822000001</v>
      </c>
      <c r="N30" s="158" cm="1">
        <f t="array" ref="N30">IFERROR(_xlfn.SINGLE(INDEX(DATABASE!$AV$14:$BC$968,SUMPRODUCT((ROW(DATABASE!$AV$14:$AV$968)) * (DATABASE!$AV$14:BG$968='Résultats observations'!$A30 ) * (DATABASE!$AW$14:$AW$968= N$4))-ROW(DATABASE!$AV$14)+1,N$5)),"")</f>
        <v>-121.78279999999999</v>
      </c>
      <c r="O30" s="33">
        <f t="shared" si="0"/>
        <v>5.5273365928279894</v>
      </c>
      <c r="P30" s="33">
        <f t="shared" si="1"/>
        <v>5.6990274582483895</v>
      </c>
      <c r="Q30" s="33">
        <f t="shared" si="2"/>
        <v>5.8803540231823606</v>
      </c>
      <c r="R30" s="35">
        <f t="shared" ref="R30" si="426">IF(O30="","",(O30-O$10)*1000)</f>
        <v>-1.0379623281924211</v>
      </c>
      <c r="S30" s="35">
        <f t="shared" ref="S30" si="427">IF(P30="","",(P30-P$11)*1000)</f>
        <v>-1.8524123869765319</v>
      </c>
      <c r="T30" s="35">
        <f t="shared" ref="T30" si="428">IF(Q30="","",(Q30-Q$14)*1000)</f>
        <v>-1.2538472498997422</v>
      </c>
      <c r="U30" s="34"/>
      <c r="V30" s="35">
        <f t="shared" ref="V30" si="429">IF(C30="","",(C30-C$10)*1000)</f>
        <v>0.80000003799796104</v>
      </c>
      <c r="W30" s="35">
        <f t="shared" ref="W30" si="430">IF(D30="","",(D30-D$10)*1000)</f>
        <v>-9.999983012676239E-2</v>
      </c>
      <c r="X30" s="35">
        <f t="shared" ref="X30" si="431">IF(E30="","",(E30-E$10)*1000)</f>
        <v>-3.0000000000001137</v>
      </c>
      <c r="Y30" s="35">
        <f t="shared" ref="Y30" si="432">IF(F30="","",(F30-F$11)*1000)</f>
        <v>1.0999999940395355</v>
      </c>
      <c r="Z30" s="35">
        <f t="shared" ref="Z30" si="433">IF(G30="","",(G30-G$11)*1000)</f>
        <v>-1.0999999940395355</v>
      </c>
      <c r="AA30" s="35">
        <f t="shared" ref="AA30" si="434">IF(H30="","",(H30-H$11)*1000)</f>
        <v>-2.0999999999986585</v>
      </c>
      <c r="AB30" s="35">
        <f t="shared" ref="AB30" si="435">IF(I30="","",(I30-I$14)*1000)</f>
        <v>0.60000002849847078</v>
      </c>
      <c r="AC30" s="35">
        <f t="shared" ref="AC30" si="436">IF(J30="","",(J30-J$14)*1000)</f>
        <v>-0.70000020787119865</v>
      </c>
      <c r="AD30" s="35">
        <f t="shared" ref="AD30" si="437">IF(K30="","",(K30-K$14)*1000)</f>
        <v>-1.300000000000523</v>
      </c>
      <c r="AE30" s="35">
        <f t="shared" ref="AE30" si="438">IF(L30="","",(L30-L$10)*1000)</f>
        <v>-0.95000001601874828</v>
      </c>
      <c r="AF30" s="35">
        <f t="shared" ref="AF30" si="439">IF(M30="","",(M30-M$10)*1000)</f>
        <v>0.10000006295740604</v>
      </c>
      <c r="AG30" s="35">
        <f t="shared" ref="AG30" si="440">IF(N30="","",(N30-N$10)*1000)</f>
        <v>1.4210854715202004E-11</v>
      </c>
      <c r="AH30" s="34"/>
      <c r="AI30" s="33" cm="1">
        <f t="array" ref="AI30">IFERROR(_xlfn.SINGLE(INDEX(DATABASE!$AV$14:$BC$968,SUMPRODUCT((ROW(DATABASE!$AV$14:$AV$968)) * (DATABASE!$AV$14:HY$968='Résultats observations'!$A30 ) * (DATABASE!$AW$14:$AW$968= AI$4))-ROW(DATABASE!$AV$14)+1,AI$5)),"")</f>
        <v>2.6872628219666654</v>
      </c>
      <c r="AJ30" s="33" cm="1">
        <f t="array" ref="AJ30">IFERROR(_xlfn.SINGLE(INDEX(DATABASE!$AV$14:$BC$968,SUMPRODUCT((ROW(DATABASE!$AV$14:$AV$968)) * (DATABASE!$AV$14:HZ$968='Résultats observations'!$A30 ) * (DATABASE!$AW$14:$AW$968= AJ$4))-ROW(DATABASE!$AV$14)+1,AJ$5)),"")</f>
        <v>8.2929206435902909E-3</v>
      </c>
      <c r="AK30" s="33" cm="1">
        <f t="array" ref="AK30">IFERROR(_xlfn.SINGLE(INDEX(DATABASE!$AV$14:$BC$968,SUMPRODUCT((ROW(DATABASE!$AV$14:$AV$968)) * (DATABASE!$AV$14:IA$968='Résultats observations'!$A30 ) * (DATABASE!$AW$14:$AW$968= AK$4))-ROW(DATABASE!$AV$14)+1,AK$5)),"")</f>
        <v>1.3835999999999871</v>
      </c>
      <c r="AL30" s="33" cm="1">
        <f t="array" ref="AL30">IFERROR(_xlfn.SINGLE(INDEX(DATABASE!$AV$14:$BC$968,SUMPRODUCT((ROW(DATABASE!$AV$14:$AV$968)) * (DATABASE!$AV$14:IB$968='Résultats observations'!$A30 ) * (DATABASE!$AW$14:$AW$968= AL$4))-ROW(DATABASE!$AV$14)+1,AL$5)),"")</f>
        <v>2.8616229450742106</v>
      </c>
      <c r="AM30" s="33" cm="1">
        <f t="array" ref="AM30">IFERROR(_xlfn.SINGLE(INDEX(DATABASE!$AV$14:$BC$968,SUMPRODUCT((ROW(DATABASE!$AV$14:$AV$968)) * (DATABASE!$AV$14:IC$968='Résultats observations'!$A30 ) * (DATABASE!$AW$14:$AW$968= AM$4))-ROW(DATABASE!$AV$14)+1,AM$5)),"")</f>
        <v>2.5277544595641799E-2</v>
      </c>
      <c r="AN30" s="33" cm="1">
        <f t="array" ref="AN30">IFERROR(_xlfn.SINGLE(INDEX(DATABASE!$AV$14:$BC$968,SUMPRODUCT((ROW(DATABASE!$AV$14:$AV$968)) * (DATABASE!$AV$14:ID$968='Résultats observations'!$A30 ) * (DATABASE!$AW$14:$AW$968= AN$4))-ROW(DATABASE!$AV$14)+1,AN$5)),"")</f>
        <v>1.0446999999999917</v>
      </c>
      <c r="AO30" s="167" cm="1">
        <f t="array" ref="AO30">IFERROR(_xlfn.SINGLE(INDEX(DATABASE!$AV$14:$BC$968,SUMPRODUCT((ROW(DATABASE!$AV$14:$AV$968)) * (DATABASE!$AV$14:IE$968='Résultats observations'!$A30 ) * (DATABASE!$AW$14:$AW$968= AO$4))-ROW(DATABASE!$AV$14)+1,AO$5)),"")</f>
        <v>3.0161931209806387</v>
      </c>
      <c r="AP30" s="167" cm="1">
        <f t="array" ref="AP30">IFERROR(_xlfn.SINGLE(INDEX(DATABASE!$AV$14:$BC$968,SUMPRODUCT((ROW(DATABASE!$AV$14:$AV$968)) * (DATABASE!$AV$14:IF$968='Résultats observations'!$A30 ) * (DATABASE!$AW$14:$AW$968= AP$4))-ROW(DATABASE!$AV$14)+1,AP$5)),"")</f>
        <v>6.9555537677055523E-2</v>
      </c>
      <c r="AQ30" s="167" cm="1">
        <f t="array" ref="AQ30">IFERROR(_xlfn.SINGLE(INDEX(DATABASE!$AV$14:$BC$968,SUMPRODUCT((ROW(DATABASE!$AV$14:$AV$968)) * (DATABASE!$AV$14:IG$968='Résultats observations'!$A30 ) * (DATABASE!$AW$14:$AW$968= AQ$4))-ROW(DATABASE!$AV$14)+1,AQ$5)),"")</f>
        <v>0.59899999999998954</v>
      </c>
      <c r="AR30" s="33" cm="1">
        <f t="array" ref="AR30">IFERROR(_xlfn.SINGLE(INDEX(DATABASE!$AV$14:$BC$968,SUMPRODUCT((ROW(DATABASE!$AV$14:$AV$968)) * (DATABASE!$AV$14:IH$968='Résultats observations'!$A30 ) * (DATABASE!$AW$14:$AW$968= AR$4))-ROW(DATABASE!$AV$14)+1,AR$5)),"")</f>
        <v>-2.8359886435324997</v>
      </c>
      <c r="AS30" s="33" cm="1">
        <f t="array" ref="AS30">IFERROR(_xlfn.SINGLE(INDEX(DATABASE!$AV$14:$BC$968,SUMPRODUCT((ROW(DATABASE!$AV$14:$AV$968)) * (DATABASE!$AV$14:II$968='Résultats observations'!$A30 ) * (DATABASE!$AW$14:$AW$968= AS$4))-ROW(DATABASE!$AV$14)+1,AS$5)),"")</f>
        <v>1.3705801268916991E-2</v>
      </c>
      <c r="AT30" s="33" cm="1">
        <f t="array" ref="AT30">IFERROR(_xlfn.SINGLE(INDEX(DATABASE!$AV$14:$BC$968,SUMPRODUCT((ROW(DATABASE!$AV$14:$AV$968)) * (DATABASE!$AV$14:IJ$968='Résultats observations'!$A30 ) * (DATABASE!$AW$14:$AW$968= AT$4))-ROW(DATABASE!$AV$14)+1,AT$5)),"")</f>
        <v>1.1711999999999989</v>
      </c>
      <c r="AU30" s="34"/>
      <c r="AV30" s="35">
        <f t="shared" ref="AV30" si="441">IF(AI30="","",(AI30-AI$10)*1000)</f>
        <v>-0.42874808440318546</v>
      </c>
      <c r="AW30" s="35">
        <f t="shared" ref="AW30" si="442">IF(AJ30="","",(AJ30-AJ$10)*1000)</f>
        <v>0.68277017139322438</v>
      </c>
      <c r="AX30" s="35">
        <f t="shared" ref="AX30" si="443">IF(AK30="","",(AK30-AK$10)*1000)</f>
        <v>-3.0000000000001137</v>
      </c>
      <c r="AY30" s="35">
        <f t="shared" ref="AY30" si="444">IF(AL30="","",(AL30-AL$11)*1000)</f>
        <v>-1.4618364386129734</v>
      </c>
      <c r="AZ30" s="35">
        <f t="shared" ref="AZ30" si="445">IF(AM30="","",(AM30-AM$11)*1000)</f>
        <v>0.53200958686322808</v>
      </c>
      <c r="BA30" s="35">
        <f t="shared" ref="BA30" si="446">IF(AN30="","",(AN30-AN$11)*1000)</f>
        <v>-2.0999999999986585</v>
      </c>
      <c r="BB30" s="35">
        <f t="shared" ref="BB30" si="447">IF(AO30="","",(AO30-AO$14)*1000)</f>
        <v>-0.8879949001960874</v>
      </c>
      <c r="BC30" s="35">
        <f t="shared" ref="BC30" si="448">IF(AP30="","",(AP30-AP$14)*1000)</f>
        <v>0.24792212979966866</v>
      </c>
      <c r="BD30" s="35">
        <f t="shared" ref="BD30" si="449">IF(AQ30="","",(AQ30-AQ$14)*1000)</f>
        <v>-1.300000000000523</v>
      </c>
      <c r="BE30" s="35">
        <f t="shared" ref="BE30" si="450">IF(AR30="","",(AR30-AR$10)*1000)</f>
        <v>0.49214557181720409</v>
      </c>
      <c r="BF30" s="35">
        <f t="shared" ref="BF30" si="451">IF(AS30="","",(AS30-AS$10)*1000)</f>
        <v>-0.81871410099523811</v>
      </c>
      <c r="BG30" s="35">
        <f t="shared" ref="BG30" si="452">IF(AT30="","",(AT30-AT$10)*1000)</f>
        <v>1.4210854715202004E-11</v>
      </c>
    </row>
    <row r="31" spans="1:59" s="57" customFormat="1" ht="29.25" customHeight="1">
      <c r="A31" s="172">
        <v>45622</v>
      </c>
      <c r="B31" s="25">
        <f t="shared" ref="B31" si="453">A31-A$10</f>
        <v>90</v>
      </c>
      <c r="C31" s="80" cm="1">
        <f t="array" ref="C31">IFERROR(_xlfn.SINGLE(INDEX(DATABASE!$AV$14:$BC$968,SUMPRODUCT((ROW(DATABASE!$AV$14:$AV$968)) * (DATABASE!AV$14:$AV$968='Résultats observations'!$A31 ) * (DATABASE!$AW$14:$AW$968= C$4))-ROW(DATABASE!$AV$14)+1,C$5)),"")</f>
        <v>823147.64910000004</v>
      </c>
      <c r="D31" s="158" cm="1">
        <f t="array" ref="D31">IFERROR(_xlfn.SINGLE(INDEX(DATABASE!$AV$14:$BC$968,SUMPRODUCT((ROW(DATABASE!$AV$14:$AV$968)) * (DATABASE!$AV$14:AW$968='Résultats observations'!$A31 ) * (DATABASE!$AW$14:$AW$968= D$4))-ROW(DATABASE!$AV$14)+1,D$5)),"")</f>
        <v>1091710.0845999999</v>
      </c>
      <c r="E31" s="158" cm="1">
        <f t="array" ref="E31">IFERROR(_xlfn.SINGLE(INDEX(DATABASE!$AV$14:$BC$968,SUMPRODUCT((ROW(DATABASE!$AV$14:$AV$968)) * (DATABASE!$AV$14:AX$968='Résultats observations'!$A31 ) * (DATABASE!$AW$14:$AW$968= E$4))-ROW(DATABASE!$AV$14)+1,E$5)),"")</f>
        <v>-121.57129999999999</v>
      </c>
      <c r="F31" s="158" cm="1">
        <f t="array" ref="F31">IFERROR(_xlfn.SINGLE(INDEX(DATABASE!$AV$14:$BC$968,SUMPRODUCT((ROW(DATABASE!$AV$14:$AV$968)) * (DATABASE!$AV$14:AY$968='Résultats observations'!$A31 ) * (DATABASE!$AW$14:$AW$968= F$4))-ROW(DATABASE!$AV$14)+1,F$5)),"")</f>
        <v>823147.59259999997</v>
      </c>
      <c r="G31" s="158" cm="1">
        <f t="array" ref="G31">IFERROR(_xlfn.SINGLE(INDEX(DATABASE!$AV$14:$BC$968,SUMPRODUCT((ROW(DATABASE!$AV$14:$AV$968)) * (DATABASE!$AV$14:AZ$968='Résultats observations'!$A31 ) * (DATABASE!$AW$14:$AW$968= G$4))-ROW(DATABASE!$AV$14)+1,G$5)),"")</f>
        <v>1091710.2524000001</v>
      </c>
      <c r="H31" s="158" cm="1">
        <f t="array" ref="H31">IFERROR(_xlfn.SINGLE(INDEX(DATABASE!$AV$14:$BC$968,SUMPRODUCT((ROW(DATABASE!$AV$14:$AV$968)) * (DATABASE!$AV$14:BA$968='Résultats observations'!$A31 ) * (DATABASE!$AW$14:$AW$968= H$4))-ROW(DATABASE!$AV$14)+1,H$5)),"")</f>
        <v>-121.9091</v>
      </c>
      <c r="I31" s="167" cm="1">
        <f t="array" ref="I31">IFERROR(_xlfn.SINGLE(INDEX(DATABASE!$AV$14:$BC$968,SUMPRODUCT((ROW(DATABASE!$AV$14:$AV$968)) * (DATABASE!$AV$14:BB$968='Résultats observations'!$A31 ) * (DATABASE!$AW$14:$AW$968= I$4))-ROW(DATABASE!$AV$14)+1,I$5)),"")</f>
        <v>823147.56629999995</v>
      </c>
      <c r="J31" s="167" cm="1">
        <f t="array" ref="J31">IFERROR(_xlfn.SINGLE(INDEX(DATABASE!$AV$14:$BC$968,SUMPRODUCT((ROW(DATABASE!$AV$14:$AV$968)) * (DATABASE!$AV$14:BC$968='Résultats observations'!$A31 ) * (DATABASE!$AW$14:$AW$968= J$4))-ROW(DATABASE!$AV$14)+1,J$5)),"")</f>
        <v>1091710.4095000001</v>
      </c>
      <c r="K31" s="167" cm="1">
        <f t="array" ref="K31">IFERROR(_xlfn.SINGLE(INDEX(DATABASE!$AV$14:$BC$968,SUMPRODUCT((ROW(DATABASE!$AV$14:$AV$968)) * (DATABASE!$AV$14:BD$968='Résultats observations'!$A31 ) * (DATABASE!$AW$14:$AW$968= K$4))-ROW(DATABASE!$AV$14)+1,K$5)),"")</f>
        <v>-122.3556</v>
      </c>
      <c r="L31" s="158" cm="1">
        <f t="array" ref="L31">IFERROR(_xlfn.SINGLE(INDEX(DATABASE!$AV$14:$BC$968,SUMPRODUCT((ROW(DATABASE!$AV$14:$AV$968)) * (DATABASE!$AV$14:BE$968='Résultats observations'!$A31 ) * (DATABASE!$AW$14:$AW$968= L$4))-ROW(DATABASE!$AV$14)+1,L$5)),"")</f>
        <v>823149.98970000003</v>
      </c>
      <c r="M31" s="158" cm="1">
        <f t="array" ref="M31">IFERROR(_xlfn.SINGLE(INDEX(DATABASE!$AV$14:$BC$968,SUMPRODUCT((ROW(DATABASE!$AV$14:$AV$968)) * (DATABASE!$AV$14:BF$968='Résultats observations'!$A31 ) * (DATABASE!$AW$14:$AW$968= M$4))-ROW(DATABASE!$AV$14)+1,M$5)),"")</f>
        <v>1091705.0826000001</v>
      </c>
      <c r="N31" s="158" cm="1">
        <f t="array" ref="N31">IFERROR(_xlfn.SINGLE(INDEX(DATABASE!$AV$14:$BC$968,SUMPRODUCT((ROW(DATABASE!$AV$14:$AV$968)) * (DATABASE!$AV$14:BG$968='Résultats observations'!$A31 ) * (DATABASE!$AW$14:$AW$968= N$4))-ROW(DATABASE!$AV$14)+1,N$5)),"")</f>
        <v>-121.783</v>
      </c>
      <c r="O31" s="33">
        <f t="shared" si="0"/>
        <v>5.5265929150428583</v>
      </c>
      <c r="P31" s="33">
        <f t="shared" si="1"/>
        <v>5.6998966359595977</v>
      </c>
      <c r="Q31" s="33">
        <f t="shared" si="2"/>
        <v>5.8801872359872025</v>
      </c>
      <c r="R31" s="35">
        <f t="shared" ref="R31" si="454">IF(O31="","",(O31-O$10)*1000)</f>
        <v>-1.7816401133234905</v>
      </c>
      <c r="S31" s="35">
        <f t="shared" ref="S31" si="455">IF(P31="","",(P31-P$11)*1000)</f>
        <v>-0.98323467576832968</v>
      </c>
      <c r="T31" s="35">
        <f t="shared" ref="T31" si="456">IF(Q31="","",(Q31-Q$14)*1000)</f>
        <v>-1.4206344450578001</v>
      </c>
      <c r="U31" s="34"/>
      <c r="V31" s="35">
        <f t="shared" ref="V31" si="457">IF(C31="","",(C31-C$10)*1000)</f>
        <v>0.30000007245689631</v>
      </c>
      <c r="W31" s="35">
        <f t="shared" ref="W31" si="458">IF(D31="","",(D31-D$10)*1000)</f>
        <v>-1.0999999940395355</v>
      </c>
      <c r="X31" s="35">
        <f t="shared" ref="X31" si="459">IF(E31="","",(E31-E$10)*1000)</f>
        <v>-3.899999999987358</v>
      </c>
      <c r="Y31" s="35">
        <f t="shared" ref="Y31" si="460">IF(F31="","",(F31-F$11)*1000)</f>
        <v>2.3999999975785613</v>
      </c>
      <c r="Z31" s="35">
        <f t="shared" ref="Z31" si="461">IF(G31="","",(G31-G$11)*1000)</f>
        <v>0.50000008195638657</v>
      </c>
      <c r="AA31" s="35">
        <f t="shared" ref="AA31" si="462">IF(H31="","",(H31-H$11)*1000)</f>
        <v>-1.8999999999920192</v>
      </c>
      <c r="AB31" s="35">
        <f t="shared" ref="AB31" si="463">IF(I31="","",(I31-I$14)*1000)</f>
        <v>0.79999992158263922</v>
      </c>
      <c r="AC31" s="35">
        <f t="shared" ref="AC31" si="464">IF(J31="","",(J31-J$14)*1000)</f>
        <v>-0.80000003799796104</v>
      </c>
      <c r="AD31" s="35">
        <f t="shared" ref="AD31" si="465">IF(K31="","",(K31-K$14)*1000)</f>
        <v>-1.8999999999920192</v>
      </c>
      <c r="AE31" s="35">
        <f t="shared" ref="AE31" si="466">IF(L31="","",(L31-L$10)*1000)</f>
        <v>-0.14999997802078724</v>
      </c>
      <c r="AF31" s="35">
        <f t="shared" ref="AF31" si="467">IF(M31="","",(M31-M$10)*1000)</f>
        <v>0.50000008195638657</v>
      </c>
      <c r="AG31" s="35">
        <f t="shared" ref="AG31" si="468">IF(N31="","",(N31-N$10)*1000)</f>
        <v>-0.19999999999242846</v>
      </c>
      <c r="AH31" s="34"/>
      <c r="AI31" s="33" cm="1">
        <f t="array" ref="AI31">IFERROR(_xlfn.SINGLE(INDEX(DATABASE!$AV$14:$BC$968,SUMPRODUCT((ROW(DATABASE!$AV$14:$AV$968)) * (DATABASE!$AV$14:HY$968='Résultats observations'!$A31 ) * (DATABASE!$AW$14:$AW$968= AI$4))-ROW(DATABASE!$AV$14)+1,AI$5)),"")</f>
        <v>2.6865678524363252</v>
      </c>
      <c r="AJ31" s="33" cm="1">
        <f t="array" ref="AJ31">IFERROR(_xlfn.SINGLE(INDEX(DATABASE!$AV$14:$BC$968,SUMPRODUCT((ROW(DATABASE!$AV$14:$AV$968)) * (DATABASE!$AV$14:HZ$968='Résultats observations'!$A31 ) * (DATABASE!$AW$14:$AW$968= AJ$4))-ROW(DATABASE!$AV$14)+1,AJ$5)),"")</f>
        <v>7.4171252078477799E-3</v>
      </c>
      <c r="AK31" s="33" cm="1">
        <f t="array" ref="AK31">IFERROR(_xlfn.SINGLE(INDEX(DATABASE!$AV$14:$BC$968,SUMPRODUCT((ROW(DATABASE!$AV$14:$AV$968)) * (DATABASE!$AV$14:IA$968='Résultats observations'!$A31 ) * (DATABASE!$AW$14:$AW$968= AK$4))-ROW(DATABASE!$AV$14)+1,AK$5)),"")</f>
        <v>1.3826999999999998</v>
      </c>
      <c r="AL31" s="33" cm="1">
        <f t="array" ref="AL31">IFERROR(_xlfn.SINGLE(INDEX(DATABASE!$AV$14:$BC$968,SUMPRODUCT((ROW(DATABASE!$AV$14:$AV$968)) * (DATABASE!$AV$14:IB$968='Résultats observations'!$A31 ) * (DATABASE!$AW$14:$AW$968= AL$4))-ROW(DATABASE!$AV$14)+1,AL$5)),"")</f>
        <v>2.8625235718435125</v>
      </c>
      <c r="AM31" s="33" cm="1">
        <f t="array" ref="AM31">IFERROR(_xlfn.SINGLE(INDEX(DATABASE!$AV$14:$BC$968,SUMPRODUCT((ROW(DATABASE!$AV$14:$AV$968)) * (DATABASE!$AV$14:IC$968='Résultats observations'!$A31 ) * (DATABASE!$AW$14:$AW$968= AM$4))-ROW(DATABASE!$AV$14)+1,AM$5)),"")</f>
        <v>2.7131964093707921E-2</v>
      </c>
      <c r="AN31" s="33" cm="1">
        <f t="array" ref="AN31">IFERROR(_xlfn.SINGLE(INDEX(DATABASE!$AV$14:$BC$968,SUMPRODUCT((ROW(DATABASE!$AV$14:$AV$968)) * (DATABASE!$AV$14:ID$968='Résultats observations'!$A31 ) * (DATABASE!$AW$14:$AW$968= AN$4))-ROW(DATABASE!$AV$14)+1,AN$5)),"")</f>
        <v>1.0448999999999984</v>
      </c>
      <c r="AO31" s="167" cm="1">
        <f t="array" ref="AO31">IFERROR(_xlfn.SINGLE(INDEX(DATABASE!$AV$14:$BC$968,SUMPRODUCT((ROW(DATABASE!$AV$14:$AV$968)) * (DATABASE!$AV$14:IE$968='Résultats observations'!$A31 ) * (DATABASE!$AW$14:$AW$968= AO$4))-ROW(DATABASE!$AV$14)+1,AO$5)),"")</f>
        <v>3.0160179621002423</v>
      </c>
      <c r="AP31" s="167" cm="1">
        <f t="array" ref="AP31">IFERROR(_xlfn.SINGLE(INDEX(DATABASE!$AV$14:$BC$968,SUMPRODUCT((ROW(DATABASE!$AV$14:$AV$968)) * (DATABASE!$AV$14:IF$968='Résultats observations'!$A31 ) * (DATABASE!$AW$14:$AW$968= AP$4))-ROW(DATABASE!$AV$14)+1,AP$5)),"")</f>
        <v>6.969453152539877E-2</v>
      </c>
      <c r="AQ31" s="167" cm="1">
        <f t="array" ref="AQ31">IFERROR(_xlfn.SINGLE(INDEX(DATABASE!$AV$14:$BC$968,SUMPRODUCT((ROW(DATABASE!$AV$14:$AV$968)) * (DATABASE!$AV$14:IG$968='Résultats observations'!$A31 ) * (DATABASE!$AW$14:$AW$968= AQ$4))-ROW(DATABASE!$AV$14)+1,AQ$5)),"")</f>
        <v>0.59839999999999804</v>
      </c>
      <c r="AR31" s="33" cm="1">
        <f t="array" ref="AR31">IFERROR(_xlfn.SINGLE(INDEX(DATABASE!$AV$14:$BC$968,SUMPRODUCT((ROW(DATABASE!$AV$14:$AV$968)) * (DATABASE!$AV$14:IH$968='Résultats observations'!$A31 ) * (DATABASE!$AW$14:$AW$968= AR$4))-ROW(DATABASE!$AV$14)+1,AR$5)),"")</f>
        <v>-2.8359642449272116</v>
      </c>
      <c r="AS31" s="33" cm="1">
        <f t="array" ref="AS31">IFERROR(_xlfn.SINGLE(INDEX(DATABASE!$AV$14:$BC$968,SUMPRODUCT((ROW(DATABASE!$AV$14:$AV$968)) * (DATABASE!$AV$14:II$968='Résultats observations'!$A31 ) * (DATABASE!$AW$14:$AW$968= AS$4))-ROW(DATABASE!$AV$14)+1,AS$5)),"")</f>
        <v>1.4599895662175955E-2</v>
      </c>
      <c r="AT31" s="33" cm="1">
        <f t="array" ref="AT31">IFERROR(_xlfn.SINGLE(INDEX(DATABASE!$AV$14:$BC$968,SUMPRODUCT((ROW(DATABASE!$AV$14:$AV$968)) * (DATABASE!$AV$14:IJ$968='Résultats observations'!$A31 ) * (DATABASE!$AW$14:$AW$968= AT$4))-ROW(DATABASE!$AV$14)+1,AT$5)),"")</f>
        <v>1.1709999999999923</v>
      </c>
      <c r="AU31" s="34"/>
      <c r="AV31" s="35">
        <f t="shared" ref="AV31" si="469">IF(AI31="","",(AI31-AI$10)*1000)</f>
        <v>-1.1237176147433914</v>
      </c>
      <c r="AW31" s="35">
        <f t="shared" ref="AW31" si="470">IF(AJ31="","",(AJ31-AJ$10)*1000)</f>
        <v>-0.19302526434928668</v>
      </c>
      <c r="AX31" s="35">
        <f t="shared" ref="AX31" si="471">IF(AK31="","",(AK31-AK$10)*1000)</f>
        <v>-3.899999999987358</v>
      </c>
      <c r="AY31" s="35">
        <f t="shared" ref="AY31" si="472">IF(AL31="","",(AL31-AL$11)*1000)</f>
        <v>-0.56120966931105798</v>
      </c>
      <c r="AZ31" s="35">
        <f t="shared" ref="AZ31" si="473">IF(AM31="","",(AM31-AM$11)*1000)</f>
        <v>2.3864290849293508</v>
      </c>
      <c r="BA31" s="35">
        <f t="shared" ref="BA31" si="474">IF(AN31="","",(AN31-AN$11)*1000)</f>
        <v>-1.8999999999920192</v>
      </c>
      <c r="BB31" s="35">
        <f t="shared" ref="BB31" si="475">IF(AO31="","",(AO31-AO$14)*1000)</f>
        <v>-1.0631537805925184</v>
      </c>
      <c r="BC31" s="35">
        <f t="shared" ref="BC31" si="476">IF(AP31="","",(AP31-AP$14)*1000)</f>
        <v>0.38691597814291545</v>
      </c>
      <c r="BD31" s="35">
        <f t="shared" ref="BD31" si="477">IF(AQ31="","",(AQ31-AQ$14)*1000)</f>
        <v>-1.8999999999920192</v>
      </c>
      <c r="BE31" s="35">
        <f t="shared" ref="BE31" si="478">IF(AR31="","",(AR31-AR$10)*1000)</f>
        <v>0.51654417710533806</v>
      </c>
      <c r="BF31" s="35">
        <f t="shared" ref="BF31" si="479">IF(AS31="","",(AS31-AS$10)*1000)</f>
        <v>7.5380292263725265E-2</v>
      </c>
      <c r="BG31" s="35">
        <f t="shared" ref="BG31" si="480">IF(AT31="","",(AT31-AT$10)*1000)</f>
        <v>-0.19999999999242846</v>
      </c>
    </row>
    <row r="32" spans="1:59" s="57" customFormat="1" ht="29.25" customHeight="1">
      <c r="A32" s="172">
        <v>45644</v>
      </c>
      <c r="B32" s="25">
        <f t="shared" ref="B32" si="481">A32-A$10</f>
        <v>112</v>
      </c>
      <c r="C32" s="80" cm="1">
        <f t="array" ref="C32">IFERROR(_xlfn.SINGLE(INDEX(DATABASE!$AV$14:$BC$968,SUMPRODUCT((ROW(DATABASE!$AV$14:$AV$968)) * (DATABASE!AV$14:$AV$968='Résultats observations'!$A32 ) * (DATABASE!$AW$14:$AW$968= C$4))-ROW(DATABASE!$AV$14)+1,C$5)),"")</f>
        <v>823147.64980000001</v>
      </c>
      <c r="D32" s="158" cm="1">
        <f t="array" ref="D32">IFERROR(_xlfn.SINGLE(INDEX(DATABASE!$AV$14:$BC$968,SUMPRODUCT((ROW(DATABASE!$AV$14:$AV$968)) * (DATABASE!$AV$14:AW$968='Résultats observations'!$A32 ) * (DATABASE!$AW$14:$AW$968= D$4))-ROW(DATABASE!$AV$14)+1,D$5)),"")</f>
        <v>1091710.0848000001</v>
      </c>
      <c r="E32" s="158" cm="1">
        <f t="array" ref="E32">IFERROR(_xlfn.SINGLE(INDEX(DATABASE!$AV$14:$BC$968,SUMPRODUCT((ROW(DATABASE!$AV$14:$AV$968)) * (DATABASE!$AV$14:AX$968='Résultats observations'!$A32 ) * (DATABASE!$AW$14:$AW$968= E$4))-ROW(DATABASE!$AV$14)+1,E$5)),"")</f>
        <v>-121.5712</v>
      </c>
      <c r="F32" s="158" cm="1">
        <f t="array" ref="F32">IFERROR(_xlfn.SINGLE(INDEX(DATABASE!$AV$14:$BC$968,SUMPRODUCT((ROW(DATABASE!$AV$14:$AV$968)) * (DATABASE!$AV$14:AY$968='Résultats observations'!$A32 ) * (DATABASE!$AW$14:$AW$968= F$4))-ROW(DATABASE!$AV$14)+1,F$5)),"")</f>
        <v>823147.59219999996</v>
      </c>
      <c r="G32" s="158" cm="1">
        <f t="array" ref="G32">IFERROR(_xlfn.SINGLE(INDEX(DATABASE!$AV$14:$BC$968,SUMPRODUCT((ROW(DATABASE!$AV$14:$AV$968)) * (DATABASE!$AV$14:AZ$968='Résultats observations'!$A32 ) * (DATABASE!$AW$14:$AW$968= G$4))-ROW(DATABASE!$AV$14)+1,G$5)),"")</f>
        <v>1091710.2512000001</v>
      </c>
      <c r="H32" s="158" cm="1">
        <f t="array" ref="H32">IFERROR(_xlfn.SINGLE(INDEX(DATABASE!$AV$14:$BC$968,SUMPRODUCT((ROW(DATABASE!$AV$14:$AV$968)) * (DATABASE!$AV$14:BA$968='Résultats observations'!$A32 ) * (DATABASE!$AW$14:$AW$968= H$4))-ROW(DATABASE!$AV$14)+1,H$5)),"")</f>
        <v>-121.9096</v>
      </c>
      <c r="I32" s="167" cm="1">
        <f t="array" ref="I32">IFERROR(_xlfn.SINGLE(INDEX(DATABASE!$AV$14:$BC$968,SUMPRODUCT((ROW(DATABASE!$AV$14:$AV$968)) * (DATABASE!$AV$14:BB$968='Résultats observations'!$A32 ) * (DATABASE!$AW$14:$AW$968= I$4))-ROW(DATABASE!$AV$14)+1,I$5)),"")</f>
        <v>823147.5675</v>
      </c>
      <c r="J32" s="167" cm="1">
        <f t="array" ref="J32">IFERROR(_xlfn.SINGLE(INDEX(DATABASE!$AV$14:$BC$968,SUMPRODUCT((ROW(DATABASE!$AV$14:$AV$968)) * (DATABASE!$AV$14:BC$968='Résultats observations'!$A32 ) * (DATABASE!$AW$14:$AW$968= J$4))-ROW(DATABASE!$AV$14)+1,J$5)),"")</f>
        <v>1091710.4077000001</v>
      </c>
      <c r="K32" s="167" cm="1">
        <f t="array" ref="K32">IFERROR(_xlfn.SINGLE(INDEX(DATABASE!$AV$14:$BC$968,SUMPRODUCT((ROW(DATABASE!$AV$14:$AV$968)) * (DATABASE!$AV$14:BD$968='Résultats observations'!$A32 ) * (DATABASE!$AW$14:$AW$968= K$4))-ROW(DATABASE!$AV$14)+1,K$5)),"")</f>
        <v>-122.35599999999999</v>
      </c>
      <c r="L32" s="158" cm="1">
        <f t="array" ref="L32">IFERROR(_xlfn.SINGLE(INDEX(DATABASE!$AV$14:$BC$968,SUMPRODUCT((ROW(DATABASE!$AV$14:$AV$968)) * (DATABASE!$AV$14:BE$968='Résultats observations'!$A32 ) * (DATABASE!$AW$14:$AW$968= L$4))-ROW(DATABASE!$AV$14)+1,L$5)),"")</f>
        <v>823149.98950000003</v>
      </c>
      <c r="M32" s="158" cm="1">
        <f t="array" ref="M32">IFERROR(_xlfn.SINGLE(INDEX(DATABASE!$AV$14:$BC$968,SUMPRODUCT((ROW(DATABASE!$AV$14:$AV$968)) * (DATABASE!$AV$14:BF$968='Résultats observations'!$A32 ) * (DATABASE!$AW$14:$AW$968= M$4))-ROW(DATABASE!$AV$14)+1,M$5)),"")</f>
        <v>1091705.0825</v>
      </c>
      <c r="N32" s="158" cm="1">
        <f t="array" ref="N32">IFERROR(_xlfn.SINGLE(INDEX(DATABASE!$AV$14:$BC$968,SUMPRODUCT((ROW(DATABASE!$AV$14:$AV$968)) * (DATABASE!$AV$14:BG$968='Résultats observations'!$A32 ) * (DATABASE!$AW$14:$AW$968= N$4))-ROW(DATABASE!$AV$14)+1,N$5)),"")</f>
        <v>-121.7829</v>
      </c>
      <c r="O32" s="33">
        <f t="shared" si="0"/>
        <v>5.5264833547712566</v>
      </c>
      <c r="P32" s="33">
        <f t="shared" si="1"/>
        <v>5.6989963915351494</v>
      </c>
      <c r="Q32" s="33">
        <f t="shared" si="2"/>
        <v>5.8781189721665497</v>
      </c>
      <c r="R32" s="35">
        <f t="shared" ref="R32" si="482">IF(O32="","",(O32-O$10)*1000)</f>
        <v>-1.8912003849251846</v>
      </c>
      <c r="S32" s="35">
        <f t="shared" ref="S32" si="483">IF(P32="","",(P32-P$11)*1000)</f>
        <v>-1.8834791002166895</v>
      </c>
      <c r="T32" s="35">
        <f t="shared" ref="T32" si="484">IF(Q32="","",(Q32-Q$14)*1000)</f>
        <v>-3.4888982657106382</v>
      </c>
      <c r="U32" s="34"/>
      <c r="V32" s="35">
        <f t="shared" ref="V32" si="485">IF(C32="","",(C32-C$10)*1000)</f>
        <v>1.0000000474974513</v>
      </c>
      <c r="W32" s="35">
        <f t="shared" ref="W32" si="486">IF(D32="","",(D32-D$10)*1000)</f>
        <v>-0.89999986812472343</v>
      </c>
      <c r="X32" s="35">
        <f t="shared" ref="X32" si="487">IF(E32="","",(E32-E$10)*1000)</f>
        <v>-3.7999999999982492</v>
      </c>
      <c r="Y32" s="35">
        <f t="shared" ref="Y32" si="488">IF(F32="","",(F32-F$11)*1000)</f>
        <v>1.9999999785795808</v>
      </c>
      <c r="Z32" s="35">
        <f t="shared" ref="Z32" si="489">IF(G32="","",(G32-G$11)*1000)</f>
        <v>-0.699999975040555</v>
      </c>
      <c r="AA32" s="35">
        <f t="shared" ref="AA32" si="490">IF(H32="","",(H32-H$11)*1000)</f>
        <v>-2.3999999999944066</v>
      </c>
      <c r="AB32" s="35">
        <f t="shared" ref="AB32" si="491">IF(I32="","",(I32-I$14)*1000)</f>
        <v>1.9999999785795808</v>
      </c>
      <c r="AC32" s="35">
        <f t="shared" ref="AC32" si="492">IF(J32="","",(J32-J$14)*1000)</f>
        <v>-2.6000000070780516</v>
      </c>
      <c r="AD32" s="35">
        <f t="shared" ref="AD32" si="493">IF(K32="","",(K32-K$14)*1000)</f>
        <v>-2.299999999991087</v>
      </c>
      <c r="AE32" s="35">
        <f t="shared" ref="AE32" si="494">IF(L32="","",(L32-L$10)*1000)</f>
        <v>-0.3499999875202775</v>
      </c>
      <c r="AF32" s="35">
        <f t="shared" ref="AF32" si="495">IF(M32="","",(M32-M$10)*1000)</f>
        <v>0.40000001899898052</v>
      </c>
      <c r="AG32" s="35">
        <f t="shared" ref="AG32" si="496">IF(N32="","",(N32-N$10)*1000)</f>
        <v>-9.9999999989108801E-2</v>
      </c>
      <c r="AH32" s="34"/>
      <c r="AI32" s="33" cm="1">
        <f t="array" ref="AI32">IFERROR(_xlfn.SINGLE(INDEX(DATABASE!$AV$14:$BC$968,SUMPRODUCT((ROW(DATABASE!$AV$14:$AV$968)) * (DATABASE!$AV$14:HY$968='Résultats observations'!$A32 ) * (DATABASE!$AW$14:$AW$968= AI$4))-ROW(DATABASE!$AV$14)+1,AI$5)),"")</f>
        <v>2.6864532572916748</v>
      </c>
      <c r="AJ32" s="33" cm="1">
        <f t="array" ref="AJ32">IFERROR(_xlfn.SINGLE(INDEX(DATABASE!$AV$14:$BC$968,SUMPRODUCT((ROW(DATABASE!$AV$14:$AV$968)) * (DATABASE!$AV$14:HZ$968='Résultats observations'!$A32 ) * (DATABASE!$AW$14:$AW$968= AJ$4))-ROW(DATABASE!$AV$14)+1,AJ$5)),"")</f>
        <v>8.1360605096970993E-3</v>
      </c>
      <c r="AK32" s="33" cm="1">
        <f t="array" ref="AK32">IFERROR(_xlfn.SINGLE(INDEX(DATABASE!$AV$14:$BC$968,SUMPRODUCT((ROW(DATABASE!$AV$14:$AV$968)) * (DATABASE!$AV$14:IA$968='Résultats observations'!$A32 ) * (DATABASE!$AW$14:$AW$968= AK$4))-ROW(DATABASE!$AV$14)+1,AK$5)),"")</f>
        <v>1.3827999999999889</v>
      </c>
      <c r="AL32" s="33" cm="1">
        <f t="array" ref="AL32">IFERROR(_xlfn.SINGLE(INDEX(DATABASE!$AV$14:$BC$968,SUMPRODUCT((ROW(DATABASE!$AV$14:$AV$968)) * (DATABASE!$AV$14:IB$968='Résultats observations'!$A32 ) * (DATABASE!$AW$14:$AW$968= AL$4))-ROW(DATABASE!$AV$14)+1,AL$5)),"")</f>
        <v>2.8616050788449656</v>
      </c>
      <c r="AM32" s="33" cm="1">
        <f t="array" ref="AM32">IFERROR(_xlfn.SINGLE(INDEX(DATABASE!$AV$14:$BC$968,SUMPRODUCT((ROW(DATABASE!$AV$14:$AV$968)) * (DATABASE!$AV$14:IC$968='Résultats observations'!$A32 ) * (DATABASE!$AW$14:$AW$968= AM$4))-ROW(DATABASE!$AV$14)+1,AM$5)),"")</f>
        <v>2.626226830573828E-2</v>
      </c>
      <c r="AN32" s="33" cm="1">
        <f t="array" ref="AN32">IFERROR(_xlfn.SINGLE(INDEX(DATABASE!$AV$14:$BC$968,SUMPRODUCT((ROW(DATABASE!$AV$14:$AV$968)) * (DATABASE!$AV$14:ID$968='Résultats observations'!$A32 ) * (DATABASE!$AW$14:$AW$968= AN$4))-ROW(DATABASE!$AV$14)+1,AN$5)),"")</f>
        <v>1.044399999999996</v>
      </c>
      <c r="AO32" s="167" cm="1">
        <f t="array" ref="AO32">IFERROR(_xlfn.SINGLE(INDEX(DATABASE!$AV$14:$BC$968,SUMPRODUCT((ROW(DATABASE!$AV$14:$AV$968)) * (DATABASE!$AV$14:IE$968='Résultats observations'!$A32 ) * (DATABASE!$AW$14:$AW$968= AO$4))-ROW(DATABASE!$AV$14)+1,AO$5)),"")</f>
        <v>3.0138794552435155</v>
      </c>
      <c r="AP32" s="167" cm="1">
        <f t="array" ref="AP32">IFERROR(_xlfn.SINGLE(INDEX(DATABASE!$AV$14:$BC$968,SUMPRODUCT((ROW(DATABASE!$AV$14:$AV$968)) * (DATABASE!$AV$14:IF$968='Résultats observations'!$A32 ) * (DATABASE!$AW$14:$AW$968= AP$4))-ROW(DATABASE!$AV$14)+1,AP$5)),"")</f>
        <v>7.0021316545270454E-2</v>
      </c>
      <c r="AQ32" s="167" cm="1">
        <f t="array" ref="AQ32">IFERROR(_xlfn.SINGLE(INDEX(DATABASE!$AV$14:$BC$968,SUMPRODUCT((ROW(DATABASE!$AV$14:$AV$968)) * (DATABASE!$AV$14:IG$968='Résultats observations'!$A32 ) * (DATABASE!$AW$14:$AW$968= AQ$4))-ROW(DATABASE!$AV$14)+1,AQ$5)),"")</f>
        <v>0.59799999999999898</v>
      </c>
      <c r="AR32" s="33" cm="1">
        <f t="array" ref="AR32">IFERROR(_xlfn.SINGLE(INDEX(DATABASE!$AV$14:$BC$968,SUMPRODUCT((ROW(DATABASE!$AV$14:$AV$968)) * (DATABASE!$AV$14:IH$968='Résultats observations'!$A32 ) * (DATABASE!$AW$14:$AW$968= AR$4))-ROW(DATABASE!$AV$14)+1,AR$5)),"")</f>
        <v>-2.8359703446312872</v>
      </c>
      <c r="AS32" s="33" cm="1">
        <f t="array" ref="AS32">IFERROR(_xlfn.SINGLE(INDEX(DATABASE!$AV$14:$BC$968,SUMPRODUCT((ROW(DATABASE!$AV$14:$AV$968)) * (DATABASE!$AV$14:II$968='Résultats observations'!$A32 ) * (DATABASE!$AW$14:$AW$968= AS$4))-ROW(DATABASE!$AV$14)+1,AS$5)),"")</f>
        <v>1.4376372039259577E-2</v>
      </c>
      <c r="AT32" s="33" cm="1">
        <f t="array" ref="AT32">IFERROR(_xlfn.SINGLE(INDEX(DATABASE!$AV$14:$BC$968,SUMPRODUCT((ROW(DATABASE!$AV$14:$AV$968)) * (DATABASE!$AV$14:IJ$968='Résultats observations'!$A32 ) * (DATABASE!$AW$14:$AW$968= AT$4))-ROW(DATABASE!$AV$14)+1,AT$5)),"")</f>
        <v>1.1710999999999956</v>
      </c>
      <c r="AU32" s="34"/>
      <c r="AV32" s="35">
        <f t="shared" ref="AV32" si="497">IF(AI32="","",(AI32-AI$10)*1000)</f>
        <v>-1.2383127593937893</v>
      </c>
      <c r="AW32" s="35">
        <f t="shared" ref="AW32" si="498">IF(AJ32="","",(AJ32-AJ$10)*1000)</f>
        <v>0.52591003750003273</v>
      </c>
      <c r="AX32" s="35">
        <f t="shared" ref="AX32" si="499">IF(AK32="","",(AK32-AK$10)*1000)</f>
        <v>-3.7999999999982492</v>
      </c>
      <c r="AY32" s="35">
        <f t="shared" ref="AY32" si="500">IF(AL32="","",(AL32-AL$11)*1000)</f>
        <v>-1.4797026678579073</v>
      </c>
      <c r="AZ32" s="35">
        <f t="shared" ref="AZ32" si="501">IF(AM32="","",(AM32-AM$11)*1000)</f>
        <v>1.5167332969597096</v>
      </c>
      <c r="BA32" s="35">
        <f t="shared" ref="BA32" si="502">IF(AN32="","",(AN32-AN$11)*1000)</f>
        <v>-2.3999999999944066</v>
      </c>
      <c r="BB32" s="35">
        <f t="shared" ref="BB32" si="503">IF(AO32="","",(AO32-AO$14)*1000)</f>
        <v>-3.2016606373193035</v>
      </c>
      <c r="BC32" s="35">
        <f t="shared" ref="BC32" si="504">IF(AP32="","",(AP32-AP$14)*1000)</f>
        <v>0.71370099801459919</v>
      </c>
      <c r="BD32" s="35">
        <f t="shared" ref="BD32" si="505">IF(AQ32="","",(AQ32-AQ$14)*1000)</f>
        <v>-2.299999999991087</v>
      </c>
      <c r="BE32" s="35">
        <f t="shared" ref="BE32" si="506">IF(AR32="","",(AR32-AR$10)*1000)</f>
        <v>0.51044447302972529</v>
      </c>
      <c r="BF32" s="35">
        <f t="shared" ref="BF32" si="507">IF(AS32="","",(AS32-AS$10)*1000)</f>
        <v>-0.14814333065265273</v>
      </c>
      <c r="BG32" s="35">
        <f t="shared" ref="BG32" si="508">IF(AT32="","",(AT32-AT$10)*1000)</f>
        <v>-9.9999999989108801E-2</v>
      </c>
    </row>
    <row r="33" spans="1:59" s="57" customFormat="1" ht="29.25" customHeight="1">
      <c r="A33" s="172">
        <v>45663</v>
      </c>
      <c r="B33" s="25">
        <f t="shared" ref="B33" si="509">A33-A$10</f>
        <v>131</v>
      </c>
      <c r="C33" s="80" cm="1">
        <f t="array" ref="C33">IFERROR(_xlfn.SINGLE(INDEX(DATABASE!$AV$14:$BC$968,SUMPRODUCT((ROW(DATABASE!$AV$14:$AV$968)) * (DATABASE!AV$14:$AV$968='Résultats observations'!$A33 ) * (DATABASE!$AW$14:$AW$968= C$4))-ROW(DATABASE!$AV$14)+1,C$5)),"")</f>
        <v>823147.64930000005</v>
      </c>
      <c r="D33" s="158" cm="1">
        <f t="array" ref="D33">IFERROR(_xlfn.SINGLE(INDEX(DATABASE!$AV$14:$BC$968,SUMPRODUCT((ROW(DATABASE!$AV$14:$AV$968)) * (DATABASE!$AV$14:AW$968='Résultats observations'!$A33 ) * (DATABASE!$AW$14:$AW$968= D$4))-ROW(DATABASE!$AV$14)+1,D$5)),"")</f>
        <v>1091710.0844000001</v>
      </c>
      <c r="E33" s="158" cm="1">
        <f t="array" ref="E33">IFERROR(_xlfn.SINGLE(INDEX(DATABASE!$AV$14:$BC$968,SUMPRODUCT((ROW(DATABASE!$AV$14:$AV$968)) * (DATABASE!$AV$14:AX$968='Résultats observations'!$A33 ) * (DATABASE!$AW$14:$AW$968= E$4))-ROW(DATABASE!$AV$14)+1,E$5)),"")</f>
        <v>-121.57170000000001</v>
      </c>
      <c r="F33" s="158" cm="1">
        <f t="array" ref="F33">IFERROR(_xlfn.SINGLE(INDEX(DATABASE!$AV$14:$BC$968,SUMPRODUCT((ROW(DATABASE!$AV$14:$AV$968)) * (DATABASE!$AV$14:AY$968='Résultats observations'!$A33 ) * (DATABASE!$AW$14:$AW$968= F$4))-ROW(DATABASE!$AV$14)+1,F$5)),"")</f>
        <v>823147.59239999996</v>
      </c>
      <c r="G33" s="158" cm="1">
        <f t="array" ref="G33">IFERROR(_xlfn.SINGLE(INDEX(DATABASE!$AV$14:$BC$968,SUMPRODUCT((ROW(DATABASE!$AV$14:$AV$968)) * (DATABASE!$AV$14:AZ$968='Résultats observations'!$A33 ) * (DATABASE!$AW$14:$AW$968= G$4))-ROW(DATABASE!$AV$14)+1,G$5)),"")</f>
        <v>1091710.2520000001</v>
      </c>
      <c r="H33" s="158" cm="1">
        <f t="array" ref="H33">IFERROR(_xlfn.SINGLE(INDEX(DATABASE!$AV$14:$BC$968,SUMPRODUCT((ROW(DATABASE!$AV$14:$AV$968)) * (DATABASE!$AV$14:BA$968='Résultats observations'!$A33 ) * (DATABASE!$AW$14:$AW$968= H$4))-ROW(DATABASE!$AV$14)+1,H$5)),"")</f>
        <v>-121.9096</v>
      </c>
      <c r="I33" s="167" cm="1">
        <f t="array" ref="I33">IFERROR(_xlfn.SINGLE(INDEX(DATABASE!$AV$14:$BC$968,SUMPRODUCT((ROW(DATABASE!$AV$14:$AV$968)) * (DATABASE!$AV$14:BB$968='Résultats observations'!$A33 ) * (DATABASE!$AW$14:$AW$968= I$4))-ROW(DATABASE!$AV$14)+1,I$5)),"")</f>
        <v>823147.56810000003</v>
      </c>
      <c r="J33" s="167" cm="1">
        <f t="array" ref="J33">IFERROR(_xlfn.SINGLE(INDEX(DATABASE!$AV$14:$BC$968,SUMPRODUCT((ROW(DATABASE!$AV$14:$AV$968)) * (DATABASE!$AV$14:BC$968='Résultats observations'!$A33 ) * (DATABASE!$AW$14:$AW$968= J$4))-ROW(DATABASE!$AV$14)+1,J$5)),"")</f>
        <v>1091710.4056000002</v>
      </c>
      <c r="K33" s="167" cm="1">
        <f t="array" ref="K33">IFERROR(_xlfn.SINGLE(INDEX(DATABASE!$AV$14:$BC$968,SUMPRODUCT((ROW(DATABASE!$AV$14:$AV$968)) * (DATABASE!$AV$14:BD$968='Résultats observations'!$A33 ) * (DATABASE!$AW$14:$AW$968= K$4))-ROW(DATABASE!$AV$14)+1,K$5)),"")</f>
        <v>-122.3569</v>
      </c>
      <c r="L33" s="158" cm="1">
        <f t="array" ref="L33">IFERROR(_xlfn.SINGLE(INDEX(DATABASE!$AV$14:$BC$968,SUMPRODUCT((ROW(DATABASE!$AV$14:$AV$968)) * (DATABASE!$AV$14:BE$968='Résultats observations'!$A33 ) * (DATABASE!$AW$14:$AW$968= L$4))-ROW(DATABASE!$AV$14)+1,L$5)),"")</f>
        <v>823149.98875000002</v>
      </c>
      <c r="M33" s="158" cm="1">
        <f t="array" ref="M33">IFERROR(_xlfn.SINGLE(INDEX(DATABASE!$AV$14:$BC$968,SUMPRODUCT((ROW(DATABASE!$AV$14:$AV$968)) * (DATABASE!$AV$14:BF$968='Résultats observations'!$A33 ) * (DATABASE!$AW$14:$AW$968= M$4))-ROW(DATABASE!$AV$14)+1,M$5)),"")</f>
        <v>1091705.0824</v>
      </c>
      <c r="N33" s="158" cm="1">
        <f t="array" ref="N33">IFERROR(_xlfn.SINGLE(INDEX(DATABASE!$AV$14:$BC$968,SUMPRODUCT((ROW(DATABASE!$AV$14:$AV$968)) * (DATABASE!$AV$14:BG$968='Résultats observations'!$A33 ) * (DATABASE!$AW$14:$AW$968= N$4))-ROW(DATABASE!$AV$14)+1,N$5)),"")</f>
        <v>-121.7833</v>
      </c>
      <c r="O33" s="33">
        <f t="shared" si="0"/>
        <v>5.526102140144693</v>
      </c>
      <c r="P33" s="33">
        <f t="shared" si="1"/>
        <v>5.6994042823963298</v>
      </c>
      <c r="Q33" s="33">
        <f t="shared" si="2"/>
        <v>5.8757996583224221</v>
      </c>
      <c r="R33" s="35">
        <f t="shared" ref="R33" si="510">IF(O33="","",(O33-O$10)*1000)</f>
        <v>-2.272415011488782</v>
      </c>
      <c r="S33" s="35">
        <f t="shared" ref="S33" si="511">IF(P33="","",(P33-P$11)*1000)</f>
        <v>-1.4755882390362629</v>
      </c>
      <c r="T33" s="35">
        <f t="shared" ref="T33" si="512">IF(Q33="","",(Q33-Q$14)*1000)</f>
        <v>-5.8082121098381734</v>
      </c>
      <c r="U33" s="34"/>
      <c r="V33" s="35">
        <f t="shared" ref="V33" si="513">IF(C33="","",(C33-C$10)*1000)</f>
        <v>0.50000008195638657</v>
      </c>
      <c r="W33" s="35">
        <f t="shared" ref="W33" si="514">IF(D33="","",(D33-D$10)*1000)</f>
        <v>-1.299999887123704</v>
      </c>
      <c r="X33" s="35">
        <f t="shared" ref="X33" si="515">IF(E33="","",(E33-E$10)*1000)</f>
        <v>-4.3000000000006366</v>
      </c>
      <c r="Y33" s="35">
        <f t="shared" ref="Y33" si="516">IF(F33="","",(F33-F$11)*1000)</f>
        <v>2.199999988079071</v>
      </c>
      <c r="Z33" s="35">
        <f t="shared" ref="Z33" si="517">IF(G33="","",(G33-G$11)*1000)</f>
        <v>0.10000006295740604</v>
      </c>
      <c r="AA33" s="35">
        <f t="shared" ref="AA33" si="518">IF(H33="","",(H33-H$11)*1000)</f>
        <v>-2.3999999999944066</v>
      </c>
      <c r="AB33" s="35">
        <f t="shared" ref="AB33" si="519">IF(I33="","",(I33-I$14)*1000)</f>
        <v>2.6000000070780516</v>
      </c>
      <c r="AC33" s="35">
        <f t="shared" ref="AC33" si="520">IF(J33="","",(J33-J$14)*1000)</f>
        <v>-4.6999999321997166</v>
      </c>
      <c r="AD33" s="35">
        <f t="shared" ref="AD33" si="521">IF(K33="","",(K33-K$14)*1000)</f>
        <v>-3.1999999999925421</v>
      </c>
      <c r="AE33" s="35">
        <f t="shared" ref="AE33" si="522">IF(L33="","",(L33-L$10)*1000)</f>
        <v>-1.0999999940395355</v>
      </c>
      <c r="AF33" s="35">
        <f t="shared" ref="AF33" si="523">IF(M33="","",(M33-M$10)*1000)</f>
        <v>0.29999995604157448</v>
      </c>
      <c r="AG33" s="35">
        <f t="shared" ref="AG33" si="524">IF(N33="","",(N33-N$10)*1000)</f>
        <v>-0.49999999998817657</v>
      </c>
      <c r="AH33" s="34"/>
      <c r="AI33" s="33" cm="1">
        <f t="array" ref="AI33">IFERROR(_xlfn.SINGLE(INDEX(DATABASE!$AV$14:$BC$968,SUMPRODUCT((ROW(DATABASE!$AV$14:$AV$968)) * (DATABASE!$AV$14:HY$968='Résultats observations'!$A33 ) * (DATABASE!$AW$14:$AW$968= AI$4))-ROW(DATABASE!$AV$14)+1,AI$5)),"")</f>
        <v>2.6863020640843831</v>
      </c>
      <c r="AJ33" s="33" cm="1">
        <f t="array" ref="AJ33">IFERROR(_xlfn.SINGLE(INDEX(DATABASE!$AV$14:$BC$968,SUMPRODUCT((ROW(DATABASE!$AV$14:$AV$968)) * (DATABASE!$AV$14:HZ$968='Résultats observations'!$A33 ) * (DATABASE!$AW$14:$AW$968= AJ$4))-ROW(DATABASE!$AV$14)+1,AJ$5)),"")</f>
        <v>7.5138542779634807E-3</v>
      </c>
      <c r="AK33" s="33" cm="1">
        <f t="array" ref="AK33">IFERROR(_xlfn.SINGLE(INDEX(DATABASE!$AV$14:$BC$968,SUMPRODUCT((ROW(DATABASE!$AV$14:$AV$968)) * (DATABASE!$AV$14:IA$968='Résultats observations'!$A33 ) * (DATABASE!$AW$14:$AW$968= AK$4))-ROW(DATABASE!$AV$14)+1,AK$5)),"")</f>
        <v>1.3822999999999865</v>
      </c>
      <c r="AL33" s="33" cm="1">
        <f t="array" ref="AL33">IFERROR(_xlfn.SINGLE(INDEX(DATABASE!$AV$14:$BC$968,SUMPRODUCT((ROW(DATABASE!$AV$14:$AV$968)) * (DATABASE!$AV$14:IB$968='Résultats observations'!$A33 ) * (DATABASE!$AW$14:$AW$968= AL$4))-ROW(DATABASE!$AV$14)+1,AL$5)),"")</f>
        <v>2.8622455840834191</v>
      </c>
      <c r="AM33" s="33" cm="1">
        <f t="array" ref="AM33">IFERROR(_xlfn.SINGLE(INDEX(DATABASE!$AV$14:$BC$968,SUMPRODUCT((ROW(DATABASE!$AV$14:$AV$968)) * (DATABASE!$AV$14:IC$968='Résultats observations'!$A33 ) * (DATABASE!$AW$14:$AW$968= AM$4))-ROW(DATABASE!$AV$14)+1,AM$5)),"")</f>
        <v>2.6781645917990819E-2</v>
      </c>
      <c r="AN33" s="33" cm="1">
        <f t="array" ref="AN33">IFERROR(_xlfn.SINGLE(INDEX(DATABASE!$AV$14:$BC$968,SUMPRODUCT((ROW(DATABASE!$AV$14:$AV$968)) * (DATABASE!$AV$14:ID$968='Résultats observations'!$A33 ) * (DATABASE!$AW$14:$AW$968= AN$4))-ROW(DATABASE!$AV$14)+1,AN$5)),"")</f>
        <v>1.044399999999996</v>
      </c>
      <c r="AO33" s="167" cm="1">
        <f t="array" ref="AO33">IFERROR(_xlfn.SINGLE(INDEX(DATABASE!$AV$14:$BC$968,SUMPRODUCT((ROW(DATABASE!$AV$14:$AV$968)) * (DATABASE!$AV$14:IE$968='Résultats observations'!$A33 ) * (DATABASE!$AW$14:$AW$968= AO$4))-ROW(DATABASE!$AV$14)+1,AO$5)),"")</f>
        <v>3.0117226494855753</v>
      </c>
      <c r="AP33" s="167" cm="1">
        <f t="array" ref="AP33">IFERROR(_xlfn.SINGLE(INDEX(DATABASE!$AV$14:$BC$968,SUMPRODUCT((ROW(DATABASE!$AV$14:$AV$968)) * (DATABASE!$AV$14:IF$968='Résultats observations'!$A33 ) * (DATABASE!$AW$14:$AW$968= AP$4))-ROW(DATABASE!$AV$14)+1,AP$5)),"")</f>
        <v>6.9677530794800824E-2</v>
      </c>
      <c r="AQ33" s="167" cm="1">
        <f t="array" ref="AQ33">IFERROR(_xlfn.SINGLE(INDEX(DATABASE!$AV$14:$BC$968,SUMPRODUCT((ROW(DATABASE!$AV$14:$AV$968)) * (DATABASE!$AV$14:IG$968='Résultats observations'!$A33 ) * (DATABASE!$AW$14:$AW$968= AQ$4))-ROW(DATABASE!$AV$14)+1,AQ$5)),"")</f>
        <v>0.59709999999999752</v>
      </c>
      <c r="AR33" s="33" cm="1">
        <f t="array" ref="AR33">IFERROR(_xlfn.SINGLE(INDEX(DATABASE!$AV$14:$BC$968,SUMPRODUCT((ROW(DATABASE!$AV$14:$AV$968)) * (DATABASE!$AV$14:IH$968='Résultats observations'!$A33 ) * (DATABASE!$AW$14:$AW$968= AR$4))-ROW(DATABASE!$AV$14)+1,AR$5)),"")</f>
        <v>-2.8357439876224255</v>
      </c>
      <c r="AS33" s="33" cm="1">
        <f t="array" ref="AS33">IFERROR(_xlfn.SINGLE(INDEX(DATABASE!$AV$14:$BC$968,SUMPRODUCT((ROW(DATABASE!$AV$14:$AV$968)) * (DATABASE!$AV$14:II$968='Résultats observations'!$A33 ) * (DATABASE!$AW$14:$AW$968= AS$4))-ROW(DATABASE!$AV$14)+1,AS$5)),"")</f>
        <v>1.3654386909973396E-2</v>
      </c>
      <c r="AT33" s="33" cm="1">
        <f t="array" ref="AT33">IFERROR(_xlfn.SINGLE(INDEX(DATABASE!$AV$14:$BC$968,SUMPRODUCT((ROW(DATABASE!$AV$14:$AV$968)) * (DATABASE!$AV$14:IJ$968='Résultats observations'!$A33 ) * (DATABASE!$AW$14:$AW$968= AT$4))-ROW(DATABASE!$AV$14)+1,AT$5)),"")</f>
        <v>1.1706999999999965</v>
      </c>
      <c r="AU33" s="34"/>
      <c r="AV33" s="35">
        <f t="shared" ref="AV33" si="525">IF(AI33="","",(AI33-AI$10)*1000)</f>
        <v>-1.3895059666855225</v>
      </c>
      <c r="AW33" s="35">
        <f t="shared" ref="AW33" si="526">IF(AJ33="","",(AJ33-AJ$10)*1000)</f>
        <v>-9.6296194233585874E-2</v>
      </c>
      <c r="AX33" s="35">
        <f t="shared" ref="AX33" si="527">IF(AK33="","",(AK33-AK$10)*1000)</f>
        <v>-4.3000000000006366</v>
      </c>
      <c r="AY33" s="35">
        <f t="shared" ref="AY33" si="528">IF(AL33="","",(AL33-AL$11)*1000)</f>
        <v>-0.83919742940441466</v>
      </c>
      <c r="AZ33" s="35">
        <f t="shared" ref="AZ33" si="529">IF(AM33="","",(AM33-AM$11)*1000)</f>
        <v>2.036110909212248</v>
      </c>
      <c r="BA33" s="35">
        <f t="shared" ref="BA33" si="530">IF(AN33="","",(AN33-AN$11)*1000)</f>
        <v>-2.3999999999944066</v>
      </c>
      <c r="BB33" s="35">
        <f t="shared" ref="BB33" si="531">IF(AO33="","",(AO33-AO$14)*1000)</f>
        <v>-5.358466395259498</v>
      </c>
      <c r="BC33" s="35">
        <f t="shared" ref="BC33" si="532">IF(AP33="","",(AP33-AP$14)*1000)</f>
        <v>0.36991524754496907</v>
      </c>
      <c r="BD33" s="35">
        <f t="shared" ref="BD33" si="533">IF(AQ33="","",(AQ33-AQ$14)*1000)</f>
        <v>-3.1999999999925421</v>
      </c>
      <c r="BE33" s="35">
        <f t="shared" ref="BE33" si="534">IF(AR33="","",(AR33-AR$10)*1000)</f>
        <v>0.73680148189136929</v>
      </c>
      <c r="BF33" s="35">
        <f t="shared" ref="BF33" si="535">IF(AS33="","",(AS33-AS$10)*1000)</f>
        <v>-0.87012845993883303</v>
      </c>
      <c r="BG33" s="35">
        <f t="shared" ref="BG33" si="536">IF(AT33="","",(AT33-AT$10)*1000)</f>
        <v>-0.49999999998817657</v>
      </c>
    </row>
    <row r="34" spans="1:59" s="57" customFormat="1" ht="29.25" customHeight="1">
      <c r="A34" s="172">
        <v>45666</v>
      </c>
      <c r="B34" s="25">
        <f t="shared" ref="B34" si="537">A34-A$10</f>
        <v>134</v>
      </c>
      <c r="C34" s="80" cm="1">
        <f t="array" ref="C34">IFERROR(_xlfn.SINGLE(INDEX(DATABASE!$AV$14:$BC$968,SUMPRODUCT((ROW(DATABASE!$AV$14:$AV$968)) * (DATABASE!AV$14:$AV$968='Résultats observations'!$A34 ) * (DATABASE!$AW$14:$AW$968= C$4))-ROW(DATABASE!$AV$14)+1,C$5)),"")</f>
        <v>823147.64969999995</v>
      </c>
      <c r="D34" s="158" cm="1">
        <f t="array" ref="D34">IFERROR(_xlfn.SINGLE(INDEX(DATABASE!$AV$14:$BC$968,SUMPRODUCT((ROW(DATABASE!$AV$14:$AV$968)) * (DATABASE!$AV$14:AW$968='Résultats observations'!$A34 ) * (DATABASE!$AW$14:$AW$968= D$4))-ROW(DATABASE!$AV$14)+1,D$5)),"")</f>
        <v>1091710.0845000001</v>
      </c>
      <c r="E34" s="158" cm="1">
        <f t="array" ref="E34">IFERROR(_xlfn.SINGLE(INDEX(DATABASE!$AV$14:$BC$968,SUMPRODUCT((ROW(DATABASE!$AV$14:$AV$968)) * (DATABASE!$AV$14:AX$968='Résultats observations'!$A34 ) * (DATABASE!$AW$14:$AW$968= E$4))-ROW(DATABASE!$AV$14)+1,E$5)),"")</f>
        <v>-121.5716</v>
      </c>
      <c r="F34" s="158" cm="1">
        <f t="array" ref="F34">IFERROR(_xlfn.SINGLE(INDEX(DATABASE!$AV$14:$BC$968,SUMPRODUCT((ROW(DATABASE!$AV$14:$AV$968)) * (DATABASE!$AV$14:AY$968='Résultats observations'!$A34 ) * (DATABASE!$AW$14:$AW$968= F$4))-ROW(DATABASE!$AV$14)+1,F$5)),"")</f>
        <v>823147.59230000002</v>
      </c>
      <c r="G34" s="158" cm="1">
        <f t="array" ref="G34">IFERROR(_xlfn.SINGLE(INDEX(DATABASE!$AV$14:$BC$968,SUMPRODUCT((ROW(DATABASE!$AV$14:$AV$968)) * (DATABASE!$AV$14:AZ$968='Résultats observations'!$A34 ) * (DATABASE!$AW$14:$AW$968= G$4))-ROW(DATABASE!$AV$14)+1,G$5)),"")</f>
        <v>1091710.2511</v>
      </c>
      <c r="H34" s="158" cm="1">
        <f t="array" ref="H34">IFERROR(_xlfn.SINGLE(INDEX(DATABASE!$AV$14:$BC$968,SUMPRODUCT((ROW(DATABASE!$AV$14:$AV$968)) * (DATABASE!$AV$14:BA$968='Résultats observations'!$A34 ) * (DATABASE!$AW$14:$AW$968= H$4))-ROW(DATABASE!$AV$14)+1,H$5)),"")</f>
        <v>-121.9096</v>
      </c>
      <c r="I34" s="167" cm="1">
        <f t="array" ref="I34">IFERROR(_xlfn.SINGLE(INDEX(DATABASE!$AV$14:$BC$968,SUMPRODUCT((ROW(DATABASE!$AV$14:$AV$968)) * (DATABASE!$AV$14:BB$968='Résultats observations'!$A34 ) * (DATABASE!$AW$14:$AW$968= I$4))-ROW(DATABASE!$AV$14)+1,I$5)),"")</f>
        <v>823147.56839999999</v>
      </c>
      <c r="J34" s="167" cm="1">
        <f t="array" ref="J34">IFERROR(_xlfn.SINGLE(INDEX(DATABASE!$AV$14:$BC$968,SUMPRODUCT((ROW(DATABASE!$AV$14:$AV$968)) * (DATABASE!$AV$14:BC$968='Résultats observations'!$A34 ) * (DATABASE!$AW$14:$AW$968= J$4))-ROW(DATABASE!$AV$14)+1,J$5)),"")</f>
        <v>1091710.4055999999</v>
      </c>
      <c r="K34" s="167" cm="1">
        <f t="array" ref="K34">IFERROR(_xlfn.SINGLE(INDEX(DATABASE!$AV$14:$BC$968,SUMPRODUCT((ROW(DATABASE!$AV$14:$AV$968)) * (DATABASE!$AV$14:BD$968='Résultats observations'!$A34 ) * (DATABASE!$AW$14:$AW$968= K$4))-ROW(DATABASE!$AV$14)+1,K$5)),"")</f>
        <v>-122.35680000000001</v>
      </c>
      <c r="L34" s="158" cm="1">
        <f t="array" ref="L34">IFERROR(_xlfn.SINGLE(INDEX(DATABASE!$AV$14:$BC$968,SUMPRODUCT((ROW(DATABASE!$AV$14:$AV$968)) * (DATABASE!$AV$14:BE$968='Résultats observations'!$A34 ) * (DATABASE!$AW$14:$AW$968= L$4))-ROW(DATABASE!$AV$14)+1,L$5)),"")</f>
        <v>823149.98869999999</v>
      </c>
      <c r="M34" s="158" cm="1">
        <f t="array" ref="M34">IFERROR(_xlfn.SINGLE(INDEX(DATABASE!$AV$14:$BC$968,SUMPRODUCT((ROW(DATABASE!$AV$14:$AV$968)) * (DATABASE!$AV$14:BF$968='Résultats observations'!$A34 ) * (DATABASE!$AW$14:$AW$968= M$4))-ROW(DATABASE!$AV$14)+1,M$5)),"")</f>
        <v>1091705.0824</v>
      </c>
      <c r="N34" s="158" cm="1">
        <f t="array" ref="N34">IFERROR(_xlfn.SINGLE(INDEX(DATABASE!$AV$14:$BC$968,SUMPRODUCT((ROW(DATABASE!$AV$14:$AV$968)) * (DATABASE!$AV$14:BG$968='Résultats observations'!$A34 ) * (DATABASE!$AW$14:$AW$968= N$4))-ROW(DATABASE!$AV$14)+1,N$5)),"")</f>
        <v>-121.78319999999999</v>
      </c>
      <c r="O34" s="33">
        <f t="shared" si="0"/>
        <v>5.5260021689961452</v>
      </c>
      <c r="P34" s="33">
        <f t="shared" si="1"/>
        <v>5.6986112001299647</v>
      </c>
      <c r="Q34" s="33">
        <f t="shared" si="2"/>
        <v>5.8756554774615166</v>
      </c>
      <c r="R34" s="35">
        <f t="shared" ref="R34" si="538">IF(O34="","",(O34-O$10)*1000)</f>
        <v>-2.3723861600366547</v>
      </c>
      <c r="S34" s="35">
        <f t="shared" ref="S34" si="539">IF(P34="","",(P34-P$11)*1000)</f>
        <v>-2.2686705054013601</v>
      </c>
      <c r="T34" s="35">
        <f t="shared" ref="T34" si="540">IF(Q34="","",(Q34-Q$14)*1000)</f>
        <v>-5.9523929707436807</v>
      </c>
      <c r="U34" s="34"/>
      <c r="V34" s="35">
        <f t="shared" ref="V34" si="541">IF(C34="","",(C34-C$10)*1000)</f>
        <v>0.89999998454004526</v>
      </c>
      <c r="W34" s="35">
        <f t="shared" ref="W34" si="542">IF(D34="","",(D34-D$10)*1000)</f>
        <v>-1.1999998241662979</v>
      </c>
      <c r="X34" s="35">
        <f t="shared" ref="X34" si="543">IF(E34="","",(E34-E$10)*1000)</f>
        <v>-4.199999999997317</v>
      </c>
      <c r="Y34" s="35">
        <f t="shared" ref="Y34" si="544">IF(F34="","",(F34-F$11)*1000)</f>
        <v>2.1000000415369868</v>
      </c>
      <c r="Z34" s="35">
        <f t="shared" ref="Z34" si="545">IF(G34="","",(G34-G$11)*1000)</f>
        <v>-0.80000003799796104</v>
      </c>
      <c r="AA34" s="35">
        <f t="shared" ref="AA34" si="546">IF(H34="","",(H34-H$11)*1000)</f>
        <v>-2.3999999999944066</v>
      </c>
      <c r="AB34" s="35">
        <f t="shared" ref="AB34" si="547">IF(I34="","",(I34-I$14)*1000)</f>
        <v>2.899999963119626</v>
      </c>
      <c r="AC34" s="35">
        <f t="shared" ref="AC34" si="548">IF(J34="","",(J34-J$14)*1000)</f>
        <v>-4.7000001650303602</v>
      </c>
      <c r="AD34" s="35">
        <f t="shared" ref="AD34" si="549">IF(K34="","",(K34-K$14)*1000)</f>
        <v>-3.1000000000034333</v>
      </c>
      <c r="AE34" s="35">
        <f t="shared" ref="AE34" si="550">IF(L34="","",(L34-L$10)*1000)</f>
        <v>-1.1500000255182385</v>
      </c>
      <c r="AF34" s="35">
        <f t="shared" ref="AF34" si="551">IF(M34="","",(M34-M$10)*1000)</f>
        <v>0.29999995604157448</v>
      </c>
      <c r="AG34" s="35">
        <f t="shared" ref="AG34" si="552">IF(N34="","",(N34-N$10)*1000)</f>
        <v>-0.39999999998485691</v>
      </c>
      <c r="AH34" s="34"/>
      <c r="AI34" s="33" cm="1">
        <f t="array" ref="AI34">IFERROR(_xlfn.SINGLE(INDEX(DATABASE!$AV$14:$BC$968,SUMPRODUCT((ROW(DATABASE!$AV$14:$AV$968)) * (DATABASE!$AV$14:HY$968='Résultats observations'!$A34 ) * (DATABASE!$AW$14:$AW$968= AI$4))-ROW(DATABASE!$AV$14)+1,AI$5)),"")</f>
        <v>2.686223634119393</v>
      </c>
      <c r="AJ34" s="33" cm="1">
        <f t="array" ref="AJ34">IFERROR(_xlfn.SINGLE(INDEX(DATABASE!$AV$14:$BC$968,SUMPRODUCT((ROW(DATABASE!$AV$14:$AV$968)) * (DATABASE!$AV$14:HZ$968='Résultats observations'!$A34 ) * (DATABASE!$AW$14:$AW$968= AJ$4))-ROW(DATABASE!$AV$14)+1,AJ$5)),"")</f>
        <v>7.9186365345524281E-3</v>
      </c>
      <c r="AK34" s="33" cm="1">
        <f t="array" ref="AK34">IFERROR(_xlfn.SINGLE(INDEX(DATABASE!$AV$14:$BC$968,SUMPRODUCT((ROW(DATABASE!$AV$14:$AV$968)) * (DATABASE!$AV$14:IA$968='Résultats observations'!$A34 ) * (DATABASE!$AW$14:$AW$968= AK$4))-ROW(DATABASE!$AV$14)+1,AK$5)),"")</f>
        <v>1.3823999999999899</v>
      </c>
      <c r="AL34" s="33" cm="1">
        <f t="array" ref="AL34">IFERROR(_xlfn.SINGLE(INDEX(DATABASE!$AV$14:$BC$968,SUMPRODUCT((ROW(DATABASE!$AV$14:$AV$968)) * (DATABASE!$AV$14:IB$968='Résultats observations'!$A34 ) * (DATABASE!$AW$14:$AW$968= AL$4))-ROW(DATABASE!$AV$14)+1,AL$5)),"")</f>
        <v>2.8614721845388864</v>
      </c>
      <c r="AM34" s="33" cm="1">
        <f t="array" ref="AM34">IFERROR(_xlfn.SINGLE(INDEX(DATABASE!$AV$14:$BC$968,SUMPRODUCT((ROW(DATABASE!$AV$14:$AV$968)) * (DATABASE!$AV$14:IC$968='Résultats observations'!$A34 ) * (DATABASE!$AW$14:$AW$968= AM$4))-ROW(DATABASE!$AV$14)+1,AM$5)),"")</f>
        <v>2.6310632844345476E-2</v>
      </c>
      <c r="AN34" s="33" cm="1">
        <f t="array" ref="AN34">IFERROR(_xlfn.SINGLE(INDEX(DATABASE!$AV$14:$BC$968,SUMPRODUCT((ROW(DATABASE!$AV$14:$AV$968)) * (DATABASE!$AV$14:ID$968='Résultats observations'!$A34 ) * (DATABASE!$AW$14:$AW$968= AN$4))-ROW(DATABASE!$AV$14)+1,AN$5)),"")</f>
        <v>1.044399999999996</v>
      </c>
      <c r="AO34" s="167" cm="1">
        <f t="array" ref="AO34">IFERROR(_xlfn.SINGLE(INDEX(DATABASE!$AV$14:$BC$968,SUMPRODUCT((ROW(DATABASE!$AV$14:$AV$968)) * (DATABASE!$AV$14:IE$968='Résultats observations'!$A34 ) * (DATABASE!$AW$14:$AW$968= AO$4))-ROW(DATABASE!$AV$14)+1,AO$5)),"")</f>
        <v>3.0115958547217621</v>
      </c>
      <c r="AP34" s="167" cm="1">
        <f t="array" ref="AP34">IFERROR(_xlfn.SINGLE(INDEX(DATABASE!$AV$14:$BC$968,SUMPRODUCT((ROW(DATABASE!$AV$14:$AV$968)) * (DATABASE!$AV$14:IF$968='Résultats observations'!$A34 ) * (DATABASE!$AW$14:$AW$968= AP$4))-ROW(DATABASE!$AV$14)+1,AP$5)),"")</f>
        <v>6.9949418752413492E-2</v>
      </c>
      <c r="AQ34" s="167" cm="1">
        <f t="array" ref="AQ34">IFERROR(_xlfn.SINGLE(INDEX(DATABASE!$AV$14:$BC$968,SUMPRODUCT((ROW(DATABASE!$AV$14:$AV$968)) * (DATABASE!$AV$14:IG$968='Résultats observations'!$A34 ) * (DATABASE!$AW$14:$AW$968= AQ$4))-ROW(DATABASE!$AV$14)+1,AQ$5)),"")</f>
        <v>0.59719999999998663</v>
      </c>
      <c r="AR34" s="33" cm="1">
        <f t="array" ref="AR34">IFERROR(_xlfn.SINGLE(INDEX(DATABASE!$AV$14:$BC$968,SUMPRODUCT((ROW(DATABASE!$AV$14:$AV$968)) * (DATABASE!$AV$14:IH$968='Résultats observations'!$A34 ) * (DATABASE!$AW$14:$AW$968= AR$4))-ROW(DATABASE!$AV$14)+1,AR$5)),"")</f>
        <v>-2.8357228551805576</v>
      </c>
      <c r="AS34" s="33" cm="1">
        <f t="array" ref="AS34">IFERROR(_xlfn.SINGLE(INDEX(DATABASE!$AV$14:$BC$968,SUMPRODUCT((ROW(DATABASE!$AV$14:$AV$968)) * (DATABASE!$AV$14:II$968='Résultats observations'!$A34 ) * (DATABASE!$AW$14:$AW$968= AS$4))-ROW(DATABASE!$AV$14)+1,AS$5)),"")</f>
        <v>1.3609072198802748E-2</v>
      </c>
      <c r="AT34" s="33" cm="1">
        <f t="array" ref="AT34">IFERROR(_xlfn.SINGLE(INDEX(DATABASE!$AV$14:$BC$968,SUMPRODUCT((ROW(DATABASE!$AV$14:$AV$968)) * (DATABASE!$AV$14:IJ$968='Résultats observations'!$A34 ) * (DATABASE!$AW$14:$AW$968= AT$4))-ROW(DATABASE!$AV$14)+1,AT$5)),"")</f>
        <v>1.1707999999999998</v>
      </c>
      <c r="AU34" s="34"/>
      <c r="AV34" s="35">
        <f t="shared" ref="AV34" si="553">IF(AI34="","",(AI34-AI$10)*1000)</f>
        <v>-1.4679359316756013</v>
      </c>
      <c r="AW34" s="35">
        <f t="shared" ref="AW34" si="554">IF(AJ34="","",(AJ34-AJ$10)*1000)</f>
        <v>0.30848606235536152</v>
      </c>
      <c r="AX34" s="35">
        <f t="shared" ref="AX34" si="555">IF(AK34="","",(AK34-AK$10)*1000)</f>
        <v>-4.199999999997317</v>
      </c>
      <c r="AY34" s="35">
        <f t="shared" ref="AY34" si="556">IF(AL34="","",(AL34-AL$11)*1000)</f>
        <v>-1.6125969739371193</v>
      </c>
      <c r="AZ34" s="35">
        <f t="shared" ref="AZ34" si="557">IF(AM34="","",(AM34-AM$11)*1000)</f>
        <v>1.5650978355669052</v>
      </c>
      <c r="BA34" s="35">
        <f t="shared" ref="BA34" si="558">IF(AN34="","",(AN34-AN$11)*1000)</f>
        <v>-2.3999999999944066</v>
      </c>
      <c r="BB34" s="35">
        <f t="shared" ref="BB34" si="559">IF(AO34="","",(AO34-AO$14)*1000)</f>
        <v>-5.485261159072774</v>
      </c>
      <c r="BC34" s="35">
        <f t="shared" ref="BC34" si="560">IF(AP34="","",(AP34-AP$14)*1000)</f>
        <v>0.64180320515763722</v>
      </c>
      <c r="BD34" s="35">
        <f t="shared" ref="BD34" si="561">IF(AQ34="","",(AQ34-AQ$14)*1000)</f>
        <v>-3.1000000000034333</v>
      </c>
      <c r="BE34" s="35">
        <f t="shared" ref="BE34" si="562">IF(AR34="","",(AR34-AR$10)*1000)</f>
        <v>0.75793392375933522</v>
      </c>
      <c r="BF34" s="35">
        <f t="shared" ref="BF34" si="563">IF(AS34="","",(AS34-AS$10)*1000)</f>
        <v>-0.91544317110948092</v>
      </c>
      <c r="BG34" s="35">
        <f t="shared" ref="BG34" si="564">IF(AT34="","",(AT34-AT$10)*1000)</f>
        <v>-0.39999999998485691</v>
      </c>
    </row>
    <row r="35" spans="1:59" s="57" customFormat="1" ht="29.25" customHeight="1">
      <c r="A35" s="172">
        <v>45670</v>
      </c>
      <c r="B35" s="25">
        <f t="shared" ref="B35" si="565">A35-A$10</f>
        <v>138</v>
      </c>
      <c r="C35" s="80" cm="1">
        <f t="array" ref="C35">IFERROR(_xlfn.SINGLE(INDEX(DATABASE!$AV$14:$BC$968,SUMPRODUCT((ROW(DATABASE!$AV$14:$AV$968)) * (DATABASE!AV$14:$AV$968='Résultats observations'!$A35 ) * (DATABASE!$AW$14:$AW$968= C$4))-ROW(DATABASE!$AV$14)+1,C$5)),"")</f>
        <v>823147.64939999999</v>
      </c>
      <c r="D35" s="158" cm="1">
        <f t="array" ref="D35">IFERROR(_xlfn.SINGLE(INDEX(DATABASE!$AV$14:$BC$968,SUMPRODUCT((ROW(DATABASE!$AV$14:$AV$968)) * (DATABASE!$AV$14:AW$968='Résultats observations'!$A35 ) * (DATABASE!$AW$14:$AW$968= D$4))-ROW(DATABASE!$AV$14)+1,D$5)),"")</f>
        <v>1091710.0841999999</v>
      </c>
      <c r="E35" s="158" cm="1">
        <f t="array" ref="E35">IFERROR(_xlfn.SINGLE(INDEX(DATABASE!$AV$14:$BC$968,SUMPRODUCT((ROW(DATABASE!$AV$14:$AV$968)) * (DATABASE!$AV$14:AX$968='Résultats observations'!$A35 ) * (DATABASE!$AW$14:$AW$968= E$4))-ROW(DATABASE!$AV$14)+1,E$5)),"")</f>
        <v>-121.57169999999999</v>
      </c>
      <c r="F35" s="158" cm="1">
        <f t="array" ref="F35">IFERROR(_xlfn.SINGLE(INDEX(DATABASE!$AV$14:$BC$968,SUMPRODUCT((ROW(DATABASE!$AV$14:$AV$968)) * (DATABASE!$AV$14:AY$968='Résultats observations'!$A35 ) * (DATABASE!$AW$14:$AW$968= F$4))-ROW(DATABASE!$AV$14)+1,F$5)),"")</f>
        <v>823147.59219999996</v>
      </c>
      <c r="G35" s="158" cm="1">
        <f t="array" ref="G35">IFERROR(_xlfn.SINGLE(INDEX(DATABASE!$AV$14:$BC$968,SUMPRODUCT((ROW(DATABASE!$AV$14:$AV$968)) * (DATABASE!$AV$14:AZ$968='Résultats observations'!$A35 ) * (DATABASE!$AW$14:$AW$968= G$4))-ROW(DATABASE!$AV$14)+1,G$5)),"")</f>
        <v>1091710.2509999999</v>
      </c>
      <c r="H35" s="158" cm="1">
        <f t="array" ref="H35">IFERROR(_xlfn.SINGLE(INDEX(DATABASE!$AV$14:$BC$968,SUMPRODUCT((ROW(DATABASE!$AV$14:$AV$968)) * (DATABASE!$AV$14:BA$968='Résultats observations'!$A35 ) * (DATABASE!$AW$14:$AW$968= H$4))-ROW(DATABASE!$AV$14)+1,H$5)),"")</f>
        <v>-121.90979999999999</v>
      </c>
      <c r="I35" s="167" cm="1">
        <f t="array" ref="I35">IFERROR(_xlfn.SINGLE(INDEX(DATABASE!$AV$14:$BC$968,SUMPRODUCT((ROW(DATABASE!$AV$14:$AV$968)) * (DATABASE!$AV$14:BB$968='Résultats observations'!$A35 ) * (DATABASE!$AW$14:$AW$968= I$4))-ROW(DATABASE!$AV$14)+1,I$5)),"")</f>
        <v>823147.56839999999</v>
      </c>
      <c r="J35" s="167" cm="1">
        <f t="array" ref="J35">IFERROR(_xlfn.SINGLE(INDEX(DATABASE!$AV$14:$BC$968,SUMPRODUCT((ROW(DATABASE!$AV$14:$AV$968)) * (DATABASE!$AV$14:BC$968='Résultats observations'!$A35 ) * (DATABASE!$AW$14:$AW$968= J$4))-ROW(DATABASE!$AV$14)+1,J$5)),"")</f>
        <v>1091710.4053</v>
      </c>
      <c r="K35" s="167" cm="1">
        <f t="array" ref="K35">IFERROR(_xlfn.SINGLE(INDEX(DATABASE!$AV$14:$BC$968,SUMPRODUCT((ROW(DATABASE!$AV$14:$AV$968)) * (DATABASE!$AV$14:BD$968='Résultats observations'!$A35 ) * (DATABASE!$AW$14:$AW$968= K$4))-ROW(DATABASE!$AV$14)+1,K$5)),"")</f>
        <v>-122.3569</v>
      </c>
      <c r="L35" s="158" cm="1">
        <f t="array" ref="L35">IFERROR(_xlfn.SINGLE(INDEX(DATABASE!$AV$14:$BC$968,SUMPRODUCT((ROW(DATABASE!$AV$14:$AV$968)) * (DATABASE!$AV$14:BE$968='Résultats observations'!$A35 ) * (DATABASE!$AW$14:$AW$968= L$4))-ROW(DATABASE!$AV$14)+1,L$5)),"")</f>
        <v>823149.98860000004</v>
      </c>
      <c r="M35" s="158" cm="1">
        <f t="array" ref="M35">IFERROR(_xlfn.SINGLE(INDEX(DATABASE!$AV$14:$BC$968,SUMPRODUCT((ROW(DATABASE!$AV$14:$AV$968)) * (DATABASE!$AV$14:BF$968='Résultats observations'!$A35 ) * (DATABASE!$AW$14:$AW$968= M$4))-ROW(DATABASE!$AV$14)+1,M$5)),"")</f>
        <v>1091705.0825</v>
      </c>
      <c r="N35" s="158" cm="1">
        <f t="array" ref="N35">IFERROR(_xlfn.SINGLE(INDEX(DATABASE!$AV$14:$BC$968,SUMPRODUCT((ROW(DATABASE!$AV$14:$AV$968)) * (DATABASE!$AV$14:BG$968='Résultats observations'!$A35 ) * (DATABASE!$AW$14:$AW$968= N$4))-ROW(DATABASE!$AV$14)+1,N$5)),"")</f>
        <v>-121.78319999999999</v>
      </c>
      <c r="O35" s="33">
        <f t="shared" si="0"/>
        <v>5.5257209284649251</v>
      </c>
      <c r="P35" s="33">
        <f t="shared" si="1"/>
        <v>5.6984342384117257</v>
      </c>
      <c r="Q35" s="33">
        <f t="shared" si="2"/>
        <v>5.8752616596948277</v>
      </c>
      <c r="R35" s="35">
        <f t="shared" ref="R35" si="566">IF(O35="","",(O35-O$10)*1000)</f>
        <v>-2.653626691256683</v>
      </c>
      <c r="S35" s="35">
        <f t="shared" ref="S35" si="567">IF(P35="","",(P35-P$11)*1000)</f>
        <v>-2.4456322236403594</v>
      </c>
      <c r="T35" s="35">
        <f t="shared" ref="T35" si="568">IF(Q35="","",(Q35-Q$14)*1000)</f>
        <v>-6.3462107374325782</v>
      </c>
      <c r="U35" s="34"/>
      <c r="V35" s="35">
        <f t="shared" ref="V35" si="569">IF(C35="","",(C35-C$10)*1000)</f>
        <v>0.60000002849847078</v>
      </c>
      <c r="W35" s="35">
        <f t="shared" ref="W35" si="570">IF(D35="","",(D35-D$10)*1000)</f>
        <v>-1.500000013038516</v>
      </c>
      <c r="X35" s="35">
        <f t="shared" ref="X35" si="571">IF(E35="","",(E35-E$10)*1000)</f>
        <v>-4.2999999999864258</v>
      </c>
      <c r="Y35" s="35">
        <f t="shared" ref="Y35" si="572">IF(F35="","",(F35-F$11)*1000)</f>
        <v>1.9999999785795808</v>
      </c>
      <c r="Z35" s="35">
        <f t="shared" ref="Z35" si="573">IF(G35="","",(G35-G$11)*1000)</f>
        <v>-0.90000010095536709</v>
      </c>
      <c r="AA35" s="35">
        <f t="shared" ref="AA35" si="574">IF(H35="","",(H35-H$11)*1000)</f>
        <v>-2.5999999999868351</v>
      </c>
      <c r="AB35" s="35">
        <f t="shared" ref="AB35" si="575">IF(I35="","",(I35-I$14)*1000)</f>
        <v>2.899999963119626</v>
      </c>
      <c r="AC35" s="35">
        <f t="shared" ref="AC35" si="576">IF(J35="","",(J35-J$14)*1000)</f>
        <v>-5.0000001210719347</v>
      </c>
      <c r="AD35" s="35">
        <f t="shared" ref="AD35" si="577">IF(K35="","",(K35-K$14)*1000)</f>
        <v>-3.1999999999925421</v>
      </c>
      <c r="AE35" s="35">
        <f t="shared" ref="AE35" si="578">IF(L35="","",(L35-L$10)*1000)</f>
        <v>-1.2499999720603228</v>
      </c>
      <c r="AF35" s="35">
        <f t="shared" ref="AF35" si="579">IF(M35="","",(M35-M$10)*1000)</f>
        <v>0.40000001899898052</v>
      </c>
      <c r="AG35" s="35">
        <f t="shared" ref="AG35" si="580">IF(N35="","",(N35-N$10)*1000)</f>
        <v>-0.39999999998485691</v>
      </c>
      <c r="AH35" s="34"/>
      <c r="AI35" s="33" cm="1">
        <f t="array" ref="AI35">IFERROR(_xlfn.SINGLE(INDEX(DATABASE!$AV$14:$BC$968,SUMPRODUCT((ROW(DATABASE!$AV$14:$AV$968)) * (DATABASE!$AV$14:HY$968='Résultats observations'!$A35 ) * (DATABASE!$AW$14:$AW$968= AI$4))-ROW(DATABASE!$AV$14)+1,AI$5)),"")</f>
        <v>2.6860785404051635</v>
      </c>
      <c r="AJ35" s="33" cm="1">
        <f t="array" ref="AJ35">IFERROR(_xlfn.SINGLE(INDEX(DATABASE!$AV$14:$BC$968,SUMPRODUCT((ROW(DATABASE!$AV$14:$AV$968)) * (DATABASE!$AV$14:HZ$968='Résultats observations'!$A35 ) * (DATABASE!$AW$14:$AW$968= AJ$4))-ROW(DATABASE!$AV$14)+1,AJ$5)),"")</f>
        <v>7.5199538273284083E-3</v>
      </c>
      <c r="AK35" s="33" cm="1">
        <f t="array" ref="AK35">IFERROR(_xlfn.SINGLE(INDEX(DATABASE!$AV$14:$BC$968,SUMPRODUCT((ROW(DATABASE!$AV$14:$AV$968)) * (DATABASE!$AV$14:IA$968='Résultats observations'!$A35 ) * (DATABASE!$AW$14:$AW$968= AK$4))-ROW(DATABASE!$AV$14)+1,AK$5)),"")</f>
        <v>1.3823000000000008</v>
      </c>
      <c r="AL35" s="33" cm="1">
        <f t="array" ref="AL35">IFERROR(_xlfn.SINGLE(INDEX(DATABASE!$AV$14:$BC$968,SUMPRODUCT((ROW(DATABASE!$AV$14:$AV$968)) * (DATABASE!$AV$14:IB$968='Résultats observations'!$A35 ) * (DATABASE!$AW$14:$AW$968= AL$4))-ROW(DATABASE!$AV$14)+1,AL$5)),"")</f>
        <v>2.8614238200002786</v>
      </c>
      <c r="AM35" s="33" cm="1">
        <f t="array" ref="AM35">IFERROR(_xlfn.SINGLE(INDEX(DATABASE!$AV$14:$BC$968,SUMPRODUCT((ROW(DATABASE!$AV$14:$AV$968)) * (DATABASE!$AV$14:IC$968='Résultats observations'!$A35 ) * (DATABASE!$AW$14:$AW$968= AM$4))-ROW(DATABASE!$AV$14)+1,AM$5)),"")</f>
        <v>2.6177738538267523E-2</v>
      </c>
      <c r="AN35" s="33" cm="1">
        <f t="array" ref="AN35">IFERROR(_xlfn.SINGLE(INDEX(DATABASE!$AV$14:$BC$968,SUMPRODUCT((ROW(DATABASE!$AV$14:$AV$968)) * (DATABASE!$AV$14:ID$968='Résultats observations'!$A35 ) * (DATABASE!$AW$14:$AW$968= AN$4))-ROW(DATABASE!$AV$14)+1,AN$5)),"")</f>
        <v>1.0442000000000036</v>
      </c>
      <c r="AO35" s="167" cm="1">
        <f t="array" ref="AO35">IFERROR(_xlfn.SINGLE(INDEX(DATABASE!$AV$14:$BC$968,SUMPRODUCT((ROW(DATABASE!$AV$14:$AV$968)) * (DATABASE!$AV$14:IE$968='Résultats observations'!$A35 ) * (DATABASE!$AW$14:$AW$968= AO$4))-ROW(DATABASE!$AV$14)+1,AO$5)),"")</f>
        <v>3.0113239666657443</v>
      </c>
      <c r="AP35" s="167" cm="1">
        <f t="array" ref="AP35">IFERROR(_xlfn.SINGLE(INDEX(DATABASE!$AV$14:$BC$968,SUMPRODUCT((ROW(DATABASE!$AV$14:$AV$968)) * (DATABASE!$AV$14:IF$968='Résultats observations'!$A35 ) * (DATABASE!$AW$14:$AW$968= AP$4))-ROW(DATABASE!$AV$14)+1,AP$5)),"")</f>
        <v>6.9822624199612202E-2</v>
      </c>
      <c r="AQ35" s="167" cm="1">
        <f t="array" ref="AQ35">IFERROR(_xlfn.SINGLE(INDEX(DATABASE!$AV$14:$BC$968,SUMPRODUCT((ROW(DATABASE!$AV$14:$AV$968)) * (DATABASE!$AV$14:IG$968='Résultats observations'!$A35 ) * (DATABASE!$AW$14:$AW$968= AQ$4))-ROW(DATABASE!$AV$14)+1,AQ$5)),"")</f>
        <v>0.59709999999999752</v>
      </c>
      <c r="AR35" s="33" cm="1">
        <f t="array" ref="AR35">IFERROR(_xlfn.SINGLE(INDEX(DATABASE!$AV$14:$BC$968,SUMPRODUCT((ROW(DATABASE!$AV$14:$AV$968)) * (DATABASE!$AV$14:IH$968='Résultats observations'!$A35 ) * (DATABASE!$AW$14:$AW$968= AR$4))-ROW(DATABASE!$AV$14)+1,AR$5)),"")</f>
        <v>-2.8355899609236817</v>
      </c>
      <c r="AS35" s="33" cm="1">
        <f t="array" ref="AS35">IFERROR(_xlfn.SINGLE(INDEX(DATABASE!$AV$14:$BC$968,SUMPRODUCT((ROW(DATABASE!$AV$14:$AV$968)) * (DATABASE!$AV$14:II$968='Résultats observations'!$A35 ) * (DATABASE!$AW$14:$AW$968= AS$4))-ROW(DATABASE!$AV$14)+1,AS$5)),"")</f>
        <v>1.3560707765700997E-2</v>
      </c>
      <c r="AT35" s="33" cm="1">
        <f t="array" ref="AT35">IFERROR(_xlfn.SINGLE(INDEX(DATABASE!$AV$14:$BC$968,SUMPRODUCT((ROW(DATABASE!$AV$14:$AV$968)) * (DATABASE!$AV$14:IJ$968='Résultats observations'!$A35 ) * (DATABASE!$AW$14:$AW$968= AT$4))-ROW(DATABASE!$AV$14)+1,AT$5)),"")</f>
        <v>1.1707999999999998</v>
      </c>
      <c r="AU35" s="34"/>
      <c r="AV35" s="35">
        <f t="shared" ref="AV35" si="581">IF(AI35="","",(AI35-AI$10)*1000)</f>
        <v>-1.6130296459051507</v>
      </c>
      <c r="AW35" s="35">
        <f t="shared" ref="AW35" si="582">IF(AJ35="","",(AJ35-AJ$10)*1000)</f>
        <v>-9.0196644868658332E-2</v>
      </c>
      <c r="AX35" s="35">
        <f t="shared" ref="AX35" si="583">IF(AK35="","",(AK35-AK$10)*1000)</f>
        <v>-4.2999999999864258</v>
      </c>
      <c r="AY35" s="35">
        <f t="shared" ref="AY35" si="584">IF(AL35="","",(AL35-AL$11)*1000)</f>
        <v>-1.6609615125449118</v>
      </c>
      <c r="AZ35" s="35">
        <f t="shared" ref="AZ35" si="585">IF(AM35="","",(AM35-AM$11)*1000)</f>
        <v>1.4322035294889526</v>
      </c>
      <c r="BA35" s="35">
        <f t="shared" ref="BA35" si="586">IF(AN35="","",(AN35-AN$11)*1000)</f>
        <v>-2.5999999999868351</v>
      </c>
      <c r="BB35" s="35">
        <f t="shared" ref="BB35" si="587">IF(AO35="","",(AO35-AO$14)*1000)</f>
        <v>-5.7571492150905179</v>
      </c>
      <c r="BC35" s="35">
        <f t="shared" ref="BC35" si="588">IF(AP35="","",(AP35-AP$14)*1000)</f>
        <v>0.51500865235634685</v>
      </c>
      <c r="BD35" s="35">
        <f t="shared" ref="BD35" si="589">IF(AQ35="","",(AQ35-AQ$14)*1000)</f>
        <v>-3.1999999999925421</v>
      </c>
      <c r="BE35" s="35">
        <f t="shared" ref="BE35" si="590">IF(AR35="","",(AR35-AR$10)*1000)</f>
        <v>0.89082818063523916</v>
      </c>
      <c r="BF35" s="35">
        <f t="shared" ref="BF35" si="591">IF(AS35="","",(AS35-AS$10)*1000)</f>
        <v>-0.96380760421123191</v>
      </c>
      <c r="BG35" s="35">
        <f t="shared" ref="BG35" si="592">IF(AT35="","",(AT35-AT$10)*1000)</f>
        <v>-0.39999999998485691</v>
      </c>
    </row>
    <row r="36" spans="1:59" s="57" customFormat="1" ht="29.25" customHeight="1">
      <c r="A36" s="172">
        <v>45674</v>
      </c>
      <c r="B36" s="25">
        <f t="shared" ref="B36" si="593">A36-A$10</f>
        <v>142</v>
      </c>
      <c r="C36" s="80" cm="1">
        <f t="array" ref="C36">IFERROR(_xlfn.SINGLE(INDEX(DATABASE!$AV$14:$BC$968,SUMPRODUCT((ROW(DATABASE!$AV$14:$AV$968)) * (DATABASE!AV$14:$AV$968='Résultats observations'!$A36 ) * (DATABASE!$AW$14:$AW$968= C$4))-ROW(DATABASE!$AV$14)+1,C$5)),"")</f>
        <v>823147.64969999995</v>
      </c>
      <c r="D36" s="158" cm="1">
        <f t="array" ref="D36">IFERROR(_xlfn.SINGLE(INDEX(DATABASE!$AV$14:$BC$968,SUMPRODUCT((ROW(DATABASE!$AV$14:$AV$968)) * (DATABASE!$AV$14:AW$968='Résultats observations'!$A36 ) * (DATABASE!$AW$14:$AW$968= D$4))-ROW(DATABASE!$AV$14)+1,D$5)),"")</f>
        <v>1091710.0841000001</v>
      </c>
      <c r="E36" s="158" cm="1">
        <f t="array" ref="E36">IFERROR(_xlfn.SINGLE(INDEX(DATABASE!$AV$14:$BC$968,SUMPRODUCT((ROW(DATABASE!$AV$14:$AV$968)) * (DATABASE!$AV$14:AX$968='Résultats observations'!$A36 ) * (DATABASE!$AW$14:$AW$968= E$4))-ROW(DATABASE!$AV$14)+1,E$5)),"")</f>
        <v>-121.5719</v>
      </c>
      <c r="F36" s="158" cm="1">
        <f t="array" ref="F36">IFERROR(_xlfn.SINGLE(INDEX(DATABASE!$AV$14:$BC$968,SUMPRODUCT((ROW(DATABASE!$AV$14:$AV$968)) * (DATABASE!$AV$14:AY$968='Résultats observations'!$A36 ) * (DATABASE!$AW$14:$AW$968= F$4))-ROW(DATABASE!$AV$14)+1,F$5)),"")</f>
        <v>823147.59210000001</v>
      </c>
      <c r="G36" s="158" cm="1">
        <f t="array" ref="G36">IFERROR(_xlfn.SINGLE(INDEX(DATABASE!$AV$14:$BC$968,SUMPRODUCT((ROW(DATABASE!$AV$14:$AV$968)) * (DATABASE!$AV$14:AZ$968='Résultats observations'!$A36 ) * (DATABASE!$AW$14:$AW$968= G$4))-ROW(DATABASE!$AV$14)+1,G$5)),"")</f>
        <v>1091710.2512999999</v>
      </c>
      <c r="H36" s="158" cm="1">
        <f t="array" ref="H36">IFERROR(_xlfn.SINGLE(INDEX(DATABASE!$AV$14:$BC$968,SUMPRODUCT((ROW(DATABASE!$AV$14:$AV$968)) * (DATABASE!$AV$14:BA$968='Résultats observations'!$A36 ) * (DATABASE!$AW$14:$AW$968= H$4))-ROW(DATABASE!$AV$14)+1,H$5)),"")</f>
        <v>-121.91</v>
      </c>
      <c r="I36" s="167" cm="1">
        <f t="array" ref="I36">IFERROR(_xlfn.SINGLE(INDEX(DATABASE!$AV$14:$BC$968,SUMPRODUCT((ROW(DATABASE!$AV$14:$AV$968)) * (DATABASE!$AV$14:BB$968='Résultats observations'!$A36 ) * (DATABASE!$AW$14:$AW$968= I$4))-ROW(DATABASE!$AV$14)+1,I$5)),"")</f>
        <v>823147.56850000005</v>
      </c>
      <c r="J36" s="167" cm="1">
        <f t="array" ref="J36">IFERROR(_xlfn.SINGLE(INDEX(DATABASE!$AV$14:$BC$968,SUMPRODUCT((ROW(DATABASE!$AV$14:$AV$968)) * (DATABASE!$AV$14:BC$968='Résultats observations'!$A36 ) * (DATABASE!$AW$14:$AW$968= J$4))-ROW(DATABASE!$AV$14)+1,J$5)),"")</f>
        <v>1091710.4051999999</v>
      </c>
      <c r="K36" s="167" cm="1">
        <f t="array" ref="K36">IFERROR(_xlfn.SINGLE(INDEX(DATABASE!$AV$14:$BC$968,SUMPRODUCT((ROW(DATABASE!$AV$14:$AV$968)) * (DATABASE!$AV$14:BD$968='Résultats observations'!$A36 ) * (DATABASE!$AW$14:$AW$968= K$4))-ROW(DATABASE!$AV$14)+1,K$5)),"")</f>
        <v>-122.35720000000001</v>
      </c>
      <c r="L36" s="158" cm="1">
        <f t="array" ref="L36">IFERROR(_xlfn.SINGLE(INDEX(DATABASE!$AV$14:$BC$968,SUMPRODUCT((ROW(DATABASE!$AV$14:$AV$968)) * (DATABASE!$AV$14:BE$968='Résultats observations'!$A36 ) * (DATABASE!$AW$14:$AW$968= L$4))-ROW(DATABASE!$AV$14)+1,L$5)),"")</f>
        <v>823149.98899999994</v>
      </c>
      <c r="M36" s="158" cm="1">
        <f t="array" ref="M36">IFERROR(_xlfn.SINGLE(INDEX(DATABASE!$AV$14:$BC$968,SUMPRODUCT((ROW(DATABASE!$AV$14:$AV$968)) * (DATABASE!$AV$14:BF$968='Résultats observations'!$A36 ) * (DATABASE!$AW$14:$AW$968= M$4))-ROW(DATABASE!$AV$14)+1,M$5)),"")</f>
        <v>1091705.0826000001</v>
      </c>
      <c r="N36" s="158" cm="1">
        <f t="array" ref="N36">IFERROR(_xlfn.SINGLE(INDEX(DATABASE!$AV$14:$BC$968,SUMPRODUCT((ROW(DATABASE!$AV$14:$AV$968)) * (DATABASE!$AV$14:BG$968='Résultats observations'!$A36 ) * (DATABASE!$AW$14:$AW$968= N$4))-ROW(DATABASE!$AV$14)+1,N$5)),"")</f>
        <v>-121.7834</v>
      </c>
      <c r="O36" s="33">
        <f t="shared" si="0"/>
        <v>5.5255822308689506</v>
      </c>
      <c r="P36" s="33">
        <f t="shared" si="1"/>
        <v>5.6988259192288533</v>
      </c>
      <c r="Q36" s="33">
        <f t="shared" si="2"/>
        <v>5.8752138214505276</v>
      </c>
      <c r="R36" s="35">
        <f t="shared" ref="R36" si="594">IF(O36="","",(O36-O$10)*1000)</f>
        <v>-2.792324287231196</v>
      </c>
      <c r="S36" s="35">
        <f t="shared" ref="S36" si="595">IF(P36="","",(P36-P$11)*1000)</f>
        <v>-2.0539514065127662</v>
      </c>
      <c r="T36" s="35">
        <f t="shared" ref="T36" si="596">IF(Q36="","",(Q36-Q$14)*1000)</f>
        <v>-6.3940489817326807</v>
      </c>
      <c r="U36" s="34"/>
      <c r="V36" s="35">
        <f t="shared" ref="V36" si="597">IF(C36="","",(C36-C$10)*1000)</f>
        <v>0.89999998454004526</v>
      </c>
      <c r="W36" s="35">
        <f t="shared" ref="W36" si="598">IF(D36="","",(D36-D$10)*1000)</f>
        <v>-1.5999998431652784</v>
      </c>
      <c r="X36" s="35">
        <f t="shared" ref="X36" si="599">IF(E36="","",(E36-E$10)*1000)</f>
        <v>-4.4999999999930651</v>
      </c>
      <c r="Y36" s="35">
        <f t="shared" ref="Y36" si="600">IF(F36="","",(F36-F$11)*1000)</f>
        <v>1.9000000320374966</v>
      </c>
      <c r="Z36" s="35">
        <f t="shared" ref="Z36" si="601">IF(G36="","",(G36-G$11)*1000)</f>
        <v>-0.60000014491379261</v>
      </c>
      <c r="AA36" s="35">
        <f t="shared" ref="AA36" si="602">IF(H36="","",(H36-H$11)*1000)</f>
        <v>-2.7999999999934744</v>
      </c>
      <c r="AB36" s="35">
        <f t="shared" ref="AB36" si="603">IF(I36="","",(I36-I$14)*1000)</f>
        <v>3.0000000260770321</v>
      </c>
      <c r="AC36" s="35">
        <f t="shared" ref="AC36" si="604">IF(J36="","",(J36-J$14)*1000)</f>
        <v>-5.1000001840293407</v>
      </c>
      <c r="AD36" s="35">
        <f t="shared" ref="AD36" si="605">IF(K36="","",(K36-K$14)*1000)</f>
        <v>-3.5000000000025011</v>
      </c>
      <c r="AE36" s="35">
        <f t="shared" ref="AE36" si="606">IF(L36="","",(L36-L$10)*1000)</f>
        <v>-0.85000006947666407</v>
      </c>
      <c r="AF36" s="35">
        <f t="shared" ref="AF36" si="607">IF(M36="","",(M36-M$10)*1000)</f>
        <v>0.50000008195638657</v>
      </c>
      <c r="AG36" s="35">
        <f t="shared" ref="AG36" si="608">IF(N36="","",(N36-N$10)*1000)</f>
        <v>-0.59999999999149622</v>
      </c>
      <c r="AH36" s="34"/>
      <c r="AI36" s="33" cm="1">
        <f t="array" ref="AI36">IFERROR(_xlfn.SINGLE(INDEX(DATABASE!$AV$14:$BC$968,SUMPRODUCT((ROW(DATABASE!$AV$14:$AV$968)) * (DATABASE!$AV$14:HY$968='Résultats observations'!$A36 ) * (DATABASE!$AW$14:$AW$968= AI$4))-ROW(DATABASE!$AV$14)+1,AI$5)),"")</f>
        <v>2.685861116641032</v>
      </c>
      <c r="AJ36" s="33" cm="1">
        <f t="array" ref="AJ36">IFERROR(_xlfn.SINGLE(INDEX(DATABASE!$AV$14:$BC$968,SUMPRODUCT((ROW(DATABASE!$AV$14:$AV$968)) * (DATABASE!$AV$14:HZ$968='Résultats observations'!$A36 ) * (DATABASE!$AW$14:$AW$968= AJ$4))-ROW(DATABASE!$AV$14)+1,AJ$5)),"")</f>
        <v>7.7495770980175686E-3</v>
      </c>
      <c r="AK36" s="33" cm="1">
        <f t="array" ref="AK36">IFERROR(_xlfn.SINGLE(INDEX(DATABASE!$AV$14:$BC$968,SUMPRODUCT((ROW(DATABASE!$AV$14:$AV$968)) * (DATABASE!$AV$14:IA$968='Résultats observations'!$A36 ) * (DATABASE!$AW$14:$AW$968= AK$4))-ROW(DATABASE!$AV$14)+1,AK$5)),"")</f>
        <v>1.3820999999999941</v>
      </c>
      <c r="AL36" s="33" cm="1">
        <f t="array" ref="AL36">IFERROR(_xlfn.SINGLE(INDEX(DATABASE!$AV$14:$BC$968,SUMPRODUCT((ROW(DATABASE!$AV$14:$AV$968)) * (DATABASE!$AV$14:IB$968='Résultats observations'!$A36 ) * (DATABASE!$AW$14:$AW$968= AL$4))-ROW(DATABASE!$AV$14)+1,AL$5)),"")</f>
        <v>2.8617379728908285</v>
      </c>
      <c r="AM36" s="33" cm="1">
        <f t="array" ref="AM36">IFERROR(_xlfn.SINGLE(INDEX(DATABASE!$AV$14:$BC$968,SUMPRODUCT((ROW(DATABASE!$AV$14:$AV$968)) * (DATABASE!$AV$14:IC$968='Résultats observations'!$A36 ) * (DATABASE!$AW$14:$AW$968= AM$4))-ROW(DATABASE!$AV$14)+1,AM$5)),"")</f>
        <v>2.6213903774230139E-2</v>
      </c>
      <c r="AN36" s="33" cm="1">
        <f t="array" ref="AN36">IFERROR(_xlfn.SINGLE(INDEX(DATABASE!$AV$14:$BC$968,SUMPRODUCT((ROW(DATABASE!$AV$14:$AV$968)) * (DATABASE!$AV$14:ID$968='Résultats observations'!$A36 ) * (DATABASE!$AW$14:$AW$968= AN$4))-ROW(DATABASE!$AV$14)+1,AN$5)),"")</f>
        <v>1.0439999999999969</v>
      </c>
      <c r="AO36" s="167" cm="1">
        <f t="array" ref="AO36">IFERROR(_xlfn.SINGLE(INDEX(DATABASE!$AV$14:$BC$968,SUMPRODUCT((ROW(DATABASE!$AV$14:$AV$968)) * (DATABASE!$AV$14:IE$968='Résultats observations'!$A36 ) * (DATABASE!$AW$14:$AW$968= AO$4))-ROW(DATABASE!$AV$14)+1,AO$5)),"")</f>
        <v>3.0111910723596655</v>
      </c>
      <c r="AP36" s="167" cm="1">
        <f t="array" ref="AP36">IFERROR(_xlfn.SINGLE(INDEX(DATABASE!$AV$14:$BC$968,SUMPRODUCT((ROW(DATABASE!$AV$14:$AV$968)) * (DATABASE!$AV$14:IF$968='Résultats observations'!$A36 ) * (DATABASE!$AW$14:$AW$968= AP$4))-ROW(DATABASE!$AV$14)+1,AP$5)),"")</f>
        <v>6.9870988738219966E-2</v>
      </c>
      <c r="AQ36" s="167" cm="1">
        <f t="array" ref="AQ36">IFERROR(_xlfn.SINGLE(INDEX(DATABASE!$AV$14:$BC$968,SUMPRODUCT((ROW(DATABASE!$AV$14:$AV$968)) * (DATABASE!$AV$14:IG$968='Résultats observations'!$A36 ) * (DATABASE!$AW$14:$AW$968= AQ$4))-ROW(DATABASE!$AV$14)+1,AQ$5)),"")</f>
        <v>0.59679999999998756</v>
      </c>
      <c r="AR36" s="33" cm="1">
        <f t="array" ref="AR36">IFERROR(_xlfn.SINGLE(INDEX(DATABASE!$AV$14:$BC$968,SUMPRODUCT((ROW(DATABASE!$AV$14:$AV$968)) * (DATABASE!$AV$14:IH$968='Résultats observations'!$A36 ) * (DATABASE!$AW$14:$AW$968= AR$4))-ROW(DATABASE!$AV$14)+1,AR$5)),"")</f>
        <v>-2.8356683908886717</v>
      </c>
      <c r="AS36" s="33" cm="1">
        <f t="array" ref="AS36">IFERROR(_xlfn.SINGLE(INDEX(DATABASE!$AV$14:$BC$968,SUMPRODUCT((ROW(DATABASE!$AV$14:$AV$968)) * (DATABASE!$AV$14:II$968='Résultats observations'!$A36 ) * (DATABASE!$AW$14:$AW$968= AS$4))-ROW(DATABASE!$AV$14)+1,AS$5)),"")</f>
        <v>1.3965490022290312E-2</v>
      </c>
      <c r="AT36" s="33" cm="1">
        <f t="array" ref="AT36">IFERROR(_xlfn.SINGLE(INDEX(DATABASE!$AV$14:$BC$968,SUMPRODUCT((ROW(DATABASE!$AV$14:$AV$968)) * (DATABASE!$AV$14:IJ$968='Résultats observations'!$A36 ) * (DATABASE!$AW$14:$AW$968= AT$4))-ROW(DATABASE!$AV$14)+1,AT$5)),"")</f>
        <v>1.1705999999999932</v>
      </c>
      <c r="AU36" s="34"/>
      <c r="AV36" s="35">
        <f t="shared" ref="AV36" si="609">IF(AI36="","",(AI36-AI$10)*1000)</f>
        <v>-1.8304534100366254</v>
      </c>
      <c r="AW36" s="35">
        <f t="shared" ref="AW36" si="610">IF(AJ36="","",(AJ36-AJ$10)*1000)</f>
        <v>0.13942662582050197</v>
      </c>
      <c r="AX36" s="35">
        <f t="shared" ref="AX36" si="611">IF(AK36="","",(AK36-AK$10)*1000)</f>
        <v>-4.4999999999930651</v>
      </c>
      <c r="AY36" s="35">
        <f t="shared" ref="AY36" si="612">IF(AL36="","",(AL36-AL$11)*1000)</f>
        <v>-1.3468086219949882</v>
      </c>
      <c r="AZ36" s="35">
        <f t="shared" ref="AZ36" si="613">IF(AM36="","",(AM36-AM$11)*1000)</f>
        <v>1.4683687654515678</v>
      </c>
      <c r="BA36" s="35">
        <f t="shared" ref="BA36" si="614">IF(AN36="","",(AN36-AN$11)*1000)</f>
        <v>-2.7999999999934744</v>
      </c>
      <c r="BB36" s="35">
        <f t="shared" ref="BB36" si="615">IF(AO36="","",(AO36-AO$14)*1000)</f>
        <v>-5.8900435211692859</v>
      </c>
      <c r="BC36" s="35">
        <f t="shared" ref="BC36" si="616">IF(AP36="","",(AP36-AP$14)*1000)</f>
        <v>0.56337319096411154</v>
      </c>
      <c r="BD36" s="35">
        <f t="shared" ref="BD36" si="617">IF(AQ36="","",(AQ36-AQ$14)*1000)</f>
        <v>-3.5000000000025011</v>
      </c>
      <c r="BE36" s="35">
        <f t="shared" ref="BE36" si="618">IF(AR36="","",(AR36-AR$10)*1000)</f>
        <v>0.81239821564516035</v>
      </c>
      <c r="BF36" s="35">
        <f t="shared" ref="BF36" si="619">IF(AS36="","",(AS36-AS$10)*1000)</f>
        <v>-0.5590253476219168</v>
      </c>
      <c r="BG36" s="35">
        <f t="shared" ref="BG36" si="620">IF(AT36="","",(AT36-AT$10)*1000)</f>
        <v>-0.59999999999149622</v>
      </c>
    </row>
    <row r="37" spans="1:59" s="57" customFormat="1" ht="29.25" customHeight="1">
      <c r="A37" s="172">
        <v>45681</v>
      </c>
      <c r="B37" s="25">
        <f t="shared" ref="B37:B38" si="621">A37-A$10</f>
        <v>149</v>
      </c>
      <c r="C37" s="80" cm="1">
        <f t="array" ref="C37">IFERROR(_xlfn.SINGLE(INDEX(DATABASE!$AV$14:$BC$968,SUMPRODUCT((ROW(DATABASE!$AV$14:$AV$968)) * (DATABASE!AV$14:$AV$968='Résultats observations'!$A37 ) * (DATABASE!$AW$14:$AW$968= C$4))-ROW(DATABASE!$AV$14)+1,C$5)),"")</f>
        <v>823147.64899999998</v>
      </c>
      <c r="D37" s="158" cm="1">
        <f t="array" ref="D37">IFERROR(_xlfn.SINGLE(INDEX(DATABASE!$AV$14:$BC$968,SUMPRODUCT((ROW(DATABASE!$AV$14:$AV$968)) * (DATABASE!$AV$14:AW$968='Résultats observations'!$A37 ) * (DATABASE!$AW$14:$AW$968= D$4))-ROW(DATABASE!$AV$14)+1,D$5)),"")</f>
        <v>1091710.0841999999</v>
      </c>
      <c r="E37" s="158" cm="1">
        <f t="array" ref="E37">IFERROR(_xlfn.SINGLE(INDEX(DATABASE!$AV$14:$BC$968,SUMPRODUCT((ROW(DATABASE!$AV$14:$AV$968)) * (DATABASE!$AV$14:AX$968='Résultats observations'!$A37 ) * (DATABASE!$AW$14:$AW$968= E$4))-ROW(DATABASE!$AV$14)+1,E$5)),"")</f>
        <v>-121.5718</v>
      </c>
      <c r="F37" s="158" cm="1">
        <f t="array" ref="F37">IFERROR(_xlfn.SINGLE(INDEX(DATABASE!$AV$14:$BC$968,SUMPRODUCT((ROW(DATABASE!$AV$14:$AV$968)) * (DATABASE!$AV$14:AY$968='Résultats observations'!$A37 ) * (DATABASE!$AW$14:$AW$968= F$4))-ROW(DATABASE!$AV$14)+1,F$5)),"")</f>
        <v>823147.59270000004</v>
      </c>
      <c r="G37" s="158" cm="1">
        <f t="array" ref="G37">IFERROR(_xlfn.SINGLE(INDEX(DATABASE!$AV$14:$BC$968,SUMPRODUCT((ROW(DATABASE!$AV$14:$AV$968)) * (DATABASE!$AV$14:AZ$968='Résultats observations'!$A37 ) * (DATABASE!$AW$14:$AW$968= G$4))-ROW(DATABASE!$AV$14)+1,G$5)),"")</f>
        <v>1091710.2519</v>
      </c>
      <c r="H37" s="158" cm="1">
        <f t="array" ref="H37">IFERROR(_xlfn.SINGLE(INDEX(DATABASE!$AV$14:$BC$968,SUMPRODUCT((ROW(DATABASE!$AV$14:$AV$968)) * (DATABASE!$AV$14:BA$968='Résultats observations'!$A37 ) * (DATABASE!$AW$14:$AW$968= H$4))-ROW(DATABASE!$AV$14)+1,H$5)),"")</f>
        <v>-121.90949999999999</v>
      </c>
      <c r="I37" s="167" cm="1">
        <f t="array" ref="I37">IFERROR(_xlfn.SINGLE(INDEX(DATABASE!$AV$14:$BC$968,SUMPRODUCT((ROW(DATABASE!$AV$14:$AV$968)) * (DATABASE!$AV$14:BB$968='Résultats observations'!$A37 ) * (DATABASE!$AW$14:$AW$968= I$4))-ROW(DATABASE!$AV$14)+1,I$5)),"")</f>
        <v>823147.56799999997</v>
      </c>
      <c r="J37" s="167" cm="1">
        <f t="array" ref="J37">IFERROR(_xlfn.SINGLE(INDEX(DATABASE!$AV$14:$BC$968,SUMPRODUCT((ROW(DATABASE!$AV$14:$AV$968)) * (DATABASE!$AV$14:BC$968='Résultats observations'!$A37 ) * (DATABASE!$AW$14:$AW$968= J$4))-ROW(DATABASE!$AV$14)+1,J$5)),"")</f>
        <v>1091710.4049</v>
      </c>
      <c r="K37" s="167" cm="1">
        <f t="array" ref="K37">IFERROR(_xlfn.SINGLE(INDEX(DATABASE!$AV$14:$BC$968,SUMPRODUCT((ROW(DATABASE!$AV$14:$AV$968)) * (DATABASE!$AV$14:BD$968='Résultats observations'!$A37 ) * (DATABASE!$AW$14:$AW$968= K$4))-ROW(DATABASE!$AV$14)+1,K$5)),"")</f>
        <v>-122.357</v>
      </c>
      <c r="L37" s="158" cm="1">
        <f t="array" ref="L37">IFERROR(_xlfn.SINGLE(INDEX(DATABASE!$AV$14:$BC$968,SUMPRODUCT((ROW(DATABASE!$AV$14:$AV$968)) * (DATABASE!$AV$14:BE$968='Résultats observations'!$A37 ) * (DATABASE!$AW$14:$AW$968= L$4))-ROW(DATABASE!$AV$14)+1,L$5)),"")</f>
        <v>823149.98950000003</v>
      </c>
      <c r="M37" s="158" cm="1">
        <f t="array" ref="M37">IFERROR(_xlfn.SINGLE(INDEX(DATABASE!$AV$14:$BC$968,SUMPRODUCT((ROW(DATABASE!$AV$14:$AV$968)) * (DATABASE!$AV$14:BF$968='Résultats observations'!$A37 ) * (DATABASE!$AW$14:$AW$968= M$4))-ROW(DATABASE!$AV$14)+1,M$5)),"")</f>
        <v>1091705.0828</v>
      </c>
      <c r="N37" s="158" cm="1">
        <f t="array" ref="N37">IFERROR(_xlfn.SINGLE(INDEX(DATABASE!$AV$14:$BC$968,SUMPRODUCT((ROW(DATABASE!$AV$14:$AV$968)) * (DATABASE!$AV$14:BG$968='Résultats observations'!$A37 ) * (DATABASE!$AW$14:$AW$968= N$4))-ROW(DATABASE!$AV$14)+1,N$5)),"")</f>
        <v>-121.78319999999999</v>
      </c>
      <c r="O37" s="33">
        <f t="shared" si="0"/>
        <v>5.5259960341762575</v>
      </c>
      <c r="P37" s="33">
        <f t="shared" si="1"/>
        <v>5.6991400000819565</v>
      </c>
      <c r="Q37" s="33">
        <f t="shared" si="2"/>
        <v>5.8751729421492795</v>
      </c>
      <c r="R37" s="35">
        <f t="shared" ref="R37:R38" si="622">IF(O37="","",(O37-O$10)*1000)</f>
        <v>-2.3785209799243034</v>
      </c>
      <c r="S37" s="35">
        <f t="shared" ref="S37:S38" si="623">IF(P37="","",(P37-P$11)*1000)</f>
        <v>-1.7398705534095171</v>
      </c>
      <c r="T37" s="35">
        <f t="shared" ref="T37:T38" si="624">IF(Q37="","",(Q37-Q$14)*1000)</f>
        <v>-6.4349282829807564</v>
      </c>
      <c r="U37" s="34"/>
      <c r="V37" s="35">
        <f t="shared" ref="V37:V38" si="625">IF(C37="","",(C37-C$10)*1000)</f>
        <v>0.20000000949949026</v>
      </c>
      <c r="W37" s="35">
        <f t="shared" ref="W37:W38" si="626">IF(D37="","",(D37-D$10)*1000)</f>
        <v>-1.500000013038516</v>
      </c>
      <c r="X37" s="35">
        <f t="shared" ref="X37:X38" si="627">IF(E37="","",(E37-E$10)*1000)</f>
        <v>-4.3999999999897454</v>
      </c>
      <c r="Y37" s="35">
        <f t="shared" ref="Y37:Y38" si="628">IF(F37="","",(F37-F$11)*1000)</f>
        <v>2.5000000605359674</v>
      </c>
      <c r="Z37" s="35">
        <f t="shared" ref="Z37:Z38" si="629">IF(G37="","",(G37-G$11)*1000)</f>
        <v>0</v>
      </c>
      <c r="AA37" s="35">
        <f t="shared" ref="AA37:AA38" si="630">IF(H37="","",(H37-H$11)*1000)</f>
        <v>-2.299999999991087</v>
      </c>
      <c r="AB37" s="35">
        <f t="shared" ref="AB37:AB38" si="631">IF(I37="","",(I37-I$14)*1000)</f>
        <v>2.4999999441206455</v>
      </c>
      <c r="AC37" s="35">
        <f t="shared" ref="AC37:AC38" si="632">IF(J37="","",(J37-J$14)*1000)</f>
        <v>-5.4000001400709152</v>
      </c>
      <c r="AD37" s="35">
        <f t="shared" ref="AD37:AD38" si="633">IF(K37="","",(K37-K$14)*1000)</f>
        <v>-3.2999999999958618</v>
      </c>
      <c r="AE37" s="35">
        <f t="shared" ref="AE37:AE38" si="634">IF(L37="","",(L37-L$10)*1000)</f>
        <v>-0.3499999875202775</v>
      </c>
      <c r="AF37" s="35">
        <f t="shared" ref="AF37:AF38" si="635">IF(M37="","",(M37-M$10)*1000)</f>
        <v>0.699999975040555</v>
      </c>
      <c r="AG37" s="35">
        <f t="shared" ref="AG37:AG38" si="636">IF(N37="","",(N37-N$10)*1000)</f>
        <v>-0.39999999998485691</v>
      </c>
      <c r="AH37" s="34"/>
      <c r="AI37" s="33" cm="1">
        <f t="array" ref="AI37">IFERROR(_xlfn.SINGLE(INDEX(DATABASE!$AV$14:$BC$968,SUMPRODUCT((ROW(DATABASE!$AV$14:$AV$968)) * (DATABASE!$AV$14:HY$968='Résultats observations'!$A37 ) * (DATABASE!$AW$14:$AW$968= AI$4))-ROW(DATABASE!$AV$14)+1,AI$5)),"")</f>
        <v>2.6862475998417001</v>
      </c>
      <c r="AJ37" s="33" cm="1">
        <f t="array" ref="AJ37">IFERROR(_xlfn.SINGLE(INDEX(DATABASE!$AV$14:$BC$968,SUMPRODUCT((ROW(DATABASE!$AV$14:$AV$968)) * (DATABASE!$AV$14:HZ$968='Résultats observations'!$A37 ) * (DATABASE!$AW$14:$AW$968= AJ$4))-ROW(DATABASE!$AV$14)+1,AJ$5)),"")</f>
        <v>7.1574363489680633E-3</v>
      </c>
      <c r="AK37" s="33" cm="1">
        <f t="array" ref="AK37">IFERROR(_xlfn.SINGLE(INDEX(DATABASE!$AV$14:$BC$968,SUMPRODUCT((ROW(DATABASE!$AV$14:$AV$968)) * (DATABASE!$AV$14:IA$968='Résultats observations'!$A37 ) * (DATABASE!$AW$14:$AW$968= AK$4))-ROW(DATABASE!$AV$14)+1,AK$5)),"")</f>
        <v>1.3821999999999974</v>
      </c>
      <c r="AL37" s="33" cm="1">
        <f t="array" ref="AL37">IFERROR(_xlfn.SINGLE(INDEX(DATABASE!$AV$14:$BC$968,SUMPRODUCT((ROW(DATABASE!$AV$14:$AV$968)) * (DATABASE!$AV$14:IB$968='Résultats observations'!$A37 ) * (DATABASE!$AW$14:$AW$968= AL$4))-ROW(DATABASE!$AV$14)+1,AL$5)),"")</f>
        <v>2.8620281600590722</v>
      </c>
      <c r="AM37" s="33" cm="1">
        <f t="array" ref="AM37">IFERROR(_xlfn.SINGLE(INDEX(DATABASE!$AV$14:$BC$968,SUMPRODUCT((ROW(DATABASE!$AV$14:$AV$968)) * (DATABASE!$AV$14:IC$968='Résultats observations'!$A37 ) * (DATABASE!$AW$14:$AW$968= AM$4))-ROW(DATABASE!$AV$14)+1,AM$5)),"")</f>
        <v>2.7011269195780667E-2</v>
      </c>
      <c r="AN37" s="33" cm="1">
        <f t="array" ref="AN37">IFERROR(_xlfn.SINGLE(INDEX(DATABASE!$AV$14:$BC$968,SUMPRODUCT((ROW(DATABASE!$AV$14:$AV$968)) * (DATABASE!$AV$14:ID$968='Résultats observations'!$A37 ) * (DATABASE!$AW$14:$AW$968= AN$4))-ROW(DATABASE!$AV$14)+1,AN$5)),"")</f>
        <v>1.0444999999999993</v>
      </c>
      <c r="AO37" s="167" cm="1">
        <f t="array" ref="AO37">IFERROR(_xlfn.SINGLE(INDEX(DATABASE!$AV$14:$BC$968,SUMPRODUCT((ROW(DATABASE!$AV$14:$AV$968)) * (DATABASE!$AV$14:IE$968='Résultats observations'!$A37 ) * (DATABASE!$AW$14:$AW$968= AO$4))-ROW(DATABASE!$AV$14)+1,AO$5)),"")</f>
        <v>3.01113050862392</v>
      </c>
      <c r="AP37" s="167" cm="1">
        <f t="array" ref="AP37">IFERROR(_xlfn.SINGLE(INDEX(DATABASE!$AV$14:$BC$968,SUMPRODUCT((ROW(DATABASE!$AV$14:$AV$968)) * (DATABASE!$AV$14:IF$968='Résultats observations'!$A37 ) * (DATABASE!$AW$14:$AW$968= AP$4))-ROW(DATABASE!$AV$14)+1,AP$5)),"")</f>
        <v>6.9291047284714996E-2</v>
      </c>
      <c r="AQ37" s="167" cm="1">
        <f t="array" ref="AQ37">IFERROR(_xlfn.SINGLE(INDEX(DATABASE!$AV$14:$BC$968,SUMPRODUCT((ROW(DATABASE!$AV$14:$AV$968)) * (DATABASE!$AV$14:IG$968='Résultats observations'!$A37 ) * (DATABASE!$AW$14:$AW$968= AQ$4))-ROW(DATABASE!$AV$14)+1,AQ$5)),"")</f>
        <v>0.5969999999999942</v>
      </c>
      <c r="AR37" s="33" cm="1">
        <f t="array" ref="AR37">IFERROR(_xlfn.SINGLE(INDEX(DATABASE!$AV$14:$BC$968,SUMPRODUCT((ROW(DATABASE!$AV$14:$AV$968)) * (DATABASE!$AV$14:IH$968='Résultats observations'!$A37 ) * (DATABASE!$AW$14:$AW$968= AR$4))-ROW(DATABASE!$AV$14)+1,AR$5)),"")</f>
        <v>-2.8356984565752694</v>
      </c>
      <c r="AS37" s="33" cm="1">
        <f t="array" ref="AS37">IFERROR(_xlfn.SINGLE(INDEX(DATABASE!$AV$14:$BC$968,SUMPRODUCT((ROW(DATABASE!$AV$14:$AV$968)) * (DATABASE!$AV$14:II$968='Résultats observations'!$A37 ) * (DATABASE!$AW$14:$AW$968= AS$4))-ROW(DATABASE!$AV$14)+1,AS$5)),"")</f>
        <v>1.4503166592059979E-2</v>
      </c>
      <c r="AT37" s="33" cm="1">
        <f t="array" ref="AT37">IFERROR(_xlfn.SINGLE(INDEX(DATABASE!$AV$14:$BC$968,SUMPRODUCT((ROW(DATABASE!$AV$14:$AV$968)) * (DATABASE!$AV$14:IJ$968='Résultats observations'!$A37 ) * (DATABASE!$AW$14:$AW$968= AT$4))-ROW(DATABASE!$AV$14)+1,AT$5)),"")</f>
        <v>1.1707999999999998</v>
      </c>
      <c r="AU37" s="34"/>
      <c r="AV37" s="35">
        <f t="shared" ref="AV37:AV38" si="637">IF(AI37="","",(AI37-AI$10)*1000)</f>
        <v>-1.4439702093684836</v>
      </c>
      <c r="AW37" s="35">
        <f t="shared" ref="AW37:AW38" si="638">IF(AJ37="","",(AJ37-AJ$10)*1000)</f>
        <v>-0.45271412322900328</v>
      </c>
      <c r="AX37" s="35">
        <f t="shared" ref="AX37:AX38" si="639">IF(AK37="","",(AK37-AK$10)*1000)</f>
        <v>-4.3999999999897454</v>
      </c>
      <c r="AY37" s="35">
        <f t="shared" ref="AY37:AY38" si="640">IF(AL37="","",(AL37-AL$11)*1000)</f>
        <v>-1.0566214537512941</v>
      </c>
      <c r="AZ37" s="35">
        <f t="shared" ref="AZ37:AZ38" si="641">IF(AM37="","",(AM37-AM$11)*1000)</f>
        <v>2.2657341870020962</v>
      </c>
      <c r="BA37" s="35">
        <f t="shared" ref="BA37:BA38" si="642">IF(AN37="","",(AN37-AN$11)*1000)</f>
        <v>-2.299999999991087</v>
      </c>
      <c r="BB37" s="35">
        <f t="shared" ref="BB37:BB38" si="643">IF(AO37="","",(AO37-AO$14)*1000)</f>
        <v>-5.9506072569148749</v>
      </c>
      <c r="BC37" s="35">
        <f t="shared" ref="BC37:BC38" si="644">IF(AP37="","",(AP37-AP$14)*1000)</f>
        <v>-1.6568262540858636E-2</v>
      </c>
      <c r="BD37" s="35">
        <f t="shared" ref="BD37:BD38" si="645">IF(AQ37="","",(AQ37-AQ$14)*1000)</f>
        <v>-3.2999999999958618</v>
      </c>
      <c r="BE37" s="35">
        <f t="shared" ref="BE37:BE38" si="646">IF(AR37="","",(AR37-AR$10)*1000)</f>
        <v>0.78233252904746919</v>
      </c>
      <c r="BF37" s="35">
        <f t="shared" ref="BF37:BF38" si="647">IF(AS37="","",(AS37-AS$10)*1000)</f>
        <v>-2.1348777852250519E-2</v>
      </c>
      <c r="BG37" s="35">
        <f t="shared" ref="BG37:BG38" si="648">IF(AT37="","",(AT37-AT$10)*1000)</f>
        <v>-0.39999999998485691</v>
      </c>
    </row>
    <row r="38" spans="1:59" s="57" customFormat="1" ht="29.25" customHeight="1">
      <c r="A38" s="172">
        <v>45686</v>
      </c>
      <c r="B38" s="25">
        <f t="shared" si="621"/>
        <v>154</v>
      </c>
      <c r="C38" s="80" cm="1">
        <f t="array" ref="C38">IFERROR(_xlfn.SINGLE(INDEX(DATABASE!$AV$14:$BC$968,SUMPRODUCT((ROW(DATABASE!$AV$14:$AV$968)) * (DATABASE!AV$14:$AV$968='Résultats observations'!$A38 ) * (DATABASE!$AW$14:$AW$968= C$4))-ROW(DATABASE!$AV$14)+1,C$5)),"")</f>
        <v>823147.64954999997</v>
      </c>
      <c r="D38" s="158" cm="1">
        <f t="array" ref="D38">IFERROR(_xlfn.SINGLE(INDEX(DATABASE!$AV$14:$BC$968,SUMPRODUCT((ROW(DATABASE!$AV$14:$AV$968)) * (DATABASE!$AV$14:AW$968='Résultats observations'!$A38 ) * (DATABASE!$AW$14:$AW$968= D$4))-ROW(DATABASE!$AV$14)+1,D$5)),"")</f>
        <v>1091710.0843</v>
      </c>
      <c r="E38" s="158" cm="1">
        <f t="array" ref="E38">IFERROR(_xlfn.SINGLE(INDEX(DATABASE!$AV$14:$BC$968,SUMPRODUCT((ROW(DATABASE!$AV$14:$AV$968)) * (DATABASE!$AV$14:AX$968='Résultats observations'!$A38 ) * (DATABASE!$AW$14:$AW$968= E$4))-ROW(DATABASE!$AV$14)+1,E$5)),"")</f>
        <v>-121.5718</v>
      </c>
      <c r="F38" s="158" cm="1">
        <f t="array" ref="F38">IFERROR(_xlfn.SINGLE(INDEX(DATABASE!$AV$14:$BC$968,SUMPRODUCT((ROW(DATABASE!$AV$14:$AV$968)) * (DATABASE!$AV$14:AY$968='Résultats observations'!$A38 ) * (DATABASE!$AW$14:$AW$968= F$4))-ROW(DATABASE!$AV$14)+1,F$5)),"")</f>
        <v>823147.59324999992</v>
      </c>
      <c r="G38" s="158" cm="1">
        <f t="array" ref="G38">IFERROR(_xlfn.SINGLE(INDEX(DATABASE!$AV$14:$BC$968,SUMPRODUCT((ROW(DATABASE!$AV$14:$AV$968)) * (DATABASE!$AV$14:AZ$968='Résultats observations'!$A38 ) * (DATABASE!$AW$14:$AW$968= G$4))-ROW(DATABASE!$AV$14)+1,G$5)),"")</f>
        <v>1091710.2522</v>
      </c>
      <c r="H38" s="158" cm="1">
        <f t="array" ref="H38">IFERROR(_xlfn.SINGLE(INDEX(DATABASE!$AV$14:$BC$968,SUMPRODUCT((ROW(DATABASE!$AV$14:$AV$968)) * (DATABASE!$AV$14:BA$968='Résultats observations'!$A38 ) * (DATABASE!$AW$14:$AW$968= H$4))-ROW(DATABASE!$AV$14)+1,H$5)),"")</f>
        <v>-121.90955</v>
      </c>
      <c r="I38" s="167" cm="1">
        <f t="array" ref="I38">IFERROR(_xlfn.SINGLE(INDEX(DATABASE!$AV$14:$BC$968,SUMPRODUCT((ROW(DATABASE!$AV$14:$AV$968)) * (DATABASE!$AV$14:BB$968='Résultats observations'!$A38 ) * (DATABASE!$AW$14:$AW$968= I$4))-ROW(DATABASE!$AV$14)+1,I$5)),"")</f>
        <v>823147.56835000007</v>
      </c>
      <c r="J38" s="167" cm="1">
        <f t="array" ref="J38">IFERROR(_xlfn.SINGLE(INDEX(DATABASE!$AV$14:$BC$968,SUMPRODUCT((ROW(DATABASE!$AV$14:$AV$968)) * (DATABASE!$AV$14:BC$968='Résultats observations'!$A38 ) * (DATABASE!$AW$14:$AW$968= J$4))-ROW(DATABASE!$AV$14)+1,J$5)),"")</f>
        <v>1091710.4046</v>
      </c>
      <c r="K38" s="167" cm="1">
        <f t="array" ref="K38">IFERROR(_xlfn.SINGLE(INDEX(DATABASE!$AV$14:$BC$968,SUMPRODUCT((ROW(DATABASE!$AV$14:$AV$968)) * (DATABASE!$AV$14:BD$968='Résultats observations'!$A38 ) * (DATABASE!$AW$14:$AW$968= K$4))-ROW(DATABASE!$AV$14)+1,K$5)),"")</f>
        <v>-122.35705</v>
      </c>
      <c r="L38" s="158" cm="1">
        <f t="array" ref="L38">IFERROR(_xlfn.SINGLE(INDEX(DATABASE!$AV$14:$BC$968,SUMPRODUCT((ROW(DATABASE!$AV$14:$AV$968)) * (DATABASE!$AV$14:BE$968='Résultats observations'!$A38 ) * (DATABASE!$AW$14:$AW$968= L$4))-ROW(DATABASE!$AV$14)+1,L$5)),"")</f>
        <v>823149.98944999999</v>
      </c>
      <c r="M38" s="158" cm="1">
        <f t="array" ref="M38">IFERROR(_xlfn.SINGLE(INDEX(DATABASE!$AV$14:$BC$968,SUMPRODUCT((ROW(DATABASE!$AV$14:$AV$968)) * (DATABASE!$AV$14:BF$968='Résultats observations'!$A38 ) * (DATABASE!$AW$14:$AW$968= M$4))-ROW(DATABASE!$AV$14)+1,M$5)),"")</f>
        <v>1091705.0826999999</v>
      </c>
      <c r="N38" s="158" cm="1">
        <f t="array" ref="N38">IFERROR(_xlfn.SINGLE(INDEX(DATABASE!$AV$14:$BC$968,SUMPRODUCT((ROW(DATABASE!$AV$14:$AV$968)) * (DATABASE!$AV$14:BG$968='Résultats observations'!$A38 ) * (DATABASE!$AW$14:$AW$968= N$4))-ROW(DATABASE!$AV$14)+1,N$5)),"")</f>
        <v>-121.78325</v>
      </c>
      <c r="O38" s="33">
        <f t="shared" si="0"/>
        <v>5.525924870404757</v>
      </c>
      <c r="P38" s="33">
        <f t="shared" si="1"/>
        <v>5.6992505104752142</v>
      </c>
      <c r="Q38" s="33">
        <f t="shared" si="2"/>
        <v>5.8748269132498931</v>
      </c>
      <c r="R38" s="35">
        <f t="shared" si="622"/>
        <v>-2.4496847514248188</v>
      </c>
      <c r="S38" s="35">
        <f t="shared" si="623"/>
        <v>-1.6293601601518048</v>
      </c>
      <c r="T38" s="35">
        <f t="shared" si="624"/>
        <v>-6.7809571823671533</v>
      </c>
      <c r="U38" s="34"/>
      <c r="V38" s="35">
        <f t="shared" si="625"/>
        <v>0.75000000651925802</v>
      </c>
      <c r="W38" s="35">
        <f t="shared" si="626"/>
        <v>-1.39999995008111</v>
      </c>
      <c r="X38" s="35">
        <f t="shared" si="627"/>
        <v>-4.3999999999897454</v>
      </c>
      <c r="Y38" s="35">
        <f t="shared" si="628"/>
        <v>3.0499999411404133</v>
      </c>
      <c r="Z38" s="35">
        <f t="shared" si="629"/>
        <v>0.29999995604157448</v>
      </c>
      <c r="AA38" s="35">
        <f t="shared" si="630"/>
        <v>-2.3499999999927468</v>
      </c>
      <c r="AB38" s="35">
        <f t="shared" si="631"/>
        <v>2.8500000480562449</v>
      </c>
      <c r="AC38" s="35">
        <f t="shared" si="632"/>
        <v>-5.7000000961124897</v>
      </c>
      <c r="AD38" s="35">
        <f t="shared" si="633"/>
        <v>-3.3499999999975216</v>
      </c>
      <c r="AE38" s="35">
        <f t="shared" si="634"/>
        <v>-0.40000001899898052</v>
      </c>
      <c r="AF38" s="35">
        <f t="shared" si="635"/>
        <v>0.59999991208314896</v>
      </c>
      <c r="AG38" s="35">
        <f t="shared" si="636"/>
        <v>-0.44999999998651674</v>
      </c>
      <c r="AH38" s="34"/>
      <c r="AI38" s="33" cm="1">
        <f t="array" ref="AI38">IFERROR(_xlfn.SINGLE(INDEX(DATABASE!$AV$14:$BC$968,SUMPRODUCT((ROW(DATABASE!$AV$14:$AV$968)) * (DATABASE!$AV$14:HY$968='Résultats observations'!$A38 ) * (DATABASE!$AW$14:$AW$968= AI$4))-ROW(DATABASE!$AV$14)+1,AI$5)),"")</f>
        <v>2.6861057725511066</v>
      </c>
      <c r="AJ38" s="33" cm="1">
        <f t="array" ref="AJ38">IFERROR(_xlfn.SINGLE(INDEX(DATABASE!$AV$14:$BC$968,SUMPRODUCT((ROW(DATABASE!$AV$14:$AV$968)) * (DATABASE!$AV$14:HZ$968='Résultats observations'!$A38 ) * (DATABASE!$AW$14:$AW$968= AJ$4))-ROW(DATABASE!$AV$14)+1,AJ$5)),"")</f>
        <v>7.6981627390733682E-3</v>
      </c>
      <c r="AK38" s="33" cm="1">
        <f t="array" ref="AK38">IFERROR(_xlfn.SINGLE(INDEX(DATABASE!$AV$14:$BC$968,SUMPRODUCT((ROW(DATABASE!$AV$14:$AV$968)) * (DATABASE!$AV$14:IA$968='Résultats observations'!$A38 ) * (DATABASE!$AW$14:$AW$968= AK$4))-ROW(DATABASE!$AV$14)+1,AK$5)),"")</f>
        <v>1.3821999999999974</v>
      </c>
      <c r="AL38" s="33" cm="1">
        <f t="array" ref="AL38">IFERROR(_xlfn.SINGLE(INDEX(DATABASE!$AV$14:$BC$968,SUMPRODUCT((ROW(DATABASE!$AV$14:$AV$968)) * (DATABASE!$AV$14:IB$968='Résultats observations'!$A38 ) * (DATABASE!$AW$14:$AW$968= AL$4))-ROW(DATABASE!$AV$14)+1,AL$5)),"")</f>
        <v>2.8620675914513551</v>
      </c>
      <c r="AM38" s="33" cm="1">
        <f t="array" ref="AM38">IFERROR(_xlfn.SINGLE(INDEX(DATABASE!$AV$14:$BC$968,SUMPRODUCT((ROW(DATABASE!$AV$14:$AV$968)) * (DATABASE!$AV$14:IC$968='Résultats observations'!$A38 ) * (DATABASE!$AW$14:$AW$968= AM$4))-ROW(DATABASE!$AV$14)+1,AM$5)),"")</f>
        <v>2.763652514944355E-2</v>
      </c>
      <c r="AN38" s="33" cm="1">
        <f t="array" ref="AN38">IFERROR(_xlfn.SINGLE(INDEX(DATABASE!$AV$14:$BC$968,SUMPRODUCT((ROW(DATABASE!$AV$14:$AV$968)) * (DATABASE!$AV$14:ID$968='Résultats observations'!$A38 ) * (DATABASE!$AW$14:$AW$968= AN$4))-ROW(DATABASE!$AV$14)+1,AN$5)),"")</f>
        <v>1.0444499999999977</v>
      </c>
      <c r="AO38" s="167" cm="1">
        <f t="array" ref="AO38">IFERROR(_xlfn.SINGLE(INDEX(DATABASE!$AV$14:$BC$968,SUMPRODUCT((ROW(DATABASE!$AV$14:$AV$968)) * (DATABASE!$AV$14:IE$968='Résultats observations'!$A38 ) * (DATABASE!$AW$14:$AW$968= AO$4))-ROW(DATABASE!$AV$14)+1,AO$5)),"")</f>
        <v>3.0107106935240311</v>
      </c>
      <c r="AP38" s="167" cm="1">
        <f t="array" ref="AP38">IFERROR(_xlfn.SINGLE(INDEX(DATABASE!$AV$14:$BC$968,SUMPRODUCT((ROW(DATABASE!$AV$14:$AV$968)) * (DATABASE!$AV$14:IF$968='Résultats observations'!$A38 ) * (DATABASE!$AW$14:$AW$968= AP$4))-ROW(DATABASE!$AV$14)+1,AP$5)),"")</f>
        <v>6.9481455604608902E-2</v>
      </c>
      <c r="AQ38" s="167" cm="1">
        <f t="array" ref="AQ38">IFERROR(_xlfn.SINGLE(INDEX(DATABASE!$AV$14:$BC$968,SUMPRODUCT((ROW(DATABASE!$AV$14:$AV$968)) * (DATABASE!$AV$14:IG$968='Résultats observations'!$A38 ) * (DATABASE!$AW$14:$AW$968= AQ$4))-ROW(DATABASE!$AV$14)+1,AQ$5)),"")</f>
        <v>0.59694999999999254</v>
      </c>
      <c r="AR38" s="33" cm="1">
        <f t="array" ref="AR38">IFERROR(_xlfn.SINGLE(INDEX(DATABASE!$AV$14:$BC$968,SUMPRODUCT((ROW(DATABASE!$AV$14:$AV$968)) * (DATABASE!$AV$14:IH$968='Résultats observations'!$A38 ) * (DATABASE!$AW$14:$AW$968= AR$4))-ROW(DATABASE!$AV$14)+1,AR$5)),"")</f>
        <v>-2.8357679535557452</v>
      </c>
      <c r="AS38" s="33" cm="1">
        <f t="array" ref="AS38">IFERROR(_xlfn.SINGLE(INDEX(DATABASE!$AV$14:$BC$968,SUMPRODUCT((ROW(DATABASE!$AV$14:$AV$968)) * (DATABASE!$AV$14:II$968='Résultats observations'!$A38 ) * (DATABASE!$AW$14:$AW$968= AS$4))-ROW(DATABASE!$AV$14)+1,AS$5)),"")</f>
        <v>1.4415586997153356E-2</v>
      </c>
      <c r="AT38" s="33" cm="1">
        <f t="array" ref="AT38">IFERROR(_xlfn.SINGLE(INDEX(DATABASE!$AV$14:$BC$968,SUMPRODUCT((ROW(DATABASE!$AV$14:$AV$968)) * (DATABASE!$AV$14:IJ$968='Résultats observations'!$A38 ) * (DATABASE!$AW$14:$AW$968= AT$4))-ROW(DATABASE!$AV$14)+1,AT$5)),"")</f>
        <v>1.1707499999999982</v>
      </c>
      <c r="AU38" s="34"/>
      <c r="AV38" s="35">
        <f t="shared" si="637"/>
        <v>-1.5857974999620161</v>
      </c>
      <c r="AW38" s="35">
        <f t="shared" si="638"/>
        <v>8.8012266876301593E-2</v>
      </c>
      <c r="AX38" s="35">
        <f t="shared" si="639"/>
        <v>-4.3999999999897454</v>
      </c>
      <c r="AY38" s="35">
        <f t="shared" si="640"/>
        <v>-1.0171900614683871</v>
      </c>
      <c r="AZ38" s="35">
        <f t="shared" si="641"/>
        <v>2.8909901406649792</v>
      </c>
      <c r="BA38" s="35">
        <f t="shared" si="642"/>
        <v>-2.3499999999927468</v>
      </c>
      <c r="BB38" s="35">
        <f t="shared" si="643"/>
        <v>-6.3704223568037399</v>
      </c>
      <c r="BC38" s="35">
        <f t="shared" si="644"/>
        <v>0.17384005735304742</v>
      </c>
      <c r="BD38" s="35">
        <f t="shared" si="645"/>
        <v>-3.3499999999975216</v>
      </c>
      <c r="BE38" s="35">
        <f t="shared" si="646"/>
        <v>0.71283554857171083</v>
      </c>
      <c r="BF38" s="35">
        <f t="shared" si="647"/>
        <v>-0.10892837275887357</v>
      </c>
      <c r="BG38" s="35">
        <f t="shared" si="648"/>
        <v>-0.44999999998651674</v>
      </c>
    </row>
    <row r="39" spans="1:59" s="57" customFormat="1" ht="29.25" customHeight="1">
      <c r="A39" s="172">
        <v>45695</v>
      </c>
      <c r="B39" s="25">
        <f t="shared" ref="B39" si="649">A39-A$10</f>
        <v>163</v>
      </c>
      <c r="C39" s="80" cm="1">
        <f t="array" ref="C39">IFERROR(_xlfn.SINGLE(INDEX(DATABASE!$AV$14:$BC$968,SUMPRODUCT((ROW(DATABASE!$AV$14:$AV$968)) * (DATABASE!AV$14:$AV$968='Résultats observations'!$A39 ) * (DATABASE!$AW$14:$AW$968= C$4))-ROW(DATABASE!$AV$14)+1,C$5)),"")</f>
        <v>823147.64969999995</v>
      </c>
      <c r="D39" s="158" cm="1">
        <f t="array" ref="D39">IFERROR(_xlfn.SINGLE(INDEX(DATABASE!$AV$14:$BC$968,SUMPRODUCT((ROW(DATABASE!$AV$14:$AV$968)) * (DATABASE!$AV$14:AW$968='Résultats observations'!$A39 ) * (DATABASE!$AW$14:$AW$968= D$4))-ROW(DATABASE!$AV$14)+1,D$5)),"")</f>
        <v>1091710.0845000001</v>
      </c>
      <c r="E39" s="158" cm="1">
        <f t="array" ref="E39">IFERROR(_xlfn.SINGLE(INDEX(DATABASE!$AV$14:$BC$968,SUMPRODUCT((ROW(DATABASE!$AV$14:$AV$968)) * (DATABASE!$AV$14:AX$968='Résultats observations'!$A39 ) * (DATABASE!$AW$14:$AW$968= E$4))-ROW(DATABASE!$AV$14)+1,E$5)),"")</f>
        <v>-121.5715</v>
      </c>
      <c r="F39" s="158" cm="1">
        <f t="array" ref="F39">IFERROR(_xlfn.SINGLE(INDEX(DATABASE!$AV$14:$BC$968,SUMPRODUCT((ROW(DATABASE!$AV$14:$AV$968)) * (DATABASE!$AV$14:AY$968='Résultats observations'!$A39 ) * (DATABASE!$AW$14:$AW$968= F$4))-ROW(DATABASE!$AV$14)+1,F$5)),"")</f>
        <v>823147.59290000005</v>
      </c>
      <c r="G39" s="158" cm="1">
        <f t="array" ref="G39">IFERROR(_xlfn.SINGLE(INDEX(DATABASE!$AV$14:$BC$968,SUMPRODUCT((ROW(DATABASE!$AV$14:$AV$968)) * (DATABASE!$AV$14:AZ$968='Résultats observations'!$A39 ) * (DATABASE!$AW$14:$AW$968= G$4))-ROW(DATABASE!$AV$14)+1,G$5)),"")</f>
        <v>1091710.2512999999</v>
      </c>
      <c r="H39" s="158" cm="1">
        <f t="array" ref="H39">IFERROR(_xlfn.SINGLE(INDEX(DATABASE!$AV$14:$BC$968,SUMPRODUCT((ROW(DATABASE!$AV$14:$AV$968)) * (DATABASE!$AV$14:BA$968='Résultats observations'!$A39 ) * (DATABASE!$AW$14:$AW$968= H$4))-ROW(DATABASE!$AV$14)+1,H$5)),"")</f>
        <v>-121.90950000000001</v>
      </c>
      <c r="I39" s="167" cm="1">
        <f t="array" ref="I39">IFERROR(_xlfn.SINGLE(INDEX(DATABASE!$AV$14:$BC$968,SUMPRODUCT((ROW(DATABASE!$AV$14:$AV$968)) * (DATABASE!$AV$14:BB$968='Résultats observations'!$A39 ) * (DATABASE!$AW$14:$AW$968= I$4))-ROW(DATABASE!$AV$14)+1,I$5)),"")</f>
        <v>823147.5686</v>
      </c>
      <c r="J39" s="167" cm="1">
        <f t="array" ref="J39">IFERROR(_xlfn.SINGLE(INDEX(DATABASE!$AV$14:$BC$968,SUMPRODUCT((ROW(DATABASE!$AV$14:$AV$968)) * (DATABASE!$AV$14:BC$968='Résultats observations'!$A39 ) * (DATABASE!$AW$14:$AW$968= J$4))-ROW(DATABASE!$AV$14)+1,J$5)),"")</f>
        <v>1091710.4044000001</v>
      </c>
      <c r="K39" s="167" cm="1">
        <f t="array" ref="K39">IFERROR(_xlfn.SINGLE(INDEX(DATABASE!$AV$14:$BC$968,SUMPRODUCT((ROW(DATABASE!$AV$14:$AV$968)) * (DATABASE!$AV$14:BD$968='Résultats observations'!$A39 ) * (DATABASE!$AW$14:$AW$968= K$4))-ROW(DATABASE!$AV$14)+1,K$5)),"")</f>
        <v>-122.3571</v>
      </c>
      <c r="L39" s="158" cm="1">
        <f t="array" ref="L39">IFERROR(_xlfn.SINGLE(INDEX(DATABASE!$AV$14:$BC$968,SUMPRODUCT((ROW(DATABASE!$AV$14:$AV$968)) * (DATABASE!$AV$14:BE$968='Résultats observations'!$A39 ) * (DATABASE!$AW$14:$AW$968= L$4))-ROW(DATABASE!$AV$14)+1,L$5)),"")</f>
        <v>823149.99010000005</v>
      </c>
      <c r="M39" s="158" cm="1">
        <f t="array" ref="M39">IFERROR(_xlfn.SINGLE(INDEX(DATABASE!$AV$14:$BC$968,SUMPRODUCT((ROW(DATABASE!$AV$14:$AV$968)) * (DATABASE!$AV$14:BF$968='Résultats observations'!$A39 ) * (DATABASE!$AW$14:$AW$968= M$4))-ROW(DATABASE!$AV$14)+1,M$5)),"")</f>
        <v>1091705.0828</v>
      </c>
      <c r="N39" s="158" cm="1">
        <f t="array" ref="N39">IFERROR(_xlfn.SINGLE(INDEX(DATABASE!$AV$14:$BC$968,SUMPRODUCT((ROW(DATABASE!$AV$14:$AV$968)) * (DATABASE!$AV$14:BG$968='Résultats observations'!$A39 ) * (DATABASE!$AW$14:$AW$968= N$4))-ROW(DATABASE!$AV$14)+1,N$5)),"")</f>
        <v>-121.78279999999999</v>
      </c>
      <c r="O39" s="33">
        <f t="shared" si="0"/>
        <v>5.526221380099722</v>
      </c>
      <c r="P39" s="33">
        <f t="shared" si="1"/>
        <v>5.6987729362668249</v>
      </c>
      <c r="Q39" s="33">
        <f t="shared" si="2"/>
        <v>5.874768872199895</v>
      </c>
      <c r="R39" s="35">
        <f t="shared" ref="R39" si="650">IF(O39="","",(O39-O$10)*1000)</f>
        <v>-2.153175056459844</v>
      </c>
      <c r="S39" s="35">
        <f t="shared" ref="S39" si="651">IF(P39="","",(P39-P$11)*1000)</f>
        <v>-2.1069343685411468</v>
      </c>
      <c r="T39" s="35">
        <f t="shared" ref="T39" si="652">IF(Q39="","",(Q39-Q$14)*1000)</f>
        <v>-6.8389982323653342</v>
      </c>
      <c r="U39" s="34"/>
      <c r="V39" s="35">
        <f t="shared" ref="V39" si="653">IF(C39="","",(C39-C$10)*1000)</f>
        <v>0.89999998454004526</v>
      </c>
      <c r="W39" s="35">
        <f t="shared" ref="W39" si="654">IF(D39="","",(D39-D$10)*1000)</f>
        <v>-1.1999998241662979</v>
      </c>
      <c r="X39" s="35">
        <f t="shared" ref="X39" si="655">IF(E39="","",(E39-E$10)*1000)</f>
        <v>-4.0999999999939973</v>
      </c>
      <c r="Y39" s="35">
        <f t="shared" ref="Y39" si="656">IF(F39="","",(F39-F$11)*1000)</f>
        <v>2.7000000700354576</v>
      </c>
      <c r="Z39" s="35">
        <f t="shared" ref="Z39" si="657">IF(G39="","",(G39-G$11)*1000)</f>
        <v>-0.60000014491379261</v>
      </c>
      <c r="AA39" s="35">
        <f t="shared" ref="AA39" si="658">IF(H39="","",(H39-H$11)*1000)</f>
        <v>-2.3000000000052978</v>
      </c>
      <c r="AB39" s="35">
        <f t="shared" ref="AB39" si="659">IF(I39="","",(I39-I$14)*1000)</f>
        <v>3.0999999726191163</v>
      </c>
      <c r="AC39" s="35">
        <f t="shared" ref="AC39" si="660">IF(J39="","",(J39-J$14)*1000)</f>
        <v>-5.8999999891966581</v>
      </c>
      <c r="AD39" s="35">
        <f t="shared" ref="AD39" si="661">IF(K39="","",(K39-K$14)*1000)</f>
        <v>-3.3999999999991815</v>
      </c>
      <c r="AE39" s="35">
        <f t="shared" ref="AE39" si="662">IF(L39="","",(L39-L$10)*1000)</f>
        <v>0.25000004097819328</v>
      </c>
      <c r="AF39" s="35">
        <f t="shared" ref="AF39" si="663">IF(M39="","",(M39-M$10)*1000)</f>
        <v>0.699999975040555</v>
      </c>
      <c r="AG39" s="35">
        <f t="shared" ref="AG39" si="664">IF(N39="","",(N39-N$10)*1000)</f>
        <v>1.4210854715202004E-11</v>
      </c>
      <c r="AH39" s="34"/>
      <c r="AI39" s="33" cm="1">
        <f t="array" ref="AI39">IFERROR(_xlfn.SINGLE(INDEX(DATABASE!$AV$14:$BC$968,SUMPRODUCT((ROW(DATABASE!$AV$14:$AV$968)) * (DATABASE!$AV$14:HY$968='Résultats observations'!$A39 ) * (DATABASE!$AW$14:$AW$968= AI$4))-ROW(DATABASE!$AV$14)+1,AI$5)),"")</f>
        <v>2.686223634119393</v>
      </c>
      <c r="AJ39" s="33" cm="1">
        <f t="array" ref="AJ39">IFERROR(_xlfn.SINGLE(INDEX(DATABASE!$AV$14:$BC$968,SUMPRODUCT((ROW(DATABASE!$AV$14:$AV$968)) * (DATABASE!$AV$14:HZ$968='Résultats observations'!$A39 ) * (DATABASE!$AW$14:$AW$968= AJ$4))-ROW(DATABASE!$AV$14)+1,AJ$5)),"")</f>
        <v>7.9186365345524281E-3</v>
      </c>
      <c r="AK39" s="33" cm="1">
        <f t="array" ref="AK39">IFERROR(_xlfn.SINGLE(INDEX(DATABASE!$AV$14:$BC$968,SUMPRODUCT((ROW(DATABASE!$AV$14:$AV$968)) * (DATABASE!$AV$14:IA$968='Résultats observations'!$A39 ) * (DATABASE!$AW$14:$AW$968= AK$4))-ROW(DATABASE!$AV$14)+1,AK$5)),"")</f>
        <v>1.3824999999999932</v>
      </c>
      <c r="AL39" s="33" cm="1">
        <f t="array" ref="AL39">IFERROR(_xlfn.SINGLE(INDEX(DATABASE!$AV$14:$BC$968,SUMPRODUCT((ROW(DATABASE!$AV$14:$AV$968)) * (DATABASE!$AV$14:IB$968='Résultats observations'!$A39 ) * (DATABASE!$AW$14:$AW$968= AL$4))-ROW(DATABASE!$AV$14)+1,AL$5)),"")</f>
        <v>2.8613998540177565</v>
      </c>
      <c r="AM39" s="33" cm="1">
        <f t="array" ref="AM39">IFERROR(_xlfn.SINGLE(INDEX(DATABASE!$AV$14:$BC$968,SUMPRODUCT((ROW(DATABASE!$AV$14:$AV$968)) * (DATABASE!$AV$14:IC$968='Résultats observations'!$A39 ) * (DATABASE!$AW$14:$AW$968= AM$4))-ROW(DATABASE!$AV$14)+1,AM$5)),"")</f>
        <v>2.6938938730952787E-2</v>
      </c>
      <c r="AN39" s="33" cm="1">
        <f t="array" ref="AN39">IFERROR(_xlfn.SINGLE(INDEX(DATABASE!$AV$14:$BC$968,SUMPRODUCT((ROW(DATABASE!$AV$14:$AV$968)) * (DATABASE!$AV$14:ID$968='Résultats observations'!$A39 ) * (DATABASE!$AW$14:$AW$968= AN$4))-ROW(DATABASE!$AV$14)+1,AN$5)),"")</f>
        <v>1.0444999999999851</v>
      </c>
      <c r="AO39" s="167" cm="1">
        <f t="array" ref="AO39">IFERROR(_xlfn.SINGLE(INDEX(DATABASE!$AV$14:$BC$968,SUMPRODUCT((ROW(DATABASE!$AV$14:$AV$968)) * (DATABASE!$AV$14:IE$968='Résultats observations'!$A39 ) * (DATABASE!$AW$14:$AW$968= AO$4))-ROW(DATABASE!$AV$14)+1,AO$5)),"")</f>
        <v>3.0104237727794239</v>
      </c>
      <c r="AP39" s="167" cm="1">
        <f t="array" ref="AP39">IFERROR(_xlfn.SINGLE(INDEX(DATABASE!$AV$14:$BC$968,SUMPRODUCT((ROW(DATABASE!$AV$14:$AV$968)) * (DATABASE!$AV$14:IF$968='Résultats observations'!$A39 ) * (DATABASE!$AW$14:$AW$968= AP$4))-ROW(DATABASE!$AV$14)+1,AP$5)),"")</f>
        <v>6.9623499280389217E-2</v>
      </c>
      <c r="AQ39" s="167" cm="1">
        <f t="array" ref="AQ39">IFERROR(_xlfn.SINGLE(INDEX(DATABASE!$AV$14:$BC$968,SUMPRODUCT((ROW(DATABASE!$AV$14:$AV$968)) * (DATABASE!$AV$14:IG$968='Résultats observations'!$A39 ) * (DATABASE!$AW$14:$AW$968= AQ$4))-ROW(DATABASE!$AV$14)+1,AQ$5)),"")</f>
        <v>0.59689999999999088</v>
      </c>
      <c r="AR39" s="33" cm="1">
        <f t="array" ref="AR39">IFERROR(_xlfn.SINGLE(INDEX(DATABASE!$AV$14:$BC$968,SUMPRODUCT((ROW(DATABASE!$AV$14:$AV$968)) * (DATABASE!$AV$14:IH$968='Résultats observations'!$A39 ) * (DATABASE!$AW$14:$AW$968= AR$4))-ROW(DATABASE!$AV$14)+1,AR$5)),"")</f>
        <v>-2.8359520457300742</v>
      </c>
      <c r="AS39" s="33" cm="1">
        <f t="array" ref="AS39">IFERROR(_xlfn.SINGLE(INDEX(DATABASE!$AV$14:$BC$968,SUMPRODUCT((ROW(DATABASE!$AV$14:$AV$968)) * (DATABASE!$AV$14:II$968='Résultats observations'!$A39 ) * (DATABASE!$AW$14:$AW$968= AS$4))-ROW(DATABASE!$AV$14)+1,AS$5)),"")</f>
        <v>1.5046942809601711E-2</v>
      </c>
      <c r="AT39" s="33" cm="1">
        <f t="array" ref="AT39">IFERROR(_xlfn.SINGLE(INDEX(DATABASE!$AV$14:$BC$968,SUMPRODUCT((ROW(DATABASE!$AV$14:$AV$968)) * (DATABASE!$AV$14:IJ$968='Résultats observations'!$A39 ) * (DATABASE!$AW$14:$AW$968= AT$4))-ROW(DATABASE!$AV$14)+1,AT$5)),"")</f>
        <v>1.1711999999999989</v>
      </c>
      <c r="AU39" s="34"/>
      <c r="AV39" s="35">
        <f t="shared" ref="AV39" si="665">IF(AI39="","",(AI39-AI$10)*1000)</f>
        <v>-1.4679359316756013</v>
      </c>
      <c r="AW39" s="35">
        <f t="shared" ref="AW39" si="666">IF(AJ39="","",(AJ39-AJ$10)*1000)</f>
        <v>0.30848606235536152</v>
      </c>
      <c r="AX39" s="35">
        <f t="shared" ref="AX39" si="667">IF(AK39="","",(AK39-AK$10)*1000)</f>
        <v>-4.0999999999939973</v>
      </c>
      <c r="AY39" s="35">
        <f t="shared" ref="AY39" si="668">IF(AL39="","",(AL39-AL$11)*1000)</f>
        <v>-1.6849274950669901</v>
      </c>
      <c r="AZ39" s="35">
        <f t="shared" ref="AZ39" si="669">IF(AM39="","",(AM39-AM$11)*1000)</f>
        <v>2.1934037221742164</v>
      </c>
      <c r="BA39" s="35">
        <f t="shared" ref="BA39" si="670">IF(AN39="","",(AN39-AN$11)*1000)</f>
        <v>-2.3000000000052978</v>
      </c>
      <c r="BB39" s="35">
        <f t="shared" ref="BB39" si="671">IF(AO39="","",(AO39-AO$14)*1000)</f>
        <v>-6.657343101410973</v>
      </c>
      <c r="BC39" s="35">
        <f t="shared" ref="BC39" si="672">IF(AP39="","",(AP39-AP$14)*1000)</f>
        <v>0.31588373313336249</v>
      </c>
      <c r="BD39" s="35">
        <f t="shared" ref="BD39" si="673">IF(AQ39="","",(AQ39-AQ$14)*1000)</f>
        <v>-3.3999999999991815</v>
      </c>
      <c r="BE39" s="35">
        <f t="shared" ref="BE39" si="674">IF(AR39="","",(AR39-AR$10)*1000)</f>
        <v>0.52874337424269058</v>
      </c>
      <c r="BF39" s="35">
        <f t="shared" ref="BF39" si="675">IF(AS39="","",(AS39-AS$10)*1000)</f>
        <v>0.52242743968948169</v>
      </c>
      <c r="BG39" s="35">
        <f t="shared" ref="BG39" si="676">IF(AT39="","",(AT39-AT$10)*1000)</f>
        <v>1.4210854715202004E-11</v>
      </c>
    </row>
    <row r="40" spans="1:59" s="57" customFormat="1" ht="29.25" customHeight="1">
      <c r="A40" s="172">
        <v>45701</v>
      </c>
      <c r="B40" s="25">
        <f t="shared" ref="B40" si="677">A40-A$10</f>
        <v>169</v>
      </c>
      <c r="C40" s="80" cm="1">
        <f t="array" ref="C40">IFERROR(_xlfn.SINGLE(INDEX(DATABASE!$AV$14:$BC$968,SUMPRODUCT((ROW(DATABASE!$AV$14:$AV$968)) * (DATABASE!AV$14:$AV$968='Résultats observations'!$A40 ) * (DATABASE!$AW$14:$AW$968= C$4))-ROW(DATABASE!$AV$14)+1,C$5)),"")</f>
        <v>823147.64980000001</v>
      </c>
      <c r="D40" s="158" cm="1">
        <f t="array" ref="D40">IFERROR(_xlfn.SINGLE(INDEX(DATABASE!$AV$14:$BC$968,SUMPRODUCT((ROW(DATABASE!$AV$14:$AV$968)) * (DATABASE!$AV$14:AW$968='Résultats observations'!$A40 ) * (DATABASE!$AW$14:$AW$968= D$4))-ROW(DATABASE!$AV$14)+1,D$5)),"")</f>
        <v>1091710.0844000001</v>
      </c>
      <c r="E40" s="158" cm="1">
        <f t="array" ref="E40">IFERROR(_xlfn.SINGLE(INDEX(DATABASE!$AV$14:$BC$968,SUMPRODUCT((ROW(DATABASE!$AV$14:$AV$968)) * (DATABASE!$AV$14:AX$968='Résultats observations'!$A40 ) * (DATABASE!$AW$14:$AW$968= E$4))-ROW(DATABASE!$AV$14)+1,E$5)),"")</f>
        <v>-121.57149999999999</v>
      </c>
      <c r="F40" s="158" cm="1">
        <f t="array" ref="F40">IFERROR(_xlfn.SINGLE(INDEX(DATABASE!$AV$14:$BC$968,SUMPRODUCT((ROW(DATABASE!$AV$14:$AV$968)) * (DATABASE!$AV$14:AY$968='Résultats observations'!$A40 ) * (DATABASE!$AW$14:$AW$968= F$4))-ROW(DATABASE!$AV$14)+1,F$5)),"")</f>
        <v>823147.59299999999</v>
      </c>
      <c r="G40" s="158" cm="1">
        <f t="array" ref="G40">IFERROR(_xlfn.SINGLE(INDEX(DATABASE!$AV$14:$BC$968,SUMPRODUCT((ROW(DATABASE!$AV$14:$AV$968)) * (DATABASE!$AV$14:AZ$968='Résultats observations'!$A40 ) * (DATABASE!$AW$14:$AW$968= G$4))-ROW(DATABASE!$AV$14)+1,G$5)),"")</f>
        <v>1091710.2520999999</v>
      </c>
      <c r="H40" s="158" cm="1">
        <f t="array" ref="H40">IFERROR(_xlfn.SINGLE(INDEX(DATABASE!$AV$14:$BC$968,SUMPRODUCT((ROW(DATABASE!$AV$14:$AV$968)) * (DATABASE!$AV$14:BA$968='Résultats observations'!$A40 ) * (DATABASE!$AW$14:$AW$968= H$4))-ROW(DATABASE!$AV$14)+1,H$5)),"")</f>
        <v>-121.90909999999998</v>
      </c>
      <c r="I40" s="167" cm="1">
        <f t="array" ref="I40">IFERROR(_xlfn.SINGLE(INDEX(DATABASE!$AV$14:$BC$968,SUMPRODUCT((ROW(DATABASE!$AV$14:$AV$968)) * (DATABASE!$AV$14:BB$968='Résultats observations'!$A40 ) * (DATABASE!$AW$14:$AW$968= I$4))-ROW(DATABASE!$AV$14)+1,I$5)),"")</f>
        <v>823147.56900000002</v>
      </c>
      <c r="J40" s="167" cm="1">
        <f t="array" ref="J40">IFERROR(_xlfn.SINGLE(INDEX(DATABASE!$AV$14:$BC$968,SUMPRODUCT((ROW(DATABASE!$AV$14:$AV$968)) * (DATABASE!$AV$14:BC$968='Résultats observations'!$A40 ) * (DATABASE!$AW$14:$AW$968= J$4))-ROW(DATABASE!$AV$14)+1,J$5)),"")</f>
        <v>1091710.4046</v>
      </c>
      <c r="K40" s="167" cm="1">
        <f t="array" ref="K40">IFERROR(_xlfn.SINGLE(INDEX(DATABASE!$AV$14:$BC$968,SUMPRODUCT((ROW(DATABASE!$AV$14:$AV$968)) * (DATABASE!$AV$14:BD$968='Résultats observations'!$A40 ) * (DATABASE!$AW$14:$AW$968= K$4))-ROW(DATABASE!$AV$14)+1,K$5)),"")</f>
        <v>-122.35709999999999</v>
      </c>
      <c r="L40" s="158" cm="1">
        <f t="array" ref="L40">IFERROR(_xlfn.SINGLE(INDEX(DATABASE!$AV$14:$BC$968,SUMPRODUCT((ROW(DATABASE!$AV$14:$AV$968)) * (DATABASE!$AV$14:BE$968='Résultats observations'!$A40 ) * (DATABASE!$AW$14:$AW$968= L$4))-ROW(DATABASE!$AV$14)+1,L$5)),"")</f>
        <v>823149.98990000004</v>
      </c>
      <c r="M40" s="158" cm="1">
        <f t="array" ref="M40">IFERROR(_xlfn.SINGLE(INDEX(DATABASE!$AV$14:$BC$968,SUMPRODUCT((ROW(DATABASE!$AV$14:$AV$968)) * (DATABASE!$AV$14:BF$968='Résultats observations'!$A40 ) * (DATABASE!$AW$14:$AW$968= M$4))-ROW(DATABASE!$AV$14)+1,M$5)),"")</f>
        <v>1091705.0828</v>
      </c>
      <c r="N40" s="158" cm="1">
        <f t="array" ref="N40">IFERROR(_xlfn.SINGLE(INDEX(DATABASE!$AV$14:$BC$968,SUMPRODUCT((ROW(DATABASE!$AV$14:$AV$968)) * (DATABASE!$AV$14:BG$968='Résultats observations'!$A40 ) * (DATABASE!$AW$14:$AW$968= N$4))-ROW(DATABASE!$AV$14)+1,N$5)),"")</f>
        <v>-121.78299999999999</v>
      </c>
      <c r="O40" s="33">
        <f t="shared" si="0"/>
        <v>5.5260114749159088</v>
      </c>
      <c r="P40" s="33">
        <f t="shared" si="1"/>
        <v>5.6993590262178282</v>
      </c>
      <c r="Q40" s="33">
        <f t="shared" si="2"/>
        <v>5.8746832136288711</v>
      </c>
      <c r="R40" s="35">
        <f t="shared" ref="R40" si="678">IF(O40="","",(O40-O$10)*1000)</f>
        <v>-2.3630802402729856</v>
      </c>
      <c r="S40" s="35">
        <f t="shared" ref="S40" si="679">IF(P40="","",(P40-P$11)*1000)</f>
        <v>-1.5208444175378588</v>
      </c>
      <c r="T40" s="35">
        <f t="shared" ref="T40" si="680">IF(Q40="","",(Q40-Q$14)*1000)</f>
        <v>-6.924656803389162</v>
      </c>
      <c r="U40" s="34"/>
      <c r="V40" s="35">
        <f t="shared" ref="V40" si="681">IF(C40="","",(C40-C$10)*1000)</f>
        <v>1.0000000474974513</v>
      </c>
      <c r="W40" s="35">
        <f t="shared" ref="W40" si="682">IF(D40="","",(D40-D$10)*1000)</f>
        <v>-1.299999887123704</v>
      </c>
      <c r="X40" s="35">
        <f t="shared" ref="X40" si="683">IF(E40="","",(E40-E$10)*1000)</f>
        <v>-4.0999999999797865</v>
      </c>
      <c r="Y40" s="35">
        <f t="shared" ref="Y40" si="684">IF(F40="","",(F40-F$11)*1000)</f>
        <v>2.8000000165775418</v>
      </c>
      <c r="Z40" s="35">
        <f t="shared" ref="Z40" si="685">IF(G40="","",(G40-G$11)*1000)</f>
        <v>0.19999989308416843</v>
      </c>
      <c r="AA40" s="35">
        <f t="shared" ref="AA40" si="686">IF(H40="","",(H40-H$11)*1000)</f>
        <v>-1.8999999999778083</v>
      </c>
      <c r="AB40" s="35">
        <f t="shared" ref="AB40" si="687">IF(I40="","",(I40-I$14)*1000)</f>
        <v>3.4999999916180968</v>
      </c>
      <c r="AC40" s="35">
        <f t="shared" ref="AC40" si="688">IF(J40="","",(J40-J$14)*1000)</f>
        <v>-5.7000000961124897</v>
      </c>
      <c r="AD40" s="35">
        <f t="shared" ref="AD40" si="689">IF(K40="","",(K40-K$14)*1000)</f>
        <v>-3.3999999999849706</v>
      </c>
      <c r="AE40" s="35">
        <f t="shared" ref="AE40" si="690">IF(L40="","",(L40-L$10)*1000)</f>
        <v>5.0000031478703022E-2</v>
      </c>
      <c r="AF40" s="35">
        <f t="shared" ref="AF40" si="691">IF(M40="","",(M40-M$10)*1000)</f>
        <v>0.699999975040555</v>
      </c>
      <c r="AG40" s="35">
        <f t="shared" ref="AG40" si="692">IF(N40="","",(N40-N$10)*1000)</f>
        <v>-0.1999999999782176</v>
      </c>
      <c r="AH40" s="34"/>
      <c r="AI40" s="33" cm="1">
        <f t="array" ref="AI40">IFERROR(_xlfn.SINGLE(INDEX(DATABASE!$AV$14:$BC$968,SUMPRODUCT((ROW(DATABASE!$AV$14:$AV$968)) * (DATABASE!$AV$14:HY$968='Résultats observations'!$A40 ) * (DATABASE!$AW$14:$AW$968= AI$4))-ROW(DATABASE!$AV$14)+1,AI$5)),"")</f>
        <v>2.6860907398133138</v>
      </c>
      <c r="AJ40" s="33" cm="1">
        <f t="array" ref="AJ40">IFERROR(_xlfn.SINGLE(INDEX(DATABASE!$AV$14:$BC$968,SUMPRODUCT((ROW(DATABASE!$AV$14:$AV$968)) * (DATABASE!$AV$14:HZ$968='Résultats observations'!$A40 ) * (DATABASE!$AW$14:$AW$968= AJ$4))-ROW(DATABASE!$AV$14)+1,AJ$5)),"")</f>
        <v>7.9670010731607201E-3</v>
      </c>
      <c r="AK40" s="33" cm="1">
        <f t="array" ref="AK40">IFERROR(_xlfn.SINGLE(INDEX(DATABASE!$AV$14:$BC$968,SUMPRODUCT((ROW(DATABASE!$AV$14:$AV$968)) * (DATABASE!$AV$14:IA$968='Résultats observations'!$A40 ) * (DATABASE!$AW$14:$AW$968= AK$4))-ROW(DATABASE!$AV$14)+1,AK$5)),"")</f>
        <v>1.3825000000000074</v>
      </c>
      <c r="AL40" s="33" cm="1">
        <f t="array" ref="AL40">IFERROR(_xlfn.SINGLE(INDEX(DATABASE!$AV$14:$BC$968,SUMPRODUCT((ROW(DATABASE!$AV$14:$AV$968)) * (DATABASE!$AV$14:IB$968='Résultats observations'!$A40 ) * (DATABASE!$AW$14:$AW$968= AL$4))-ROW(DATABASE!$AV$14)+1,AL$5)),"")</f>
        <v>2.8620826241399451</v>
      </c>
      <c r="AM40" s="33" cm="1">
        <f t="array" ref="AM40">IFERROR(_xlfn.SINGLE(INDEX(DATABASE!$AV$14:$BC$968,SUMPRODUCT((ROW(DATABASE!$AV$14:$AV$968)) * (DATABASE!$AV$14:IC$968='Résultats observations'!$A40 ) * (DATABASE!$AW$14:$AW$968= AM$4))-ROW(DATABASE!$AV$14)+1,AM$5)),"")</f>
        <v>2.7367686920863044E-2</v>
      </c>
      <c r="AN40" s="33" cm="1">
        <f t="array" ref="AN40">IFERROR(_xlfn.SINGLE(INDEX(DATABASE!$AV$14:$BC$968,SUMPRODUCT((ROW(DATABASE!$AV$14:$AV$968)) * (DATABASE!$AV$14:ID$968='Résultats observations'!$A40 ) * (DATABASE!$AW$14:$AW$968= AN$4))-ROW(DATABASE!$AV$14)+1,AN$5)),"")</f>
        <v>1.0449000000000126</v>
      </c>
      <c r="AO40" s="167" cm="1">
        <f t="array" ref="AO40">IFERROR(_xlfn.SINGLE(INDEX(DATABASE!$AV$14:$BC$968,SUMPRODUCT((ROW(DATABASE!$AV$14:$AV$968)) * (DATABASE!$AV$14:IE$968='Résultats observations'!$A40 ) * (DATABASE!$AW$14:$AW$968= AO$4))-ROW(DATABASE!$AV$14)+1,AO$5)),"")</f>
        <v>3.0104359719765617</v>
      </c>
      <c r="AP40" s="167" cm="1">
        <f t="array" ref="AP40">IFERROR(_xlfn.SINGLE(INDEX(DATABASE!$AV$14:$BC$968,SUMPRODUCT((ROW(DATABASE!$AV$14:$AV$968)) * (DATABASE!$AV$14:IF$968='Résultats observations'!$A40 ) * (DATABASE!$AW$14:$AW$968= AP$4))-ROW(DATABASE!$AV$14)+1,AP$5)),"")</f>
        <v>7.0070546427814115E-2</v>
      </c>
      <c r="AQ40" s="167" cm="1">
        <f t="array" ref="AQ40">IFERROR(_xlfn.SINGLE(INDEX(DATABASE!$AV$14:$BC$968,SUMPRODUCT((ROW(DATABASE!$AV$14:$AV$968)) * (DATABASE!$AV$14:IG$968='Résultats observations'!$A40 ) * (DATABASE!$AW$14:$AW$968= AQ$4))-ROW(DATABASE!$AV$14)+1,AQ$5)),"")</f>
        <v>0.59690000000000509</v>
      </c>
      <c r="AR40" s="33" cm="1">
        <f t="array" ref="AR40">IFERROR(_xlfn.SINGLE(INDEX(DATABASE!$AV$14:$BC$968,SUMPRODUCT((ROW(DATABASE!$AV$14:$AV$968)) * (DATABASE!$AV$14:IH$968='Résultats observations'!$A40 ) * (DATABASE!$AW$14:$AW$968= AR$4))-ROW(DATABASE!$AV$14)+1,AR$5)),"")</f>
        <v>-2.8358675160118056</v>
      </c>
      <c r="AS40" s="33" cm="1">
        <f t="array" ref="AS40">IFERROR(_xlfn.SINGLE(INDEX(DATABASE!$AV$14:$BC$968,SUMPRODUCT((ROW(DATABASE!$AV$14:$AV$968)) * (DATABASE!$AV$14:II$968='Résultats observations'!$A40 ) * (DATABASE!$AW$14:$AW$968= AS$4))-ROW(DATABASE!$AV$14)+1,AS$5)),"")</f>
        <v>1.4865684070421856E-2</v>
      </c>
      <c r="AT40" s="33" cm="1">
        <f t="array" ref="AT40">IFERROR(_xlfn.SINGLE(INDEX(DATABASE!$AV$14:$BC$968,SUMPRODUCT((ROW(DATABASE!$AV$14:$AV$968)) * (DATABASE!$AV$14:IJ$968='Résultats observations'!$A40 ) * (DATABASE!$AW$14:$AW$968= AT$4))-ROW(DATABASE!$AV$14)+1,AT$5)),"")</f>
        <v>1.1710000000000065</v>
      </c>
      <c r="AU40" s="34"/>
      <c r="AV40" s="35">
        <f t="shared" ref="AV40" si="693">IF(AI40="","",(AI40-AI$10)*1000)</f>
        <v>-1.6008302377548134</v>
      </c>
      <c r="AW40" s="35">
        <f t="shared" ref="AW40" si="694">IF(AJ40="","",(AJ40-AJ$10)*1000)</f>
        <v>0.35685060096365356</v>
      </c>
      <c r="AX40" s="35">
        <f t="shared" ref="AX40" si="695">IF(AK40="","",(AK40-AK$10)*1000)</f>
        <v>-4.0999999999797865</v>
      </c>
      <c r="AY40" s="35">
        <f t="shared" ref="AY40" si="696">IF(AL40="","",(AL40-AL$11)*1000)</f>
        <v>-1.0021573728784539</v>
      </c>
      <c r="AZ40" s="35">
        <f t="shared" ref="AZ40" si="697">IF(AM40="","",(AM40-AM$11)*1000)</f>
        <v>2.6221519120844734</v>
      </c>
      <c r="BA40" s="35">
        <f t="shared" ref="BA40" si="698">IF(AN40="","",(AN40-AN$11)*1000)</f>
        <v>-1.8999999999778083</v>
      </c>
      <c r="BB40" s="35">
        <f t="shared" ref="BB40" si="699">IF(AO40="","",(AO40-AO$14)*1000)</f>
        <v>-6.6451439042731764</v>
      </c>
      <c r="BC40" s="35">
        <f t="shared" ref="BC40" si="700">IF(AP40="","",(AP40-AP$14)*1000)</f>
        <v>0.76293088055826019</v>
      </c>
      <c r="BD40" s="35">
        <f t="shared" ref="BD40" si="701">IF(AQ40="","",(AQ40-AQ$14)*1000)</f>
        <v>-3.3999999999849706</v>
      </c>
      <c r="BE40" s="35">
        <f t="shared" ref="BE40" si="702">IF(AR40="","",(AR40-AR$10)*1000)</f>
        <v>0.61327309251124618</v>
      </c>
      <c r="BF40" s="35">
        <f t="shared" ref="BF40" si="703">IF(AS40="","",(AS40-AS$10)*1000)</f>
        <v>0.34116870050962705</v>
      </c>
      <c r="BG40" s="35">
        <f t="shared" ref="BG40" si="704">IF(AT40="","",(AT40-AT$10)*1000)</f>
        <v>-0.1999999999782176</v>
      </c>
    </row>
    <row r="41" spans="1:59" s="57" customFormat="1" ht="29.25" customHeight="1">
      <c r="A41" s="172">
        <v>45708</v>
      </c>
      <c r="B41" s="25">
        <f t="shared" ref="B41" si="705">A41-A$10</f>
        <v>176</v>
      </c>
      <c r="C41" s="80" cm="1">
        <f t="array" ref="C41">IFERROR(_xlfn.SINGLE(INDEX(DATABASE!$AV$14:$BC$968,SUMPRODUCT((ROW(DATABASE!$AV$14:$AV$968)) * (DATABASE!AV$14:$AV$968='Résultats observations'!$A41 ) * (DATABASE!$AW$14:$AW$968= C$4))-ROW(DATABASE!$AV$14)+1,C$5)),"")</f>
        <v>823147.6496</v>
      </c>
      <c r="D41" s="158" cm="1">
        <f t="array" ref="D41">IFERROR(_xlfn.SINGLE(INDEX(DATABASE!$AV$14:$BC$968,SUMPRODUCT((ROW(DATABASE!$AV$14:$AV$968)) * (DATABASE!$AV$14:AW$968='Résultats observations'!$A41 ) * (DATABASE!$AW$14:$AW$968= D$4))-ROW(DATABASE!$AV$14)+1,D$5)),"")</f>
        <v>1091710.0841000001</v>
      </c>
      <c r="E41" s="158" cm="1">
        <f t="array" ref="E41">IFERROR(_xlfn.SINGLE(INDEX(DATABASE!$AV$14:$BC$968,SUMPRODUCT((ROW(DATABASE!$AV$14:$AV$968)) * (DATABASE!$AV$14:AX$968='Résultats observations'!$A41 ) * (DATABASE!$AW$14:$AW$968= E$4))-ROW(DATABASE!$AV$14)+1,E$5)),"")</f>
        <v>-121.5716</v>
      </c>
      <c r="F41" s="158" cm="1">
        <f t="array" ref="F41">IFERROR(_xlfn.SINGLE(INDEX(DATABASE!$AV$14:$BC$968,SUMPRODUCT((ROW(DATABASE!$AV$14:$AV$968)) * (DATABASE!$AV$14:AY$968='Résultats observations'!$A41 ) * (DATABASE!$AW$14:$AW$968= F$4))-ROW(DATABASE!$AV$14)+1,F$5)),"")</f>
        <v>823147.59310000006</v>
      </c>
      <c r="G41" s="158" cm="1">
        <f t="array" ref="G41">IFERROR(_xlfn.SINGLE(INDEX(DATABASE!$AV$14:$BC$968,SUMPRODUCT((ROW(DATABASE!$AV$14:$AV$968)) * (DATABASE!$AV$14:AZ$968='Résultats observations'!$A41 ) * (DATABASE!$AW$14:$AW$968= G$4))-ROW(DATABASE!$AV$14)+1,G$5)),"")</f>
        <v>1091710.2516999999</v>
      </c>
      <c r="H41" s="158" cm="1">
        <f t="array" ref="H41">IFERROR(_xlfn.SINGLE(INDEX(DATABASE!$AV$14:$BC$968,SUMPRODUCT((ROW(DATABASE!$AV$14:$AV$968)) * (DATABASE!$AV$14:BA$968='Résultats observations'!$A41 ) * (DATABASE!$AW$14:$AW$968= H$4))-ROW(DATABASE!$AV$14)+1,H$5)),"")</f>
        <v>-121.9096</v>
      </c>
      <c r="I41" s="167" cm="1">
        <f t="array" ref="I41">IFERROR(_xlfn.SINGLE(INDEX(DATABASE!$AV$14:$BC$968,SUMPRODUCT((ROW(DATABASE!$AV$14:$AV$968)) * (DATABASE!$AV$14:BB$968='Résultats observations'!$A41 ) * (DATABASE!$AW$14:$AW$968= I$4))-ROW(DATABASE!$AV$14)+1,I$5)),"")</f>
        <v>823147.5686</v>
      </c>
      <c r="J41" s="167" cm="1">
        <f t="array" ref="J41">IFERROR(_xlfn.SINGLE(INDEX(DATABASE!$AV$14:$BC$968,SUMPRODUCT((ROW(DATABASE!$AV$14:$AV$968)) * (DATABASE!$AV$14:BC$968='Résultats observations'!$A41 ) * (DATABASE!$AW$14:$AW$968= J$4))-ROW(DATABASE!$AV$14)+1,J$5)),"")</f>
        <v>1091710.4040999999</v>
      </c>
      <c r="K41" s="167" cm="1">
        <f t="array" ref="K41">IFERROR(_xlfn.SINGLE(INDEX(DATABASE!$AV$14:$BC$968,SUMPRODUCT((ROW(DATABASE!$AV$14:$AV$968)) * (DATABASE!$AV$14:BD$968='Résultats observations'!$A41 ) * (DATABASE!$AW$14:$AW$968= K$4))-ROW(DATABASE!$AV$14)+1,K$5)),"")</f>
        <v>-122.3571</v>
      </c>
      <c r="L41" s="158" cm="1">
        <f t="array" ref="L41">IFERROR(_xlfn.SINGLE(INDEX(DATABASE!$AV$14:$BC$968,SUMPRODUCT((ROW(DATABASE!$AV$14:$AV$968)) * (DATABASE!$AV$14:BE$968='Résultats observations'!$A41 ) * (DATABASE!$AW$14:$AW$968= L$4))-ROW(DATABASE!$AV$14)+1,L$5)),"")</f>
        <v>823149.98950000003</v>
      </c>
      <c r="M41" s="158" cm="1">
        <f t="array" ref="M41">IFERROR(_xlfn.SINGLE(INDEX(DATABASE!$AV$14:$BC$968,SUMPRODUCT((ROW(DATABASE!$AV$14:$AV$968)) * (DATABASE!$AV$14:BF$968='Résultats observations'!$A41 ) * (DATABASE!$AW$14:$AW$968= M$4))-ROW(DATABASE!$AV$14)+1,M$5)),"")</f>
        <v>1091705.0825</v>
      </c>
      <c r="N41" s="158" cm="1">
        <f t="array" ref="N41">IFERROR(_xlfn.SINGLE(INDEX(DATABASE!$AV$14:$BC$968,SUMPRODUCT((ROW(DATABASE!$AV$14:$AV$968)) * (DATABASE!$AV$14:BG$968='Résultats observations'!$A41 ) * (DATABASE!$AW$14:$AW$968= N$4))-ROW(DATABASE!$AV$14)+1,N$5)),"")</f>
        <v>-121.78319999999999</v>
      </c>
      <c r="O41" s="33">
        <f t="shared" si="0"/>
        <v>5.525930612200793</v>
      </c>
      <c r="P41" s="33">
        <f t="shared" si="1"/>
        <v>5.6990647091156035</v>
      </c>
      <c r="Q41" s="33">
        <f t="shared" si="2"/>
        <v>5.8744824945822005</v>
      </c>
      <c r="R41" s="35">
        <f t="shared" ref="R41" si="706">IF(O41="","",(O41-O$10)*1000)</f>
        <v>-2.4439429553888559</v>
      </c>
      <c r="S41" s="35">
        <f t="shared" ref="S41" si="707">IF(P41="","",(P41-P$11)*1000)</f>
        <v>-1.8151615197625759</v>
      </c>
      <c r="T41" s="35">
        <f t="shared" ref="T41" si="708">IF(Q41="","",(Q41-Q$14)*1000)</f>
        <v>-7.1253758500597897</v>
      </c>
      <c r="U41" s="34"/>
      <c r="V41" s="35">
        <f t="shared" ref="V41" si="709">IF(C41="","",(C41-C$10)*1000)</f>
        <v>0.80000003799796104</v>
      </c>
      <c r="W41" s="35">
        <f t="shared" ref="W41" si="710">IF(D41="","",(D41-D$10)*1000)</f>
        <v>-1.5999998431652784</v>
      </c>
      <c r="X41" s="35">
        <f t="shared" ref="X41" si="711">IF(E41="","",(E41-E$10)*1000)</f>
        <v>-4.199999999997317</v>
      </c>
      <c r="Y41" s="35">
        <f t="shared" ref="Y41" si="712">IF(F41="","",(F41-F$11)*1000)</f>
        <v>2.9000000795349479</v>
      </c>
      <c r="Z41" s="35">
        <f t="shared" ref="Z41" si="713">IF(G41="","",(G41-G$11)*1000)</f>
        <v>-0.20000012591481209</v>
      </c>
      <c r="AA41" s="35">
        <f t="shared" ref="AA41" si="714">IF(H41="","",(H41-H$11)*1000)</f>
        <v>-2.3999999999944066</v>
      </c>
      <c r="AB41" s="35">
        <f t="shared" ref="AB41" si="715">IF(I41="","",(I41-I$14)*1000)</f>
        <v>3.0999999726191163</v>
      </c>
      <c r="AC41" s="35">
        <f t="shared" ref="AC41" si="716">IF(J41="","",(J41-J$14)*1000)</f>
        <v>-6.2000001780688763</v>
      </c>
      <c r="AD41" s="35">
        <f t="shared" ref="AD41" si="717">IF(K41="","",(K41-K$14)*1000)</f>
        <v>-3.3999999999991815</v>
      </c>
      <c r="AE41" s="35">
        <f t="shared" ref="AE41" si="718">IF(L41="","",(L41-L$10)*1000)</f>
        <v>-0.3499999875202775</v>
      </c>
      <c r="AF41" s="35">
        <f t="shared" ref="AF41" si="719">IF(M41="","",(M41-M$10)*1000)</f>
        <v>0.40000001899898052</v>
      </c>
      <c r="AG41" s="35">
        <f t="shared" ref="AG41" si="720">IF(N41="","",(N41-N$10)*1000)</f>
        <v>-0.39999999998485691</v>
      </c>
      <c r="AH41" s="34"/>
      <c r="AI41" s="33" cm="1">
        <f t="array" ref="AI41">IFERROR(_xlfn.SINGLE(INDEX(DATABASE!$AV$14:$BC$968,SUMPRODUCT((ROW(DATABASE!$AV$14:$AV$968)) * (DATABASE!$AV$14:HY$968='Résultats observations'!$A41 ) * (DATABASE!$AW$14:$AW$968= AI$4))-ROW(DATABASE!$AV$14)+1,AI$5)),"")</f>
        <v>2.6859033814755651</v>
      </c>
      <c r="AJ41" s="33" cm="1">
        <f t="array" ref="AJ41">IFERROR(_xlfn.SINGLE(INDEX(DATABASE!$AV$14:$BC$968,SUMPRODUCT((ROW(DATABASE!$AV$14:$AV$968)) * (DATABASE!$AV$14:HZ$968='Résultats observations'!$A41 ) * (DATABASE!$AW$14:$AW$968= AJ$4))-ROW(DATABASE!$AV$14)+1,AJ$5)),"")</f>
        <v>7.6589477811806481E-3</v>
      </c>
      <c r="AK41" s="33" cm="1">
        <f t="array" ref="AK41">IFERROR(_xlfn.SINGLE(INDEX(DATABASE!$AV$14:$BC$968,SUMPRODUCT((ROW(DATABASE!$AV$14:$AV$968)) * (DATABASE!$AV$14:IA$968='Résultats observations'!$A41 ) * (DATABASE!$AW$14:$AW$968= AK$4))-ROW(DATABASE!$AV$14)+1,AK$5)),"")</f>
        <v>1.3823999999999899</v>
      </c>
      <c r="AL41" s="33" cm="1">
        <f t="array" ref="AL41">IFERROR(_xlfn.SINGLE(INDEX(DATABASE!$AV$14:$BC$968,SUMPRODUCT((ROW(DATABASE!$AV$14:$AV$968)) * (DATABASE!$AV$14:IB$968='Résultats observations'!$A41 ) * (DATABASE!$AW$14:$AW$968= AL$4))-ROW(DATABASE!$AV$14)+1,AL$5)),"")</f>
        <v>2.861677841777849</v>
      </c>
      <c r="AM41" s="33" cm="1">
        <f t="array" ref="AM41">IFERROR(_xlfn.SINGLE(INDEX(DATABASE!$AV$14:$BC$968,SUMPRODUCT((ROW(DATABASE!$AV$14:$AV$968)) * (DATABASE!$AV$14:IC$968='Résultats observations'!$A41 ) * (DATABASE!$AW$14:$AW$968= AM$4))-ROW(DATABASE!$AV$14)+1,AM$5)),"")</f>
        <v>2.7289256906669321E-2</v>
      </c>
      <c r="AN41" s="33" cm="1">
        <f t="array" ref="AN41">IFERROR(_xlfn.SINGLE(INDEX(DATABASE!$AV$14:$BC$968,SUMPRODUCT((ROW(DATABASE!$AV$14:$AV$968)) * (DATABASE!$AV$14:ID$968='Résultats observations'!$A41 ) * (DATABASE!$AW$14:$AW$968= AN$4))-ROW(DATABASE!$AV$14)+1,AN$5)),"")</f>
        <v>1.044399999999996</v>
      </c>
      <c r="AO41" s="167" cm="1">
        <f t="array" ref="AO41">IFERROR(_xlfn.SINGLE(INDEX(DATABASE!$AV$14:$BC$968,SUMPRODUCT((ROW(DATABASE!$AV$14:$AV$968)) * (DATABASE!$AV$14:IE$968='Résultats observations'!$A41 ) * (DATABASE!$AW$14:$AW$968= AO$4))-ROW(DATABASE!$AV$14)+1,AO$5)),"")</f>
        <v>3.0101518845123931</v>
      </c>
      <c r="AP41" s="167" cm="1">
        <f t="array" ref="AP41">IFERROR(_xlfn.SINGLE(INDEX(DATABASE!$AV$14:$BC$968,SUMPRODUCT((ROW(DATABASE!$AV$14:$AV$968)) * (DATABASE!$AV$14:IF$968='Résultats observations'!$A41 ) * (DATABASE!$AW$14:$AW$968= AP$4))-ROW(DATABASE!$AV$14)+1,AP$5)),"")</f>
        <v>6.9496704629181269E-2</v>
      </c>
      <c r="AQ41" s="167" cm="1">
        <f t="array" ref="AQ41">IFERROR(_xlfn.SINGLE(INDEX(DATABASE!$AV$14:$BC$968,SUMPRODUCT((ROW(DATABASE!$AV$14:$AV$968)) * (DATABASE!$AV$14:IG$968='Résultats observations'!$A41 ) * (DATABASE!$AW$14:$AW$968= AQ$4))-ROW(DATABASE!$AV$14)+1,AQ$5)),"")</f>
        <v>0.59689999999999088</v>
      </c>
      <c r="AR41" s="33" cm="1">
        <f t="array" ref="AR41">IFERROR(_xlfn.SINGLE(INDEX(DATABASE!$AV$14:$BC$968,SUMPRODUCT((ROW(DATABASE!$AV$14:$AV$968)) * (DATABASE!$AV$14:IH$968='Résultats observations'!$A41 ) * (DATABASE!$AW$14:$AW$968= AR$4))-ROW(DATABASE!$AV$14)+1,AR$5)),"")</f>
        <v>-2.8359703446312872</v>
      </c>
      <c r="AS41" s="33" cm="1">
        <f t="array" ref="AS41">IFERROR(_xlfn.SINGLE(INDEX(DATABASE!$AV$14:$BC$968,SUMPRODUCT((ROW(DATABASE!$AV$14:$AV$968)) * (DATABASE!$AV$14:II$968='Résultats observations'!$A41 ) * (DATABASE!$AW$14:$AW$968= AS$4))-ROW(DATABASE!$AV$14)+1,AS$5)),"")</f>
        <v>1.4376372039259577E-2</v>
      </c>
      <c r="AT41" s="33" cm="1">
        <f t="array" ref="AT41">IFERROR(_xlfn.SINGLE(INDEX(DATABASE!$AV$14:$BC$968,SUMPRODUCT((ROW(DATABASE!$AV$14:$AV$968)) * (DATABASE!$AV$14:IJ$968='Résultats observations'!$A41 ) * (DATABASE!$AW$14:$AW$968= AT$4))-ROW(DATABASE!$AV$14)+1,AT$5)),"")</f>
        <v>1.1707999999999998</v>
      </c>
      <c r="AU41" s="34"/>
      <c r="AV41" s="35">
        <f t="shared" ref="AV41" si="721">IF(AI41="","",(AI41-AI$10)*1000)</f>
        <v>-1.7881885755035576</v>
      </c>
      <c r="AW41" s="35">
        <f t="shared" ref="AW41" si="722">IF(AJ41="","",(AJ41-AJ$10)*1000)</f>
        <v>4.8797308983581505E-2</v>
      </c>
      <c r="AX41" s="35">
        <f t="shared" ref="AX41" si="723">IF(AK41="","",(AK41-AK$10)*1000)</f>
        <v>-4.199999999997317</v>
      </c>
      <c r="AY41" s="35">
        <f t="shared" ref="AY41" si="724">IF(AL41="","",(AL41-AL$11)*1000)</f>
        <v>-1.4069397349745216</v>
      </c>
      <c r="AZ41" s="35">
        <f t="shared" ref="AZ41" si="725">IF(AM41="","",(AM41-AM$11)*1000)</f>
        <v>2.5437218978907503</v>
      </c>
      <c r="BA41" s="35">
        <f t="shared" ref="BA41" si="726">IF(AN41="","",(AN41-AN$11)*1000)</f>
        <v>-2.3999999999944066</v>
      </c>
      <c r="BB41" s="35">
        <f t="shared" ref="BB41" si="727">IF(AO41="","",(AO41-AO$14)*1000)</f>
        <v>-6.9292313684417017</v>
      </c>
      <c r="BC41" s="35">
        <f t="shared" ref="BC41" si="728">IF(AP41="","",(AP41-AP$14)*1000)</f>
        <v>0.18908908192541429</v>
      </c>
      <c r="BD41" s="35">
        <f t="shared" ref="BD41" si="729">IF(AQ41="","",(AQ41-AQ$14)*1000)</f>
        <v>-3.3999999999991815</v>
      </c>
      <c r="BE41" s="35">
        <f t="shared" ref="BE41" si="730">IF(AR41="","",(AR41-AR$10)*1000)</f>
        <v>0.51044447302972529</v>
      </c>
      <c r="BF41" s="35">
        <f t="shared" ref="BF41" si="731">IF(AS41="","",(AS41-AS$10)*1000)</f>
        <v>-0.14814333065265273</v>
      </c>
      <c r="BG41" s="35">
        <f t="shared" ref="BG41" si="732">IF(AT41="","",(AT41-AT$10)*1000)</f>
        <v>-0.39999999998485691</v>
      </c>
    </row>
    <row r="42" spans="1:59" s="57" customFormat="1" ht="29.25" customHeight="1">
      <c r="A42" s="172">
        <v>45715</v>
      </c>
      <c r="B42" s="25">
        <f t="shared" ref="B42" si="733">A42-A$10</f>
        <v>183</v>
      </c>
      <c r="C42" s="80" cm="1">
        <f t="array" ref="C42">IFERROR(_xlfn.SINGLE(INDEX(DATABASE!$AV$14:$BC$968,SUMPRODUCT((ROW(DATABASE!$AV$14:$AV$968)) * (DATABASE!AV$14:$AV$968='Résultats observations'!$A42 ) * (DATABASE!$AW$14:$AW$968= C$4))-ROW(DATABASE!$AV$14)+1,C$5)),"")</f>
        <v>823147.6496</v>
      </c>
      <c r="D42" s="158" cm="1">
        <f t="array" ref="D42">IFERROR(_xlfn.SINGLE(INDEX(DATABASE!$AV$14:$BC$968,SUMPRODUCT((ROW(DATABASE!$AV$14:$AV$968)) * (DATABASE!$AV$14:AW$968='Résultats observations'!$A42 ) * (DATABASE!$AW$14:$AW$968= D$4))-ROW(DATABASE!$AV$14)+1,D$5)),"")</f>
        <v>1091710.0837999999</v>
      </c>
      <c r="E42" s="158" cm="1">
        <f t="array" ref="E42">IFERROR(_xlfn.SINGLE(INDEX(DATABASE!$AV$14:$BC$968,SUMPRODUCT((ROW(DATABASE!$AV$14:$AV$968)) * (DATABASE!$AV$14:AX$968='Résultats observations'!$A42 ) * (DATABASE!$AW$14:$AW$968= E$4))-ROW(DATABASE!$AV$14)+1,E$5)),"")</f>
        <v>-121.5715</v>
      </c>
      <c r="F42" s="158" cm="1">
        <f t="array" ref="F42">IFERROR(_xlfn.SINGLE(INDEX(DATABASE!$AV$14:$BC$968,SUMPRODUCT((ROW(DATABASE!$AV$14:$AV$968)) * (DATABASE!$AV$14:AY$968='Résultats observations'!$A42 ) * (DATABASE!$AW$14:$AW$968= F$4))-ROW(DATABASE!$AV$14)+1,F$5)),"")</f>
        <v>823147.59330000007</v>
      </c>
      <c r="G42" s="158" cm="1">
        <f t="array" ref="G42">IFERROR(_xlfn.SINGLE(INDEX(DATABASE!$AV$14:$BC$968,SUMPRODUCT((ROW(DATABASE!$AV$14:$AV$968)) * (DATABASE!$AV$14:AZ$968='Résultats observations'!$A42 ) * (DATABASE!$AW$14:$AW$968= G$4))-ROW(DATABASE!$AV$14)+1,G$5)),"")</f>
        <v>1091710.2515</v>
      </c>
      <c r="H42" s="158" cm="1">
        <f t="array" ref="H42">IFERROR(_xlfn.SINGLE(INDEX(DATABASE!$AV$14:$BC$968,SUMPRODUCT((ROW(DATABASE!$AV$14:$AV$968)) * (DATABASE!$AV$14:BA$968='Résultats observations'!$A42 ) * (DATABASE!$AW$14:$AW$968= H$4))-ROW(DATABASE!$AV$14)+1,H$5)),"")</f>
        <v>-121.9096</v>
      </c>
      <c r="I42" s="167" cm="1">
        <f t="array" ref="I42">IFERROR(_xlfn.SINGLE(INDEX(DATABASE!$AV$14:$BC$968,SUMPRODUCT((ROW(DATABASE!$AV$14:$AV$968)) * (DATABASE!$AV$14:BB$968='Résultats observations'!$A42 ) * (DATABASE!$AW$14:$AW$968= I$4))-ROW(DATABASE!$AV$14)+1,I$5)),"")</f>
        <v>823147.56850000005</v>
      </c>
      <c r="J42" s="167" cm="1">
        <f t="array" ref="J42">IFERROR(_xlfn.SINGLE(INDEX(DATABASE!$AV$14:$BC$968,SUMPRODUCT((ROW(DATABASE!$AV$14:$AV$968)) * (DATABASE!$AV$14:BC$968='Résultats observations'!$A42 ) * (DATABASE!$AW$14:$AW$968= J$4))-ROW(DATABASE!$AV$14)+1,J$5)),"")</f>
        <v>1091710.4036000001</v>
      </c>
      <c r="K42" s="167" cm="1">
        <f t="array" ref="K42">IFERROR(_xlfn.SINGLE(INDEX(DATABASE!$AV$14:$BC$968,SUMPRODUCT((ROW(DATABASE!$AV$14:$AV$968)) * (DATABASE!$AV$14:BD$968='Résultats observations'!$A42 ) * (DATABASE!$AW$14:$AW$968= K$4))-ROW(DATABASE!$AV$14)+1,K$5)),"")</f>
        <v>-122.3573</v>
      </c>
      <c r="L42" s="158" cm="1">
        <f t="array" ref="L42">IFERROR(_xlfn.SINGLE(INDEX(DATABASE!$AV$14:$BC$968,SUMPRODUCT((ROW(DATABASE!$AV$14:$AV$968)) * (DATABASE!$AV$14:BE$968='Résultats observations'!$A42 ) * (DATABASE!$AW$14:$AW$968= L$4))-ROW(DATABASE!$AV$14)+1,L$5)),"")</f>
        <v>823149.98960000009</v>
      </c>
      <c r="M42" s="158" cm="1">
        <f t="array" ref="M42">IFERROR(_xlfn.SINGLE(INDEX(DATABASE!$AV$14:$BC$968,SUMPRODUCT((ROW(DATABASE!$AV$14:$AV$968)) * (DATABASE!$AV$14:BF$968='Résultats observations'!$A42 ) * (DATABASE!$AW$14:$AW$968= M$4))-ROW(DATABASE!$AV$14)+1,M$5)),"")</f>
        <v>1091705.0821</v>
      </c>
      <c r="N42" s="158" cm="1">
        <f t="array" ref="N42">IFERROR(_xlfn.SINGLE(INDEX(DATABASE!$AV$14:$BC$968,SUMPRODUCT((ROW(DATABASE!$AV$14:$AV$968)) * (DATABASE!$AV$14:BG$968='Résultats observations'!$A42 ) * (DATABASE!$AW$14:$AW$968= N$4))-ROW(DATABASE!$AV$14)+1,N$5)),"")</f>
        <v>-121.78279999999999</v>
      </c>
      <c r="O42" s="33">
        <f t="shared" si="0"/>
        <v>5.5260519884862811</v>
      </c>
      <c r="P42" s="33">
        <f t="shared" si="1"/>
        <v>5.6992129535791944</v>
      </c>
      <c r="Q42" s="33">
        <f t="shared" si="2"/>
        <v>5.8745329781189151</v>
      </c>
      <c r="R42" s="35">
        <f t="shared" ref="R42" si="734">IF(O42="","",(O42-O$10)*1000)</f>
        <v>-2.3225666699007164</v>
      </c>
      <c r="S42" s="35">
        <f t="shared" ref="S42" si="735">IF(P42="","",(P42-P$11)*1000)</f>
        <v>-1.6669170561716129</v>
      </c>
      <c r="T42" s="35">
        <f t="shared" ref="T42" si="736">IF(Q42="","",(Q42-Q$14)*1000)</f>
        <v>-7.0748923133452379</v>
      </c>
      <c r="U42" s="34"/>
      <c r="V42" s="35">
        <f t="shared" ref="V42" si="737">IF(C42="","",(C42-C$10)*1000)</f>
        <v>0.80000003799796104</v>
      </c>
      <c r="W42" s="35">
        <f t="shared" ref="W42" si="738">IF(D42="","",(D42-D$10)*1000)</f>
        <v>-1.9000000320374966</v>
      </c>
      <c r="X42" s="35">
        <f t="shared" ref="X42" si="739">IF(E42="","",(E42-E$10)*1000)</f>
        <v>-4.0999999999939973</v>
      </c>
      <c r="Y42" s="35">
        <f t="shared" ref="Y42" si="740">IF(F42="","",(F42-F$11)*1000)</f>
        <v>3.1000000890344381</v>
      </c>
      <c r="Z42" s="35">
        <f t="shared" ref="Z42" si="741">IF(G42="","",(G42-G$11)*1000)</f>
        <v>-0.40000001899898052</v>
      </c>
      <c r="AA42" s="35">
        <f t="shared" ref="AA42" si="742">IF(H42="","",(H42-H$11)*1000)</f>
        <v>-2.3999999999944066</v>
      </c>
      <c r="AB42" s="35">
        <f t="shared" ref="AB42" si="743">IF(I42="","",(I42-I$14)*1000)</f>
        <v>3.0000000260770321</v>
      </c>
      <c r="AC42" s="35">
        <f t="shared" ref="AC42" si="744">IF(J42="","",(J42-J$14)*1000)</f>
        <v>-6.7000000271946192</v>
      </c>
      <c r="AD42" s="35">
        <f t="shared" ref="AD42" si="745">IF(K42="","",(K42-K$14)*1000)</f>
        <v>-3.5999999999916099</v>
      </c>
      <c r="AE42" s="35">
        <f t="shared" ref="AE42" si="746">IF(L42="","",(L42-L$10)*1000)</f>
        <v>-0.24999992456287146</v>
      </c>
      <c r="AF42" s="35">
        <f t="shared" ref="AF42" si="747">IF(M42="","",(M42-M$10)*1000)</f>
        <v>0</v>
      </c>
      <c r="AG42" s="35">
        <f t="shared" ref="AG42" si="748">IF(N42="","",(N42-N$10)*1000)</f>
        <v>1.4210854715202004E-11</v>
      </c>
      <c r="AH42" s="34"/>
      <c r="AI42" s="33" cm="1">
        <f t="array" ref="AI42">IFERROR(_xlfn.SINGLE(INDEX(DATABASE!$AV$14:$BC$968,SUMPRODUCT((ROW(DATABASE!$AV$14:$AV$968)) * (DATABASE!$AV$14:HY$968='Résultats observations'!$A42 ) * (DATABASE!$AW$14:$AW$968= AI$4))-ROW(DATABASE!$AV$14)+1,AI$5)),"")</f>
        <v>2.6856314932085343</v>
      </c>
      <c r="AJ42" s="33" cm="1">
        <f t="array" ref="AJ42">IFERROR(_xlfn.SINGLE(INDEX(DATABASE!$AV$14:$BC$968,SUMPRODUCT((ROW(DATABASE!$AV$14:$AV$968)) * (DATABASE!$AV$14:HZ$968='Résultats observations'!$A42 ) * (DATABASE!$AW$14:$AW$968= AJ$4))-ROW(DATABASE!$AV$14)+1,AJ$5)),"")</f>
        <v>7.5321531299731318E-3</v>
      </c>
      <c r="AK42" s="33" cm="1">
        <f t="array" ref="AK42">IFERROR(_xlfn.SINGLE(INDEX(DATABASE!$AV$14:$BC$968,SUMPRODUCT((ROW(DATABASE!$AV$14:$AV$968)) * (DATABASE!$AV$14:IA$968='Résultats observations'!$A42 ) * (DATABASE!$AW$14:$AW$968= AK$4))-ROW(DATABASE!$AV$14)+1,AK$5)),"")</f>
        <v>1.3824999999999932</v>
      </c>
      <c r="AL42" s="33" cm="1">
        <f t="array" ref="AL42">IFERROR(_xlfn.SINGLE(INDEX(DATABASE!$AV$14:$BC$968,SUMPRODUCT((ROW(DATABASE!$AV$14:$AV$968)) * (DATABASE!$AV$14:IB$968='Résultats observations'!$A42 ) * (DATABASE!$AW$14:$AW$968= AL$4))-ROW(DATABASE!$AV$14)+1,AL$5)),"")</f>
        <v>2.8614120534259069</v>
      </c>
      <c r="AM42" s="33" cm="1">
        <f t="array" ref="AM42">IFERROR(_xlfn.SINGLE(INDEX(DATABASE!$AV$14:$BC$968,SUMPRODUCT((ROW(DATABASE!$AV$14:$AV$968)) * (DATABASE!$AV$14:IC$968='Résultats observations'!$A42 ) * (DATABASE!$AW$14:$AW$968= AM$4))-ROW(DATABASE!$AV$14)+1,AM$5)),"")</f>
        <v>2.738598597678444E-2</v>
      </c>
      <c r="AN42" s="33" cm="1">
        <f t="array" ref="AN42">IFERROR(_xlfn.SINGLE(INDEX(DATABASE!$AV$14:$BC$968,SUMPRODUCT((ROW(DATABASE!$AV$14:$AV$968)) * (DATABASE!$AV$14:ID$968='Résultats observations'!$A42 ) * (DATABASE!$AW$14:$AW$968= AN$4))-ROW(DATABASE!$AV$14)+1,AN$5)),"")</f>
        <v>1.044399999999996</v>
      </c>
      <c r="AO42" s="167" cm="1">
        <f t="array" ref="AO42">IFERROR(_xlfn.SINGLE(INDEX(DATABASE!$AV$14:$BC$968,SUMPRODUCT((ROW(DATABASE!$AV$14:$AV$968)) * (DATABASE!$AV$14:IE$968='Résultats observations'!$A42 ) * (DATABASE!$AW$14:$AW$968= AO$4))-ROW(DATABASE!$AV$14)+1,AO$5)),"")</f>
        <v>3.0097410026572349</v>
      </c>
      <c r="AP42" s="167" cm="1">
        <f t="array" ref="AP42">IFERROR(_xlfn.SINGLE(INDEX(DATABASE!$AV$14:$BC$968,SUMPRODUCT((ROW(DATABASE!$AV$14:$AV$968)) * (DATABASE!$AV$14:IF$968='Résultats observations'!$A42 ) * (DATABASE!$AW$14:$AW$968= AP$4))-ROW(DATABASE!$AV$14)+1,AP$5)),"")</f>
        <v>6.9194751090479928E-2</v>
      </c>
      <c r="AQ42" s="167" cm="1">
        <f t="array" ref="AQ42">IFERROR(_xlfn.SINGLE(INDEX(DATABASE!$AV$14:$BC$968,SUMPRODUCT((ROW(DATABASE!$AV$14:$AV$968)) * (DATABASE!$AV$14:IG$968='Résultats observations'!$A42 ) * (DATABASE!$AW$14:$AW$968= AQ$4))-ROW(DATABASE!$AV$14)+1,AQ$5)),"")</f>
        <v>0.59669999999999845</v>
      </c>
      <c r="AR42" s="33" cm="1">
        <f t="array" ref="AR42">IFERROR(_xlfn.SINGLE(INDEX(DATABASE!$AV$14:$BC$968,SUMPRODUCT((ROW(DATABASE!$AV$14:$AV$968)) * (DATABASE!$AV$14:IH$968='Résultats observations'!$A42 ) * (DATABASE!$AW$14:$AW$968= AR$4))-ROW(DATABASE!$AV$14)+1,AR$5)),"")</f>
        <v>-2.8363751269933832</v>
      </c>
      <c r="AS42" s="33" cm="1">
        <f t="array" ref="AS42">IFERROR(_xlfn.SINGLE(INDEX(DATABASE!$AV$14:$BC$968,SUMPRODUCT((ROW(DATABASE!$AV$14:$AV$968)) * (DATABASE!$AV$14:II$968='Résultats observations'!$A42 ) * (DATABASE!$AW$14:$AW$968= AS$4))-ROW(DATABASE!$AV$14)+1,AS$5)),"")</f>
        <v>1.4297942025066129E-2</v>
      </c>
      <c r="AT42" s="33" cm="1">
        <f t="array" ref="AT42">IFERROR(_xlfn.SINGLE(INDEX(DATABASE!$AV$14:$BC$968,SUMPRODUCT((ROW(DATABASE!$AV$14:$AV$968)) * (DATABASE!$AV$14:IJ$968='Résultats observations'!$A42 ) * (DATABASE!$AW$14:$AW$968= AT$4))-ROW(DATABASE!$AV$14)+1,AT$5)),"")</f>
        <v>1.1711999999999989</v>
      </c>
      <c r="AU42" s="34"/>
      <c r="AV42" s="35">
        <f t="shared" ref="AV42" si="749">IF(AI42="","",(AI42-AI$10)*1000)</f>
        <v>-2.0600768425342864</v>
      </c>
      <c r="AW42" s="35">
        <f t="shared" ref="AW42" si="750">IF(AJ42="","",(AJ42-AJ$10)*1000)</f>
        <v>-7.7997342223934743E-2</v>
      </c>
      <c r="AX42" s="35">
        <f t="shared" ref="AX42" si="751">IF(AK42="","",(AK42-AK$10)*1000)</f>
        <v>-4.0999999999939973</v>
      </c>
      <c r="AY42" s="35">
        <f t="shared" ref="AY42" si="752">IF(AL42="","",(AL42-AL$11)*1000)</f>
        <v>-1.6727280869166528</v>
      </c>
      <c r="AZ42" s="35">
        <f t="shared" ref="AZ42" si="753">IF(AM42="","",(AM42-AM$11)*1000)</f>
        <v>2.6404509680058688</v>
      </c>
      <c r="BA42" s="35">
        <f t="shared" ref="BA42" si="754">IF(AN42="","",(AN42-AN$11)*1000)</f>
        <v>-2.3999999999944066</v>
      </c>
      <c r="BB42" s="35">
        <f t="shared" ref="BB42" si="755">IF(AO42="","",(AO42-AO$14)*1000)</f>
        <v>-7.3401132235999533</v>
      </c>
      <c r="BC42" s="35">
        <f t="shared" ref="BC42" si="756">IF(AP42="","",(AP42-AP$14)*1000)</f>
        <v>-0.11286445677592682</v>
      </c>
      <c r="BD42" s="35">
        <f t="shared" ref="BD42" si="757">IF(AQ42="","",(AQ42-AQ$14)*1000)</f>
        <v>-3.5999999999916099</v>
      </c>
      <c r="BE42" s="35">
        <f t="shared" ref="BE42" si="758">IF(AR42="","",(AR42-AR$10)*1000)</f>
        <v>0.10566211093365752</v>
      </c>
      <c r="BF42" s="35">
        <f t="shared" ref="BF42" si="759">IF(AS42="","",(AS42-AS$10)*1000)</f>
        <v>-0.22657334484610034</v>
      </c>
      <c r="BG42" s="35">
        <f t="shared" ref="BG42" si="760">IF(AT42="","",(AT42-AT$10)*1000)</f>
        <v>1.4210854715202004E-11</v>
      </c>
    </row>
    <row r="43" spans="1:59" s="57" customFormat="1" ht="29.25" customHeight="1">
      <c r="A43" s="172">
        <v>45722</v>
      </c>
      <c r="B43" s="25">
        <f t="shared" ref="B43" si="761">A43-A$10</f>
        <v>190</v>
      </c>
      <c r="C43" s="80" cm="1">
        <f t="array" ref="C43">IFERROR(_xlfn.SINGLE(INDEX(DATABASE!$AV$14:$BC$968,SUMPRODUCT((ROW(DATABASE!$AV$14:$AV$968)) * (DATABASE!AV$14:$AV$968='Résultats observations'!$A43 ) * (DATABASE!$AW$14:$AW$968= C$4))-ROW(DATABASE!$AV$14)+1,C$5)),"")</f>
        <v>823147.64989999996</v>
      </c>
      <c r="D43" s="158" cm="1">
        <f t="array" ref="D43">IFERROR(_xlfn.SINGLE(INDEX(DATABASE!$AV$14:$BC$968,SUMPRODUCT((ROW(DATABASE!$AV$14:$AV$968)) * (DATABASE!$AV$14:AW$968='Résultats observations'!$A43 ) * (DATABASE!$AW$14:$AW$968= D$4))-ROW(DATABASE!$AV$14)+1,D$5)),"")</f>
        <v>1091710.0837000001</v>
      </c>
      <c r="E43" s="158" cm="1">
        <f t="array" ref="E43">IFERROR(_xlfn.SINGLE(INDEX(DATABASE!$AV$14:$BC$968,SUMPRODUCT((ROW(DATABASE!$AV$14:$AV$968)) * (DATABASE!$AV$14:AX$968='Résultats observations'!$A43 ) * (DATABASE!$AW$14:$AW$968= E$4))-ROW(DATABASE!$AV$14)+1,E$5)),"")</f>
        <v>-121.5719</v>
      </c>
      <c r="F43" s="158" cm="1">
        <f t="array" ref="F43">IFERROR(_xlfn.SINGLE(INDEX(DATABASE!$AV$14:$BC$968,SUMPRODUCT((ROW(DATABASE!$AV$14:$AV$968)) * (DATABASE!$AV$14:AY$968='Résultats observations'!$A43 ) * (DATABASE!$AW$14:$AW$968= F$4))-ROW(DATABASE!$AV$14)+1,F$5)),"")</f>
        <v>823147.59290000005</v>
      </c>
      <c r="G43" s="158" cm="1">
        <f t="array" ref="G43">IFERROR(_xlfn.SINGLE(INDEX(DATABASE!$AV$14:$BC$968,SUMPRODUCT((ROW(DATABASE!$AV$14:$AV$968)) * (DATABASE!$AV$14:AZ$968='Résultats observations'!$A43 ) * (DATABASE!$AW$14:$AW$968= G$4))-ROW(DATABASE!$AV$14)+1,G$5)),"")</f>
        <v>1091710.2514</v>
      </c>
      <c r="H43" s="158" cm="1">
        <f t="array" ref="H43">IFERROR(_xlfn.SINGLE(INDEX(DATABASE!$AV$14:$BC$968,SUMPRODUCT((ROW(DATABASE!$AV$14:$AV$968)) * (DATABASE!$AV$14:BA$968='Résultats observations'!$A43 ) * (DATABASE!$AW$14:$AW$968= H$4))-ROW(DATABASE!$AV$14)+1,H$5)),"")</f>
        <v>-121.90989999999999</v>
      </c>
      <c r="I43" s="167" cm="1">
        <f t="array" ref="I43">IFERROR(_xlfn.SINGLE(INDEX(DATABASE!$AV$14:$BC$968,SUMPRODUCT((ROW(DATABASE!$AV$14:$AV$968)) * (DATABASE!$AV$14:BB$968='Résultats observations'!$A43 ) * (DATABASE!$AW$14:$AW$968= I$4))-ROW(DATABASE!$AV$14)+1,I$5)),"")</f>
        <v>823147.56920000003</v>
      </c>
      <c r="J43" s="167" cm="1">
        <f t="array" ref="J43">IFERROR(_xlfn.SINGLE(INDEX(DATABASE!$AV$14:$BC$968,SUMPRODUCT((ROW(DATABASE!$AV$14:$AV$968)) * (DATABASE!$AV$14:BC$968='Résultats observations'!$A43 ) * (DATABASE!$AW$14:$AW$968= J$4))-ROW(DATABASE!$AV$14)+1,J$5)),"")</f>
        <v>1091710.4036999999</v>
      </c>
      <c r="K43" s="167" cm="1">
        <f t="array" ref="K43">IFERROR(_xlfn.SINGLE(INDEX(DATABASE!$AV$14:$BC$968,SUMPRODUCT((ROW(DATABASE!$AV$14:$AV$968)) * (DATABASE!$AV$14:BD$968='Résultats observations'!$A43 ) * (DATABASE!$AW$14:$AW$968= K$4))-ROW(DATABASE!$AV$14)+1,K$5)),"")</f>
        <v>-122.357</v>
      </c>
      <c r="L43" s="158" cm="1">
        <f t="array" ref="L43">IFERROR(_xlfn.SINGLE(INDEX(DATABASE!$AV$14:$BC$968,SUMPRODUCT((ROW(DATABASE!$AV$14:$AV$968)) * (DATABASE!$AV$14:BE$968='Résultats observations'!$A43 ) * (DATABASE!$AW$14:$AW$968= L$4))-ROW(DATABASE!$AV$14)+1,L$5)),"")</f>
        <v>823149.98950000003</v>
      </c>
      <c r="M43" s="158" cm="1">
        <f t="array" ref="M43">IFERROR(_xlfn.SINGLE(INDEX(DATABASE!$AV$14:$BC$968,SUMPRODUCT((ROW(DATABASE!$AV$14:$AV$968)) * (DATABASE!$AV$14:BF$968='Résultats observations'!$A43 ) * (DATABASE!$AW$14:$AW$968= M$4))-ROW(DATABASE!$AV$14)+1,M$5)),"")</f>
        <v>1091705.0821</v>
      </c>
      <c r="N43" s="158" cm="1">
        <f t="array" ref="N43">IFERROR(_xlfn.SINGLE(INDEX(DATABASE!$AV$14:$BC$968,SUMPRODUCT((ROW(DATABASE!$AV$14:$AV$968)) * (DATABASE!$AV$14:BG$968='Résultats observations'!$A43 ) * (DATABASE!$AW$14:$AW$968= N$4))-ROW(DATABASE!$AV$14)+1,N$5)),"")</f>
        <v>-121.7831</v>
      </c>
      <c r="O43" s="33">
        <f t="shared" si="0"/>
        <v>5.5257882841331796</v>
      </c>
      <c r="P43" s="33">
        <f t="shared" si="1"/>
        <v>5.6992483968838643</v>
      </c>
      <c r="Q43" s="33">
        <f t="shared" si="2"/>
        <v>5.8742352573773138</v>
      </c>
      <c r="R43" s="35">
        <f t="shared" ref="R43" si="762">IF(O43="","",(O43-O$10)*1000)</f>
        <v>-2.5862710230022401</v>
      </c>
      <c r="S43" s="35">
        <f t="shared" ref="S43" si="763">IF(P43="","",(P43-P$11)*1000)</f>
        <v>-1.6314737515017441</v>
      </c>
      <c r="T43" s="35">
        <f t="shared" ref="T43" si="764">IF(Q43="","",(Q43-Q$14)*1000)</f>
        <v>-7.3726130549465196</v>
      </c>
      <c r="U43" s="34"/>
      <c r="V43" s="35">
        <f t="shared" ref="V43" si="765">IF(C43="","",(C43-C$10)*1000)</f>
        <v>1.0999999940395355</v>
      </c>
      <c r="W43" s="35">
        <f t="shared" ref="W43" si="766">IF(D43="","",(D43-D$10)*1000)</f>
        <v>-1.999999862164259</v>
      </c>
      <c r="X43" s="35">
        <f t="shared" ref="X43" si="767">IF(E43="","",(E43-E$10)*1000)</f>
        <v>-4.4999999999930651</v>
      </c>
      <c r="Y43" s="35">
        <f t="shared" ref="Y43" si="768">IF(F43="","",(F43-F$11)*1000)</f>
        <v>2.7000000700354576</v>
      </c>
      <c r="Z43" s="35">
        <f t="shared" ref="Z43" si="769">IF(G43="","",(G43-G$11)*1000)</f>
        <v>-0.50000008195638657</v>
      </c>
      <c r="AA43" s="35">
        <f t="shared" ref="AA43" si="770">IF(H43="","",(H43-H$11)*1000)</f>
        <v>-2.6999999999901547</v>
      </c>
      <c r="AB43" s="35">
        <f t="shared" ref="AB43" si="771">IF(I43="","",(I43-I$14)*1000)</f>
        <v>3.7000000011175871</v>
      </c>
      <c r="AC43" s="35">
        <f t="shared" ref="AC43" si="772">IF(J43="","",(J43-J$14)*1000)</f>
        <v>-6.6000001970678568</v>
      </c>
      <c r="AD43" s="35">
        <f t="shared" ref="AD43" si="773">IF(K43="","",(K43-K$14)*1000)</f>
        <v>-3.2999999999958618</v>
      </c>
      <c r="AE43" s="35">
        <f t="shared" ref="AE43" si="774">IF(L43="","",(L43-L$10)*1000)</f>
        <v>-0.3499999875202775</v>
      </c>
      <c r="AF43" s="35">
        <f t="shared" ref="AF43" si="775">IF(M43="","",(M43-M$10)*1000)</f>
        <v>0</v>
      </c>
      <c r="AG43" s="35">
        <f t="shared" ref="AG43" si="776">IF(N43="","",(N43-N$10)*1000)</f>
        <v>-0.29999999999574811</v>
      </c>
      <c r="AH43" s="34"/>
      <c r="AI43" s="33" cm="1">
        <f t="array" ref="AI43">IFERROR(_xlfn.SINGLE(INDEX(DATABASE!$AV$14:$BC$968,SUMPRODUCT((ROW(DATABASE!$AV$14:$AV$968)) * (DATABASE!$AV$14:HY$968='Résultats observations'!$A43 ) * (DATABASE!$AW$14:$AW$968= AI$4))-ROW(DATABASE!$AV$14)+1,AI$5)),"")</f>
        <v>2.6854140694444029</v>
      </c>
      <c r="AJ43" s="33" cm="1">
        <f t="array" ref="AJ43">IFERROR(_xlfn.SINGLE(INDEX(DATABASE!$AV$14:$BC$968,SUMPRODUCT((ROW(DATABASE!$AV$14:$AV$968)) * (DATABASE!$AV$14:HZ$968='Résultats observations'!$A43 ) * (DATABASE!$AW$14:$AW$968= AJ$4))-ROW(DATABASE!$AV$14)+1,AJ$5)),"")</f>
        <v>7.7617764006603761E-3</v>
      </c>
      <c r="AK43" s="33" cm="1">
        <f t="array" ref="AK43">IFERROR(_xlfn.SINGLE(INDEX(DATABASE!$AV$14:$BC$968,SUMPRODUCT((ROW(DATABASE!$AV$14:$AV$968)) * (DATABASE!$AV$14:IA$968='Résultats observations'!$A43 ) * (DATABASE!$AW$14:$AW$968= AK$4))-ROW(DATABASE!$AV$14)+1,AK$5)),"")</f>
        <v>1.3820999999999941</v>
      </c>
      <c r="AL43" s="33" cm="1">
        <f t="array" ref="AL43">IFERROR(_xlfn.SINGLE(INDEX(DATABASE!$AV$14:$BC$968,SUMPRODUCT((ROW(DATABASE!$AV$14:$AV$968)) * (DATABASE!$AV$14:IB$968='Résultats observations'!$A43 ) * (DATABASE!$AW$14:$AW$968= AL$4))-ROW(DATABASE!$AV$14)+1,AL$5)),"")</f>
        <v>2.8614904834400994</v>
      </c>
      <c r="AM43" s="33" cm="1">
        <f t="array" ref="AM43">IFERROR(_xlfn.SINGLE(INDEX(DATABASE!$AV$14:$BC$968,SUMPRODUCT((ROW(DATABASE!$AV$14:$AV$968)) * (DATABASE!$AV$14:IC$968='Résultats observations'!$A43 ) * (DATABASE!$AW$14:$AW$968= AM$4))-ROW(DATABASE!$AV$14)+1,AM$5)),"")</f>
        <v>2.6981203614689746E-2</v>
      </c>
      <c r="AN43" s="33" cm="1">
        <f t="array" ref="AN43">IFERROR(_xlfn.SINGLE(INDEX(DATABASE!$AV$14:$BC$968,SUMPRODUCT((ROW(DATABASE!$AV$14:$AV$968)) * (DATABASE!$AV$14:ID$968='Résultats observations'!$A43 ) * (DATABASE!$AW$14:$AW$968= AN$4))-ROW(DATABASE!$AV$14)+1,AN$5)),"")</f>
        <v>1.0441000000000003</v>
      </c>
      <c r="AO43" s="167" cm="1">
        <f t="array" ref="AO43">IFERROR(_xlfn.SINGLE(INDEX(DATABASE!$AV$14:$BC$968,SUMPRODUCT((ROW(DATABASE!$AV$14:$AV$968)) * (DATABASE!$AV$14:IE$968='Résultats observations'!$A43 ) * (DATABASE!$AW$14:$AW$968= AO$4))-ROW(DATABASE!$AV$14)+1,AO$5)),"")</f>
        <v>3.0095357778792278</v>
      </c>
      <c r="AP43" s="167" cm="1">
        <f t="array" ref="AP43">IFERROR(_xlfn.SINGLE(INDEX(DATABASE!$AV$14:$BC$968,SUMPRODUCT((ROW(DATABASE!$AV$14:$AV$968)) * (DATABASE!$AV$14:IF$968='Résultats observations'!$A43 ) * (DATABASE!$AW$14:$AW$968= AP$4))-ROW(DATABASE!$AV$14)+1,AP$5)),"")</f>
        <v>6.9871421410186443E-2</v>
      </c>
      <c r="AQ43" s="167" cm="1">
        <f t="array" ref="AQ43">IFERROR(_xlfn.SINGLE(INDEX(DATABASE!$AV$14:$BC$968,SUMPRODUCT((ROW(DATABASE!$AV$14:$AV$968)) * (DATABASE!$AV$14:IG$968='Résultats observations'!$A43 ) * (DATABASE!$AW$14:$AW$968= AQ$4))-ROW(DATABASE!$AV$14)+1,AQ$5)),"")</f>
        <v>0.5969999999999942</v>
      </c>
      <c r="AR43" s="33" cm="1">
        <f t="array" ref="AR43">IFERROR(_xlfn.SINGLE(INDEX(DATABASE!$AV$14:$BC$968,SUMPRODUCT((ROW(DATABASE!$AV$14:$AV$968)) * (DATABASE!$AV$14:IH$968='Résultats observations'!$A43 ) * (DATABASE!$AW$14:$AW$968= AR$4))-ROW(DATABASE!$AV$14)+1,AR$5)),"")</f>
        <v>-2.8363328621096477</v>
      </c>
      <c r="AS43" s="33" cm="1">
        <f t="array" ref="AS43">IFERROR(_xlfn.SINGLE(INDEX(DATABASE!$AV$14:$BC$968,SUMPRODUCT((ROW(DATABASE!$AV$14:$AV$968)) * (DATABASE!$AV$14:II$968='Résultats observations'!$A43 ) * (DATABASE!$AW$14:$AW$968= AS$4))-ROW(DATABASE!$AV$14)+1,AS$5)),"")</f>
        <v>1.4207312602723262E-2</v>
      </c>
      <c r="AT43" s="33" cm="1">
        <f t="array" ref="AT43">IFERROR(_xlfn.SINGLE(INDEX(DATABASE!$AV$14:$BC$968,SUMPRODUCT((ROW(DATABASE!$AV$14:$AV$968)) * (DATABASE!$AV$14:IJ$968='Résultats observations'!$A43 ) * (DATABASE!$AW$14:$AW$968= AT$4))-ROW(DATABASE!$AV$14)+1,AT$5)),"")</f>
        <v>1.1708999999999889</v>
      </c>
      <c r="AU43" s="34"/>
      <c r="AV43" s="35">
        <f t="shared" ref="AV43" si="777">IF(AI43="","",(AI43-AI$10)*1000)</f>
        <v>-2.277500606665761</v>
      </c>
      <c r="AW43" s="35">
        <f t="shared" ref="AW43" si="778">IF(AJ43="","",(AJ43-AJ$10)*1000)</f>
        <v>0.15162592846330955</v>
      </c>
      <c r="AX43" s="35">
        <f t="shared" ref="AX43" si="779">IF(AK43="","",(AK43-AK$10)*1000)</f>
        <v>-4.4999999999930651</v>
      </c>
      <c r="AY43" s="35">
        <f t="shared" ref="AY43" si="780">IF(AL43="","",(AL43-AL$11)*1000)</f>
        <v>-1.594298072724154</v>
      </c>
      <c r="AZ43" s="35">
        <f t="shared" ref="AZ43" si="781">IF(AM43="","",(AM43-AM$11)*1000)</f>
        <v>2.235668605911175</v>
      </c>
      <c r="BA43" s="35">
        <f t="shared" ref="BA43" si="782">IF(AN43="","",(AN43-AN$11)*1000)</f>
        <v>-2.6999999999901547</v>
      </c>
      <c r="BB43" s="35">
        <f t="shared" ref="BB43" si="783">IF(AO43="","",(AO43-AO$14)*1000)</f>
        <v>-7.5453380016070604</v>
      </c>
      <c r="BC43" s="35">
        <f t="shared" ref="BC43" si="784">IF(AP43="","",(AP43-AP$14)*1000)</f>
        <v>0.56380586293058865</v>
      </c>
      <c r="BD43" s="35">
        <f t="shared" ref="BD43" si="785">IF(AQ43="","",(AQ43-AQ$14)*1000)</f>
        <v>-3.2999999999958618</v>
      </c>
      <c r="BE43" s="35">
        <f t="shared" ref="BE43" si="786">IF(AR43="","",(AR43-AR$10)*1000)</f>
        <v>0.14792699466914527</v>
      </c>
      <c r="BF43" s="35">
        <f t="shared" ref="BF43" si="787">IF(AS43="","",(AS43-AS$10)*1000)</f>
        <v>-0.31720276718896767</v>
      </c>
      <c r="BG43" s="35">
        <f t="shared" ref="BG43" si="788">IF(AT43="","",(AT43-AT$10)*1000)</f>
        <v>-0.29999999999574811</v>
      </c>
    </row>
    <row r="44" spans="1:59" s="57" customFormat="1" ht="29.25" customHeight="1">
      <c r="A44" s="172">
        <v>45729</v>
      </c>
      <c r="B44" s="25">
        <f t="shared" ref="B44" si="789">A44-A$10</f>
        <v>197</v>
      </c>
      <c r="C44" s="80" cm="1">
        <f t="array" ref="C44">IFERROR(_xlfn.SINGLE(INDEX(DATABASE!$AV$14:$BC$968,SUMPRODUCT((ROW(DATABASE!$AV$14:$AV$968)) * (DATABASE!AV$14:$AV$968='Résultats observations'!$A44 ) * (DATABASE!$AW$14:$AW$968= C$4))-ROW(DATABASE!$AV$14)+1,C$5)),"")</f>
        <v>823147.65029999998</v>
      </c>
      <c r="D44" s="158" cm="1">
        <f t="array" ref="D44">IFERROR(_xlfn.SINGLE(INDEX(DATABASE!$AV$14:$BC$968,SUMPRODUCT((ROW(DATABASE!$AV$14:$AV$968)) * (DATABASE!$AV$14:AW$968='Résultats observations'!$A44 ) * (DATABASE!$AW$14:$AW$968= D$4))-ROW(DATABASE!$AV$14)+1,D$5)),"")</f>
        <v>1091710.0837999999</v>
      </c>
      <c r="E44" s="158" cm="1">
        <f t="array" ref="E44">IFERROR(_xlfn.SINGLE(INDEX(DATABASE!$AV$14:$BC$968,SUMPRODUCT((ROW(DATABASE!$AV$14:$AV$968)) * (DATABASE!$AV$14:AX$968='Résultats observations'!$A44 ) * (DATABASE!$AW$14:$AW$968= E$4))-ROW(DATABASE!$AV$14)+1,E$5)),"")</f>
        <v>-121.57170000000001</v>
      </c>
      <c r="F44" s="158" cm="1">
        <f t="array" ref="F44">IFERROR(_xlfn.SINGLE(INDEX(DATABASE!$AV$14:$BC$968,SUMPRODUCT((ROW(DATABASE!$AV$14:$AV$968)) * (DATABASE!$AV$14:AY$968='Résultats observations'!$A44 ) * (DATABASE!$AW$14:$AW$968= F$4))-ROW(DATABASE!$AV$14)+1,F$5)),"")</f>
        <v>823147.59299999999</v>
      </c>
      <c r="G44" s="158" cm="1">
        <f t="array" ref="G44">IFERROR(_xlfn.SINGLE(INDEX(DATABASE!$AV$14:$BC$968,SUMPRODUCT((ROW(DATABASE!$AV$14:$AV$968)) * (DATABASE!$AV$14:AZ$968='Résultats observations'!$A44 ) * (DATABASE!$AW$14:$AW$968= G$4))-ROW(DATABASE!$AV$14)+1,G$5)),"")</f>
        <v>1091710.2505000001</v>
      </c>
      <c r="H44" s="158" cm="1">
        <f t="array" ref="H44">IFERROR(_xlfn.SINGLE(INDEX(DATABASE!$AV$14:$BC$968,SUMPRODUCT((ROW(DATABASE!$AV$14:$AV$968)) * (DATABASE!$AV$14:BA$968='Résultats observations'!$A44 ) * (DATABASE!$AW$14:$AW$968= H$4))-ROW(DATABASE!$AV$14)+1,H$5)),"")</f>
        <v>-121.90989999999999</v>
      </c>
      <c r="I44" s="167" cm="1">
        <f t="array" ref="I44">IFERROR(_xlfn.SINGLE(INDEX(DATABASE!$AV$14:$BC$968,SUMPRODUCT((ROW(DATABASE!$AV$14:$AV$968)) * (DATABASE!$AV$14:BB$968='Résultats observations'!$A44 ) * (DATABASE!$AW$14:$AW$968= I$4))-ROW(DATABASE!$AV$14)+1,I$5)),"")</f>
        <v>823147.56949999998</v>
      </c>
      <c r="J44" s="167" cm="1">
        <f t="array" ref="J44">IFERROR(_xlfn.SINGLE(INDEX(DATABASE!$AV$14:$BC$968,SUMPRODUCT((ROW(DATABASE!$AV$14:$AV$968)) * (DATABASE!$AV$14:BC$968='Résultats observations'!$A44 ) * (DATABASE!$AW$14:$AW$968= J$4))-ROW(DATABASE!$AV$14)+1,J$5)),"")</f>
        <v>1091710.4036999999</v>
      </c>
      <c r="K44" s="167" cm="1">
        <f t="array" ref="K44">IFERROR(_xlfn.SINGLE(INDEX(DATABASE!$AV$14:$BC$968,SUMPRODUCT((ROW(DATABASE!$AV$14:$AV$968)) * (DATABASE!$AV$14:BD$968='Résultats observations'!$A44 ) * (DATABASE!$AW$14:$AW$968= K$4))-ROW(DATABASE!$AV$14)+1,K$5)),"")</f>
        <v>-122.3573</v>
      </c>
      <c r="L44" s="158" cm="1">
        <f t="array" ref="L44">IFERROR(_xlfn.SINGLE(INDEX(DATABASE!$AV$14:$BC$968,SUMPRODUCT((ROW(DATABASE!$AV$14:$AV$968)) * (DATABASE!$AV$14:BE$968='Résultats observations'!$A44 ) * (DATABASE!$AW$14:$AW$968= L$4))-ROW(DATABASE!$AV$14)+1,L$5)),"")</f>
        <v>823149.98970000003</v>
      </c>
      <c r="M44" s="158" cm="1">
        <f t="array" ref="M44">IFERROR(_xlfn.SINGLE(INDEX(DATABASE!$AV$14:$BC$968,SUMPRODUCT((ROW(DATABASE!$AV$14:$AV$968)) * (DATABASE!$AV$14:BF$968='Résultats observations'!$A44 ) * (DATABASE!$AW$14:$AW$968= M$4))-ROW(DATABASE!$AV$14)+1,M$5)),"")</f>
        <v>1091705.0821</v>
      </c>
      <c r="N44" s="158" cm="1">
        <f t="array" ref="N44">IFERROR(_xlfn.SINGLE(INDEX(DATABASE!$AV$14:$BC$968,SUMPRODUCT((ROW(DATABASE!$AV$14:$AV$968)) * (DATABASE!$AV$14:BG$968='Résultats observations'!$A44 ) * (DATABASE!$AW$14:$AW$968= N$4))-ROW(DATABASE!$AV$14)+1,N$5)),"")</f>
        <v>-121.7831</v>
      </c>
      <c r="O44" s="33">
        <f t="shared" si="0"/>
        <v>5.5258017707224845</v>
      </c>
      <c r="P44" s="33">
        <f t="shared" si="1"/>
        <v>5.6984741546354618</v>
      </c>
      <c r="Q44" s="33">
        <f t="shared" si="2"/>
        <v>5.874223373287184</v>
      </c>
      <c r="R44" s="35">
        <f t="shared" ref="R44" si="790">IF(O44="","",(O44-O$10)*1000)</f>
        <v>-2.5727844336973504</v>
      </c>
      <c r="S44" s="35">
        <f t="shared" ref="S44" si="791">IF(P44="","",(P44-P$11)*1000)</f>
        <v>-2.4057159999042455</v>
      </c>
      <c r="T44" s="35">
        <f t="shared" ref="T44" si="792">IF(Q44="","",(Q44-Q$14)*1000)</f>
        <v>-7.3844971450762742</v>
      </c>
      <c r="U44" s="34"/>
      <c r="V44" s="35">
        <f t="shared" ref="V44" si="793">IF(C44="","",(C44-C$10)*1000)</f>
        <v>1.500000013038516</v>
      </c>
      <c r="W44" s="35">
        <f t="shared" ref="W44" si="794">IF(D44="","",(D44-D$10)*1000)</f>
        <v>-1.9000000320374966</v>
      </c>
      <c r="X44" s="35">
        <f t="shared" ref="X44" si="795">IF(E44="","",(E44-E$10)*1000)</f>
        <v>-4.3000000000006366</v>
      </c>
      <c r="Y44" s="35">
        <f t="shared" ref="Y44" si="796">IF(F44="","",(F44-F$11)*1000)</f>
        <v>2.8000000165775418</v>
      </c>
      <c r="Z44" s="35">
        <f t="shared" ref="Z44" si="797">IF(G44="","",(G44-G$11)*1000)</f>
        <v>-1.39999995008111</v>
      </c>
      <c r="AA44" s="35">
        <f t="shared" ref="AA44" si="798">IF(H44="","",(H44-H$11)*1000)</f>
        <v>-2.6999999999901547</v>
      </c>
      <c r="AB44" s="35">
        <f t="shared" ref="AB44" si="799">IF(I44="","",(I44-I$14)*1000)</f>
        <v>3.9999999571591616</v>
      </c>
      <c r="AC44" s="35">
        <f t="shared" ref="AC44" si="800">IF(J44="","",(J44-J$14)*1000)</f>
        <v>-6.6000001970678568</v>
      </c>
      <c r="AD44" s="35">
        <f t="shared" ref="AD44" si="801">IF(K44="","",(K44-K$14)*1000)</f>
        <v>-3.5999999999916099</v>
      </c>
      <c r="AE44" s="35">
        <f t="shared" ref="AE44" si="802">IF(L44="","",(L44-L$10)*1000)</f>
        <v>-0.14999997802078724</v>
      </c>
      <c r="AF44" s="35">
        <f t="shared" ref="AF44" si="803">IF(M44="","",(M44-M$10)*1000)</f>
        <v>0</v>
      </c>
      <c r="AG44" s="35">
        <f t="shared" ref="AG44" si="804">IF(N44="","",(N44-N$10)*1000)</f>
        <v>-0.29999999999574811</v>
      </c>
      <c r="AH44" s="34"/>
      <c r="AI44" s="33" cm="1">
        <f t="array" ref="AI44">IFERROR(_xlfn.SINGLE(INDEX(DATABASE!$AV$14:$BC$968,SUMPRODUCT((ROW(DATABASE!$AV$14:$AV$968)) * (DATABASE!$AV$14:HY$968='Résultats observations'!$A44 ) * (DATABASE!$AW$14:$AW$968= AI$4))-ROW(DATABASE!$AV$14)+1,AI$5)),"")</f>
        <v>2.6853356392191969</v>
      </c>
      <c r="AJ44" s="33" cm="1">
        <f t="array" ref="AJ44">IFERROR(_xlfn.SINGLE(INDEX(DATABASE!$AV$14:$BC$968,SUMPRODUCT((ROW(DATABASE!$AV$14:$AV$968)) * (DATABASE!$AV$14:HZ$968='Résultats observations'!$A44 ) * (DATABASE!$AW$14:$AW$968= AJ$4))-ROW(DATABASE!$AV$14)+1,AJ$5)),"")</f>
        <v>8.1665586643506101E-3</v>
      </c>
      <c r="AK44" s="33" cm="1">
        <f t="array" ref="AK44">IFERROR(_xlfn.SINGLE(INDEX(DATABASE!$AV$14:$BC$968,SUMPRODUCT((ROW(DATABASE!$AV$14:$AV$968)) * (DATABASE!$AV$14:IA$968='Résultats observations'!$A44 ) * (DATABASE!$AW$14:$AW$968= AK$4))-ROW(DATABASE!$AV$14)+1,AK$5)),"")</f>
        <v>1.3822999999999865</v>
      </c>
      <c r="AL44" s="33" cm="1">
        <f t="array" ref="AL44">IFERROR(_xlfn.SINGLE(INDEX(DATABASE!$AV$14:$BC$968,SUMPRODUCT((ROW(DATABASE!$AV$14:$AV$968)) * (DATABASE!$AV$14:IB$968='Résultats observations'!$A44 ) * (DATABASE!$AW$14:$AW$968= AL$4))-ROW(DATABASE!$AV$14)+1,AL$5)),"")</f>
        <v>2.8606325544375149</v>
      </c>
      <c r="AM44" s="33" cm="1">
        <f t="array" ref="AM44">IFERROR(_xlfn.SINGLE(INDEX(DATABASE!$AV$14:$BC$968,SUMPRODUCT((ROW(DATABASE!$AV$14:$AV$968)) * (DATABASE!$AV$14:IC$968='Résultats observations'!$A44 ) * (DATABASE!$AW$14:$AW$968= AM$4))-ROW(DATABASE!$AV$14)+1,AM$5)),"")</f>
        <v>2.6691449273121698E-2</v>
      </c>
      <c r="AN44" s="33" cm="1">
        <f t="array" ref="AN44">IFERROR(_xlfn.SINGLE(INDEX(DATABASE!$AV$14:$BC$968,SUMPRODUCT((ROW(DATABASE!$AV$14:$AV$968)) * (DATABASE!$AV$14:ID$968='Résultats observations'!$A44 ) * (DATABASE!$AW$14:$AW$968= AN$4))-ROW(DATABASE!$AV$14)+1,AN$5)),"")</f>
        <v>1.0441000000000003</v>
      </c>
      <c r="AO44" s="167" cm="1">
        <f t="array" ref="AO44">IFERROR(_xlfn.SINGLE(INDEX(DATABASE!$AV$14:$BC$968,SUMPRODUCT((ROW(DATABASE!$AV$14:$AV$968)) * (DATABASE!$AV$14:IE$968='Résultats observations'!$A44 ) * (DATABASE!$AW$14:$AW$968= AO$4))-ROW(DATABASE!$AV$14)+1,AO$5)),"")</f>
        <v>3.009408983326427</v>
      </c>
      <c r="AP44" s="167" cm="1">
        <f t="array" ref="AP44">IFERROR(_xlfn.SINGLE(INDEX(DATABASE!$AV$14:$BC$968,SUMPRODUCT((ROW(DATABASE!$AV$14:$AV$968)) * (DATABASE!$AV$14:IF$968='Résultats observations'!$A44 ) * (DATABASE!$AW$14:$AW$968= AP$4))-ROW(DATABASE!$AV$14)+1,AP$5)),"")</f>
        <v>7.0143309466205825E-2</v>
      </c>
      <c r="AQ44" s="167" cm="1">
        <f t="array" ref="AQ44">IFERROR(_xlfn.SINGLE(INDEX(DATABASE!$AV$14:$BC$968,SUMPRODUCT((ROW(DATABASE!$AV$14:$AV$968)) * (DATABASE!$AV$14:IG$968='Résultats observations'!$A44 ) * (DATABASE!$AW$14:$AW$968= AQ$4))-ROW(DATABASE!$AV$14)+1,AQ$5)),"")</f>
        <v>0.59669999999999845</v>
      </c>
      <c r="AR44" s="33" cm="1">
        <f t="array" ref="AR44">IFERROR(_xlfn.SINGLE(INDEX(DATABASE!$AV$14:$BC$968,SUMPRODUCT((ROW(DATABASE!$AV$14:$AV$968)) * (DATABASE!$AV$14:IH$968='Résultats observations'!$A44 ) * (DATABASE!$AW$14:$AW$968= AR$4))-ROW(DATABASE!$AV$14)+1,AR$5)),"")</f>
        <v>-2.8364173918279159</v>
      </c>
      <c r="AS44" s="33" cm="1">
        <f t="array" ref="AS44">IFERROR(_xlfn.SINGLE(INDEX(DATABASE!$AV$14:$BC$968,SUMPRODUCT((ROW(DATABASE!$AV$14:$AV$968)) * (DATABASE!$AV$14:II$968='Résultats observations'!$A44 ) * (DATABASE!$AW$14:$AW$968= AS$4))-ROW(DATABASE!$AV$14)+1,AS$5)),"")</f>
        <v>1.4388571341902934E-2</v>
      </c>
      <c r="AT44" s="33" cm="1">
        <f t="array" ref="AT44">IFERROR(_xlfn.SINGLE(INDEX(DATABASE!$AV$14:$BC$968,SUMPRODUCT((ROW(DATABASE!$AV$14:$AV$968)) * (DATABASE!$AV$14:IJ$968='Résultats observations'!$A44 ) * (DATABASE!$AW$14:$AW$968= AT$4))-ROW(DATABASE!$AV$14)+1,AT$5)),"")</f>
        <v>1.1708999999999889</v>
      </c>
      <c r="AU44" s="34"/>
      <c r="AV44" s="35">
        <f t="shared" ref="AV44" si="805">IF(AI44="","",(AI44-AI$10)*1000)</f>
        <v>-2.3559308318716887</v>
      </c>
      <c r="AW44" s="35">
        <f t="shared" ref="AW44" si="806">IF(AJ44="","",(AJ44-AJ$10)*1000)</f>
        <v>0.55640819215354353</v>
      </c>
      <c r="AX44" s="35">
        <f t="shared" ref="AX44" si="807">IF(AK44="","",(AK44-AK$10)*1000)</f>
        <v>-4.3000000000006366</v>
      </c>
      <c r="AY44" s="35">
        <f t="shared" ref="AY44" si="808">IF(AL44="","",(AL44-AL$11)*1000)</f>
        <v>-2.4522270753086772</v>
      </c>
      <c r="AZ44" s="35">
        <f t="shared" ref="AZ44" si="809">IF(AM44="","",(AM44-AM$11)*1000)</f>
        <v>1.9459142643431273</v>
      </c>
      <c r="BA44" s="35">
        <f t="shared" ref="BA44" si="810">IF(AN44="","",(AN44-AN$11)*1000)</f>
        <v>-2.6999999999901547</v>
      </c>
      <c r="BB44" s="35">
        <f t="shared" ref="BB44" si="811">IF(AO44="","",(AO44-AO$14)*1000)</f>
        <v>-7.6721325544077956</v>
      </c>
      <c r="BC44" s="35">
        <f t="shared" ref="BC44" si="812">IF(AP44="","",(AP44-AP$14)*1000)</f>
        <v>0.83569391894997014</v>
      </c>
      <c r="BD44" s="35">
        <f t="shared" ref="BD44" si="813">IF(AQ44="","",(AQ44-AQ$14)*1000)</f>
        <v>-3.5999999999916099</v>
      </c>
      <c r="BE44" s="35">
        <f t="shared" ref="BE44" si="814">IF(AR44="","",(AR44-AR$10)*1000)</f>
        <v>6.3397276401033764E-2</v>
      </c>
      <c r="BF44" s="35">
        <f t="shared" ref="BF44" si="815">IF(AS44="","",(AS44-AS$10)*1000)</f>
        <v>-0.13594402800929523</v>
      </c>
      <c r="BG44" s="35">
        <f t="shared" ref="BG44" si="816">IF(AT44="","",(AT44-AT$10)*1000)</f>
        <v>-0.29999999999574811</v>
      </c>
    </row>
    <row r="45" spans="1:59" s="57" customFormat="1" ht="29.25" customHeight="1">
      <c r="A45" s="172">
        <v>45733</v>
      </c>
      <c r="B45" s="25">
        <f t="shared" ref="B45" si="817">A45-A$10</f>
        <v>201</v>
      </c>
      <c r="C45" s="80" cm="1">
        <f t="array" ref="C45">IFERROR(_xlfn.SINGLE(INDEX(DATABASE!$AV$14:$BC$968,SUMPRODUCT((ROW(DATABASE!$AV$14:$AV$968)) * (DATABASE!AV$14:$AV$968='Résultats observations'!$A45 ) * (DATABASE!$AW$14:$AW$968= C$4))-ROW(DATABASE!$AV$14)+1,C$5)),"")</f>
        <v>823147.64989999996</v>
      </c>
      <c r="D45" s="158" cm="1">
        <f t="array" ref="D45">IFERROR(_xlfn.SINGLE(INDEX(DATABASE!$AV$14:$BC$968,SUMPRODUCT((ROW(DATABASE!$AV$14:$AV$968)) * (DATABASE!$AV$14:AW$968='Résultats observations'!$A45 ) * (DATABASE!$AW$14:$AW$968= D$4))-ROW(DATABASE!$AV$14)+1,D$5)),"")</f>
        <v>1091710.0839</v>
      </c>
      <c r="E45" s="158" cm="1">
        <f t="array" ref="E45">IFERROR(_xlfn.SINGLE(INDEX(DATABASE!$AV$14:$BC$968,SUMPRODUCT((ROW(DATABASE!$AV$14:$AV$968)) * (DATABASE!$AV$14:AX$968='Résultats observations'!$A45 ) * (DATABASE!$AW$14:$AW$968= E$4))-ROW(DATABASE!$AV$14)+1,E$5)),"")</f>
        <v>-121.572</v>
      </c>
      <c r="F45" s="158" cm="1">
        <f t="array" ref="F45">IFERROR(_xlfn.SINGLE(INDEX(DATABASE!$AV$14:$BC$968,SUMPRODUCT((ROW(DATABASE!$AV$14:$AV$968)) * (DATABASE!$AV$14:AY$968='Résultats observations'!$A45 ) * (DATABASE!$AW$14:$AW$968= F$4))-ROW(DATABASE!$AV$14)+1,F$5)),"")</f>
        <v>823147.59299999999</v>
      </c>
      <c r="G45" s="158" cm="1">
        <f t="array" ref="G45">IFERROR(_xlfn.SINGLE(INDEX(DATABASE!$AV$14:$BC$968,SUMPRODUCT((ROW(DATABASE!$AV$14:$AV$968)) * (DATABASE!$AV$14:AZ$968='Résultats observations'!$A45 ) * (DATABASE!$AW$14:$AW$968= G$4))-ROW(DATABASE!$AV$14)+1,G$5)),"")</f>
        <v>1091710.2509000001</v>
      </c>
      <c r="H45" s="158" cm="1">
        <f t="array" ref="H45">IFERROR(_xlfn.SINGLE(INDEX(DATABASE!$AV$14:$BC$968,SUMPRODUCT((ROW(DATABASE!$AV$14:$AV$968)) * (DATABASE!$AV$14:BA$968='Résultats observations'!$A45 ) * (DATABASE!$AW$14:$AW$968= H$4))-ROW(DATABASE!$AV$14)+1,H$5)),"")</f>
        <v>-121.9102</v>
      </c>
      <c r="I45" s="167" cm="1">
        <f t="array" ref="I45">IFERROR(_xlfn.SINGLE(INDEX(DATABASE!$AV$14:$BC$968,SUMPRODUCT((ROW(DATABASE!$AV$14:$AV$968)) * (DATABASE!$AV$14:BB$968='Résultats observations'!$A45 ) * (DATABASE!$AW$14:$AW$968= I$4))-ROW(DATABASE!$AV$14)+1,I$5)),"")</f>
        <v>823147.56909999996</v>
      </c>
      <c r="J45" s="167" cm="1">
        <f t="array" ref="J45">IFERROR(_xlfn.SINGLE(INDEX(DATABASE!$AV$14:$BC$968,SUMPRODUCT((ROW(DATABASE!$AV$14:$AV$968)) * (DATABASE!$AV$14:BC$968='Résultats observations'!$A45 ) * (DATABASE!$AW$14:$AW$968= J$4))-ROW(DATABASE!$AV$14)+1,J$5)),"")</f>
        <v>1091710.4035</v>
      </c>
      <c r="K45" s="167" cm="1">
        <f t="array" ref="K45">IFERROR(_xlfn.SINGLE(INDEX(DATABASE!$AV$14:$BC$968,SUMPRODUCT((ROW(DATABASE!$AV$14:$AV$968)) * (DATABASE!$AV$14:BD$968='Résultats observations'!$A45 ) * (DATABASE!$AW$14:$AW$968= K$4))-ROW(DATABASE!$AV$14)+1,K$5)),"")</f>
        <v>-122.35760000000001</v>
      </c>
      <c r="L45" s="158" cm="1">
        <f t="array" ref="L45">IFERROR(_xlfn.SINGLE(INDEX(DATABASE!$AV$14:$BC$968,SUMPRODUCT((ROW(DATABASE!$AV$14:$AV$968)) * (DATABASE!$AV$14:BE$968='Résultats observations'!$A45 ) * (DATABASE!$AW$14:$AW$968= L$4))-ROW(DATABASE!$AV$14)+1,L$5)),"")</f>
        <v>823149.98939999996</v>
      </c>
      <c r="M45" s="158" cm="1">
        <f t="array" ref="M45">IFERROR(_xlfn.SINGLE(INDEX(DATABASE!$AV$14:$BC$968,SUMPRODUCT((ROW(DATABASE!$AV$14:$AV$968)) * (DATABASE!$AV$14:BF$968='Résultats observations'!$A45 ) * (DATABASE!$AW$14:$AW$968= M$4))-ROW(DATABASE!$AV$14)+1,M$5)),"")</f>
        <v>1091705.0822000001</v>
      </c>
      <c r="N45" s="158" cm="1">
        <f t="array" ref="N45">IFERROR(_xlfn.SINGLE(INDEX(DATABASE!$AV$14:$BC$968,SUMPRODUCT((ROW(DATABASE!$AV$14:$AV$968)) * (DATABASE!$AV$14:BG$968='Résultats observations'!$A45 ) * (DATABASE!$AW$14:$AW$968= N$4))-ROW(DATABASE!$AV$14)+1,N$5)),"")</f>
        <v>-121.7833</v>
      </c>
      <c r="O45" s="33">
        <f t="shared" si="0"/>
        <v>5.5258402826239577</v>
      </c>
      <c r="P45" s="33">
        <f t="shared" si="1"/>
        <v>5.6986223124757682</v>
      </c>
      <c r="Q45" s="33">
        <f t="shared" si="2"/>
        <v>5.8740025765641786</v>
      </c>
      <c r="R45" s="35">
        <f t="shared" ref="R45" si="818">IF(O45="","",(O45-O$10)*1000)</f>
        <v>-2.5342725322241577</v>
      </c>
      <c r="S45" s="35">
        <f t="shared" ref="S45" si="819">IF(P45="","",(P45-P$11)*1000)</f>
        <v>-2.2575581595978278</v>
      </c>
      <c r="T45" s="35">
        <f t="shared" ref="T45" si="820">IF(Q45="","",(Q45-Q$14)*1000)</f>
        <v>-7.6052938680817306</v>
      </c>
      <c r="U45" s="34"/>
      <c r="V45" s="35">
        <f t="shared" ref="V45" si="821">IF(C45="","",(C45-C$10)*1000)</f>
        <v>1.0999999940395355</v>
      </c>
      <c r="W45" s="35">
        <f t="shared" ref="W45" si="822">IF(D45="","",(D45-D$10)*1000)</f>
        <v>-1.7999999690800905</v>
      </c>
      <c r="X45" s="35">
        <f t="shared" ref="X45" si="823">IF(E45="","",(E45-E$10)*1000)</f>
        <v>-4.5999999999963848</v>
      </c>
      <c r="Y45" s="35">
        <f t="shared" ref="Y45" si="824">IF(F45="","",(F45-F$11)*1000)</f>
        <v>2.8000000165775418</v>
      </c>
      <c r="Z45" s="35">
        <f t="shared" ref="Z45" si="825">IF(G45="","",(G45-G$11)*1000)</f>
        <v>-0.99999993108212948</v>
      </c>
      <c r="AA45" s="35">
        <f t="shared" ref="AA45" si="826">IF(H45="","",(H45-H$11)*1000)</f>
        <v>-3.0000000000001137</v>
      </c>
      <c r="AB45" s="35">
        <f t="shared" ref="AB45" si="827">IF(I45="","",(I45-I$14)*1000)</f>
        <v>3.599999938160181</v>
      </c>
      <c r="AC45" s="35">
        <f t="shared" ref="AC45" si="828">IF(J45="","",(J45-J$14)*1000)</f>
        <v>-6.8000000901520252</v>
      </c>
      <c r="AD45" s="35">
        <f t="shared" ref="AD45" si="829">IF(K45="","",(K45-K$14)*1000)</f>
        <v>-3.9000000000015689</v>
      </c>
      <c r="AE45" s="35">
        <f t="shared" ref="AE45" si="830">IF(L45="","",(L45-L$10)*1000)</f>
        <v>-0.45000005047768354</v>
      </c>
      <c r="AF45" s="35">
        <f t="shared" ref="AF45" si="831">IF(M45="","",(M45-M$10)*1000)</f>
        <v>0.10000006295740604</v>
      </c>
      <c r="AG45" s="35">
        <f t="shared" ref="AG45" si="832">IF(N45="","",(N45-N$10)*1000)</f>
        <v>-0.49999999998817657</v>
      </c>
      <c r="AH45" s="34"/>
      <c r="AI45" s="33" cm="1">
        <f t="array" ref="AI45">IFERROR(_xlfn.SINGLE(INDEX(DATABASE!$AV$14:$BC$968,SUMPRODUCT((ROW(DATABASE!$AV$14:$AV$968)) * (DATABASE!$AV$14:HY$968='Résultats observations'!$A45 ) * (DATABASE!$AW$14:$AW$968= AI$4))-ROW(DATABASE!$AV$14)+1,AI$5)),"")</f>
        <v>2.6855953280780769</v>
      </c>
      <c r="AJ45" s="33" cm="1">
        <f t="array" ref="AJ45">IFERROR(_xlfn.SINGLE(INDEX(DATABASE!$AV$14:$BC$968,SUMPRODUCT((ROW(DATABASE!$AV$14:$AV$968)) * (DATABASE!$AV$14:HZ$968='Résultats observations'!$A45 ) * (DATABASE!$AW$14:$AW$968= AJ$4))-ROW(DATABASE!$AV$14)+1,AJ$5)),"")</f>
        <v>7.8463060697269871E-3</v>
      </c>
      <c r="AK45" s="33" cm="1">
        <f t="array" ref="AK45">IFERROR(_xlfn.SINGLE(INDEX(DATABASE!$AV$14:$BC$968,SUMPRODUCT((ROW(DATABASE!$AV$14:$AV$968)) * (DATABASE!$AV$14:IA$968='Résultats observations'!$A45 ) * (DATABASE!$AW$14:$AW$968= AK$4))-ROW(DATABASE!$AV$14)+1,AK$5)),"")</f>
        <v>1.3819999999999908</v>
      </c>
      <c r="AL45" s="33" cm="1">
        <f t="array" ref="AL45">IFERROR(_xlfn.SINGLE(INDEX(DATABASE!$AV$14:$BC$968,SUMPRODUCT((ROW(DATABASE!$AV$14:$AV$968)) * (DATABASE!$AV$14:IB$968='Résultats observations'!$A45 ) * (DATABASE!$AW$14:$AW$968= AL$4))-ROW(DATABASE!$AV$14)+1,AL$5)),"")</f>
        <v>2.8609950719158754</v>
      </c>
      <c r="AM45" s="33" cm="1">
        <f t="array" ref="AM45">IFERROR(_xlfn.SINGLE(INDEX(DATABASE!$AV$14:$BC$968,SUMPRODUCT((ROW(DATABASE!$AV$14:$AV$968)) * (DATABASE!$AV$14:IC$968='Résultats observations'!$A45 ) * (DATABASE!$AW$14:$AW$968= AM$4))-ROW(DATABASE!$AV$14)+1,AM$5)),"")</f>
        <v>2.6860508709658566E-2</v>
      </c>
      <c r="AN45" s="33" cm="1">
        <f t="array" ref="AN45">IFERROR(_xlfn.SINGLE(INDEX(DATABASE!$AV$14:$BC$968,SUMPRODUCT((ROW(DATABASE!$AV$14:$AV$968)) * (DATABASE!$AV$14:ID$968='Résultats observations'!$A45 ) * (DATABASE!$AW$14:$AW$968= AN$4))-ROW(DATABASE!$AV$14)+1,AN$5)),"")</f>
        <v>1.0437999999999903</v>
      </c>
      <c r="AO45" s="167" cm="1">
        <f t="array" ref="AO45">IFERROR(_xlfn.SINGLE(INDEX(DATABASE!$AV$14:$BC$968,SUMPRODUCT((ROW(DATABASE!$AV$14:$AV$968)) * (DATABASE!$AV$14:IE$968='Résultats observations'!$A45 ) * (DATABASE!$AW$14:$AW$968= AO$4))-ROW(DATABASE!$AV$14)+1,AO$5)),"")</f>
        <v>3.0093967841292897</v>
      </c>
      <c r="AP45" s="167" cm="1">
        <f t="array" ref="AP45">IFERROR(_xlfn.SINGLE(INDEX(DATABASE!$AV$14:$BC$968,SUMPRODUCT((ROW(DATABASE!$AV$14:$AV$968)) * (DATABASE!$AV$14:IF$968='Résultats observations'!$A45 ) * (DATABASE!$AW$14:$AW$968= AP$4))-ROW(DATABASE!$AV$14)+1,AP$5)),"")</f>
        <v>6.9696262318777694E-2</v>
      </c>
      <c r="AQ45" s="167" cm="1">
        <f t="array" ref="AQ45">IFERROR(_xlfn.SINGLE(INDEX(DATABASE!$AV$14:$BC$968,SUMPRODUCT((ROW(DATABASE!$AV$14:$AV$968)) * (DATABASE!$AV$14:IG$968='Résultats observations'!$A45 ) * (DATABASE!$AW$14:$AW$968= AQ$4))-ROW(DATABASE!$AV$14)+1,AQ$5)),"")</f>
        <v>0.59639999999998849</v>
      </c>
      <c r="AR45" s="33" cm="1">
        <f t="array" ref="AR45">IFERROR(_xlfn.SINGLE(INDEX(DATABASE!$AV$14:$BC$968,SUMPRODUCT((ROW(DATABASE!$AV$14:$AV$968)) * (DATABASE!$AV$14:IH$968='Résultats observations'!$A45 ) * (DATABASE!$AW$14:$AW$968= AR$4))-ROW(DATABASE!$AV$14)+1,AR$5)),"")</f>
        <v>-2.836199967803569</v>
      </c>
      <c r="AS45" s="33" cm="1">
        <f t="array" ref="AS45">IFERROR(_xlfn.SINGLE(INDEX(DATABASE!$AV$14:$BC$968,SUMPRODUCT((ROW(DATABASE!$AV$14:$AV$968)) * (DATABASE!$AV$14:II$968='Résultats observations'!$A45 ) * (DATABASE!$AW$14:$AW$968= AS$4))-ROW(DATABASE!$AV$14)+1,AS$5)),"")</f>
        <v>1.4158948064115631E-2</v>
      </c>
      <c r="AT45" s="33" cm="1">
        <f t="array" ref="AT45">IFERROR(_xlfn.SINGLE(INDEX(DATABASE!$AV$14:$BC$968,SUMPRODUCT((ROW(DATABASE!$AV$14:$AV$968)) * (DATABASE!$AV$14:IJ$968='Résultats observations'!$A45 ) * (DATABASE!$AW$14:$AW$968= AT$4))-ROW(DATABASE!$AV$14)+1,AT$5)),"")</f>
        <v>1.1706999999999965</v>
      </c>
      <c r="AU45" s="34"/>
      <c r="AV45" s="35">
        <f t="shared" ref="AV45" si="833">IF(AI45="","",(AI45-AI$10)*1000)</f>
        <v>-2.0962419729917414</v>
      </c>
      <c r="AW45" s="35">
        <f t="shared" ref="AW45" si="834">IF(AJ45="","",(AJ45-AJ$10)*1000)</f>
        <v>0.23615559752992055</v>
      </c>
      <c r="AX45" s="35">
        <f t="shared" ref="AX45" si="835">IF(AK45="","",(AK45-AK$10)*1000)</f>
        <v>-4.5999999999963848</v>
      </c>
      <c r="AY45" s="35">
        <f t="shared" ref="AY45" si="836">IF(AL45="","",(AL45-AL$11)*1000)</f>
        <v>-2.0897095969480972</v>
      </c>
      <c r="AZ45" s="35">
        <f t="shared" ref="AZ45" si="837">IF(AM45="","",(AM45-AM$11)*1000)</f>
        <v>2.1149737008799954</v>
      </c>
      <c r="BA45" s="35">
        <f t="shared" ref="BA45" si="838">IF(AN45="","",(AN45-AN$11)*1000)</f>
        <v>-3.0000000000001137</v>
      </c>
      <c r="BB45" s="35">
        <f t="shared" ref="BB45" si="839">IF(AO45="","",(AO45-AO$14)*1000)</f>
        <v>-7.6843317515451481</v>
      </c>
      <c r="BC45" s="35">
        <f t="shared" ref="BC45" si="840">IF(AP45="","",(AP45-AP$14)*1000)</f>
        <v>0.38864677152183891</v>
      </c>
      <c r="BD45" s="35">
        <f t="shared" ref="BD45" si="841">IF(AQ45="","",(AQ45-AQ$14)*1000)</f>
        <v>-3.9000000000015689</v>
      </c>
      <c r="BE45" s="35">
        <f t="shared" ref="BE45" si="842">IF(AR45="","",(AR45-AR$10)*1000)</f>
        <v>0.28082130074791323</v>
      </c>
      <c r="BF45" s="35">
        <f t="shared" ref="BF45" si="843">IF(AS45="","",(AS45-AS$10)*1000)</f>
        <v>-0.3655673057965988</v>
      </c>
      <c r="BG45" s="35">
        <f t="shared" ref="BG45" si="844">IF(AT45="","",(AT45-AT$10)*1000)</f>
        <v>-0.49999999998817657</v>
      </c>
    </row>
    <row r="46" spans="1:59" s="57" customFormat="1" ht="29.25" customHeight="1">
      <c r="A46" s="172">
        <v>45742</v>
      </c>
      <c r="B46" s="25">
        <f t="shared" ref="B46" si="845">A46-A$10</f>
        <v>210</v>
      </c>
      <c r="C46" s="80" cm="1">
        <f t="array" ref="C46">IFERROR(_xlfn.SINGLE(INDEX(DATABASE!$AV$14:$BC$968,SUMPRODUCT((ROW(DATABASE!$AV$14:$AV$968)) * (DATABASE!AV$14:$AV$968='Résultats observations'!$A46 ) * (DATABASE!$AW$14:$AW$968= C$4))-ROW(DATABASE!$AV$14)+1,C$5)),"")</f>
        <v>823147.65015</v>
      </c>
      <c r="D46" s="158" cm="1">
        <f t="array" ref="D46">IFERROR(_xlfn.SINGLE(INDEX(DATABASE!$AV$14:$BC$968,SUMPRODUCT((ROW(DATABASE!$AV$14:$AV$968)) * (DATABASE!$AV$14:AW$968='Résultats observations'!$A46 ) * (DATABASE!$AW$14:$AW$968= D$4))-ROW(DATABASE!$AV$14)+1,D$5)),"")</f>
        <v>1091710.0839499999</v>
      </c>
      <c r="E46" s="158" cm="1">
        <f t="array" ref="E46">IFERROR(_xlfn.SINGLE(INDEX(DATABASE!$AV$14:$BC$968,SUMPRODUCT((ROW(DATABASE!$AV$14:$AV$968)) * (DATABASE!$AV$14:AX$968='Résultats observations'!$A46 ) * (DATABASE!$AW$14:$AW$968= E$4))-ROW(DATABASE!$AV$14)+1,E$5)),"")</f>
        <v>-121.5715</v>
      </c>
      <c r="F46" s="158" cm="1">
        <f t="array" ref="F46">IFERROR(_xlfn.SINGLE(INDEX(DATABASE!$AV$14:$BC$968,SUMPRODUCT((ROW(DATABASE!$AV$14:$AV$968)) * (DATABASE!$AV$14:AY$968='Résultats observations'!$A46 ) * (DATABASE!$AW$14:$AW$968= F$4))-ROW(DATABASE!$AV$14)+1,F$5)),"")</f>
        <v>823147.59270000004</v>
      </c>
      <c r="G46" s="158" cm="1">
        <f t="array" ref="G46">IFERROR(_xlfn.SINGLE(INDEX(DATABASE!$AV$14:$BC$968,SUMPRODUCT((ROW(DATABASE!$AV$14:$AV$968)) * (DATABASE!$AV$14:AZ$968='Résultats observations'!$A46 ) * (DATABASE!$AW$14:$AW$968= G$4))-ROW(DATABASE!$AV$14)+1,G$5)),"")</f>
        <v>1091710.2501000001</v>
      </c>
      <c r="H46" s="158" cm="1">
        <f t="array" ref="H46">IFERROR(_xlfn.SINGLE(INDEX(DATABASE!$AV$14:$BC$968,SUMPRODUCT((ROW(DATABASE!$AV$14:$AV$968)) * (DATABASE!$AV$14:BA$968='Résultats observations'!$A46 ) * (DATABASE!$AW$14:$AW$968= H$4))-ROW(DATABASE!$AV$14)+1,H$5)),"")</f>
        <v>-121.9104</v>
      </c>
      <c r="I46" s="167" cm="1">
        <f t="array" ref="I46">IFERROR(_xlfn.SINGLE(INDEX(DATABASE!$AV$14:$BC$968,SUMPRODUCT((ROW(DATABASE!$AV$14:$AV$968)) * (DATABASE!$AV$14:BB$968='Résultats observations'!$A46 ) * (DATABASE!$AW$14:$AW$968= I$4))-ROW(DATABASE!$AV$14)+1,I$5)),"")</f>
        <v>823147.57000000007</v>
      </c>
      <c r="J46" s="167" cm="1">
        <f t="array" ref="J46">IFERROR(_xlfn.SINGLE(INDEX(DATABASE!$AV$14:$BC$968,SUMPRODUCT((ROW(DATABASE!$AV$14:$AV$968)) * (DATABASE!$AV$14:BC$968='Résultats observations'!$A46 ) * (DATABASE!$AW$14:$AW$968= J$4))-ROW(DATABASE!$AV$14)+1,J$5)),"")</f>
        <v>1091710.4039999999</v>
      </c>
      <c r="K46" s="167" cm="1">
        <f t="array" ref="K46">IFERROR(_xlfn.SINGLE(INDEX(DATABASE!$AV$14:$BC$968,SUMPRODUCT((ROW(DATABASE!$AV$14:$AV$968)) * (DATABASE!$AV$14:BD$968='Résultats observations'!$A46 ) * (DATABASE!$AW$14:$AW$968= K$4))-ROW(DATABASE!$AV$14)+1,K$5)),"")</f>
        <v>-122.3575</v>
      </c>
      <c r="L46" s="158" cm="1">
        <f t="array" ref="L46">IFERROR(_xlfn.SINGLE(INDEX(DATABASE!$AV$14:$BC$968,SUMPRODUCT((ROW(DATABASE!$AV$14:$AV$968)) * (DATABASE!$AV$14:BE$968='Résultats observations'!$A46 ) * (DATABASE!$AW$14:$AW$968= L$4))-ROW(DATABASE!$AV$14)+1,L$5)),"")</f>
        <v>823149.98933333333</v>
      </c>
      <c r="M46" s="158" cm="1">
        <f t="array" ref="M46">IFERROR(_xlfn.SINGLE(INDEX(DATABASE!$AV$14:$BC$968,SUMPRODUCT((ROW(DATABASE!$AV$14:$AV$968)) * (DATABASE!$AV$14:BF$968='Résultats observations'!$A46 ) * (DATABASE!$AW$14:$AW$968= M$4))-ROW(DATABASE!$AV$14)+1,M$5)),"")</f>
        <v>1091705.0824666666</v>
      </c>
      <c r="N46" s="158" cm="1">
        <f t="array" ref="N46">IFERROR(_xlfn.SINGLE(INDEX(DATABASE!$AV$14:$BC$968,SUMPRODUCT((ROW(DATABASE!$AV$14:$AV$968)) * (DATABASE!$AV$14:BG$968='Résultats observations'!$A46 ) * (DATABASE!$AW$14:$AW$968= N$4))-ROW(DATABASE!$AV$14)+1,N$5)),"")</f>
        <v>-121.78353333333332</v>
      </c>
      <c r="O46" s="33">
        <f t="shared" si="0"/>
        <v>5.5255381941147617</v>
      </c>
      <c r="P46" s="33">
        <f t="shared" si="1"/>
        <v>5.6977522545843158</v>
      </c>
      <c r="Q46" s="33">
        <f t="shared" si="2"/>
        <v>5.8737831530520435</v>
      </c>
      <c r="R46" s="35">
        <f t="shared" ref="R46" si="846">IF(O46="","",(O46-O$10)*1000)</f>
        <v>-2.8363610414201545</v>
      </c>
      <c r="S46" s="35">
        <f t="shared" ref="S46" si="847">IF(P46="","",(P46-P$11)*1000)</f>
        <v>-3.1276160510502748</v>
      </c>
      <c r="T46" s="35">
        <f t="shared" ref="T46" si="848">IF(Q46="","",(Q46-Q$14)*1000)</f>
        <v>-7.824717380216839</v>
      </c>
      <c r="U46" s="34"/>
      <c r="V46" s="35">
        <f t="shared" ref="V46" si="849">IF(C46="","",(C46-C$10)*1000)</f>
        <v>1.3500000350177288</v>
      </c>
      <c r="W46" s="35">
        <f t="shared" ref="W46" si="850">IF(D46="","",(D46-D$10)*1000)</f>
        <v>-1.7500000540167093</v>
      </c>
      <c r="X46" s="35">
        <f t="shared" ref="X46" si="851">IF(E46="","",(E46-E$10)*1000)</f>
        <v>-4.0999999999939973</v>
      </c>
      <c r="Y46" s="35">
        <f t="shared" ref="Y46" si="852">IF(F46="","",(F46-F$11)*1000)</f>
        <v>2.5000000605359674</v>
      </c>
      <c r="Z46" s="35">
        <f t="shared" ref="Z46" si="853">IF(G46="","",(G46-G$11)*1000)</f>
        <v>-1.7999999690800905</v>
      </c>
      <c r="AA46" s="35">
        <f t="shared" ref="AA46" si="854">IF(H46="","",(H46-H$11)*1000)</f>
        <v>-3.1999999999925421</v>
      </c>
      <c r="AB46" s="35">
        <f t="shared" ref="AB46" si="855">IF(I46="","",(I46-I$14)*1000)</f>
        <v>4.5000000391155481</v>
      </c>
      <c r="AC46" s="35">
        <f t="shared" ref="AC46" si="856">IF(J46="","",(J46-J$14)*1000)</f>
        <v>-6.3000002410262823</v>
      </c>
      <c r="AD46" s="35">
        <f t="shared" ref="AD46" si="857">IF(K46="","",(K46-K$14)*1000)</f>
        <v>-3.7999999999982492</v>
      </c>
      <c r="AE46" s="35">
        <f t="shared" ref="AE46" si="858">IF(L46="","",(L46-L$10)*1000)</f>
        <v>-0.51666668150573969</v>
      </c>
      <c r="AF46" s="35">
        <f t="shared" ref="AF46" si="859">IF(M46="","",(M46-M$10)*1000)</f>
        <v>0.36666658706963062</v>
      </c>
      <c r="AG46" s="35">
        <f t="shared" ref="AG46" si="860">IF(N46="","",(N46-N$10)*1000)</f>
        <v>-0.73333333331504491</v>
      </c>
      <c r="AH46" s="34"/>
      <c r="AI46" s="33" cm="1">
        <f t="array" ref="AI46">IFERROR(_xlfn.SINGLE(INDEX(DATABASE!$AV$14:$BC$968,SUMPRODUCT((ROW(DATABASE!$AV$14:$AV$968)) * (DATABASE!$AV$14:HY$968='Résultats observations'!$A46 ) * (DATABASE!$AW$14:$AW$968= AI$4))-ROW(DATABASE!$AV$14)+1,AI$5)),"")</f>
        <v>2.6855349805236064</v>
      </c>
      <c r="AJ46" s="33" cm="1">
        <f t="array" ref="AJ46">IFERROR(_xlfn.SINGLE(INDEX(DATABASE!$AV$14:$BC$968,SUMPRODUCT((ROW(DATABASE!$AV$14:$AV$968)) * (DATABASE!$AV$14:HZ$968='Résultats observations'!$A46 ) * (DATABASE!$AW$14:$AW$968= AJ$4))-ROW(DATABASE!$AV$14)+1,AJ$5)),"")</f>
        <v>8.0940119127441978E-3</v>
      </c>
      <c r="AK46" s="33" cm="1">
        <f t="array" ref="AK46">IFERROR(_xlfn.SINGLE(INDEX(DATABASE!$AV$14:$BC$968,SUMPRODUCT((ROW(DATABASE!$AV$14:$AV$968)) * (DATABASE!$AV$14:IA$968='Résultats observations'!$A46 ) * (DATABASE!$AW$14:$AW$968= AK$4))-ROW(DATABASE!$AV$14)+1,AK$5)),"")</f>
        <v>1.3824999999999932</v>
      </c>
      <c r="AL46" s="33" cm="1">
        <f t="array" ref="AL46">IFERROR(_xlfn.SINGLE(INDEX(DATABASE!$AV$14:$BC$968,SUMPRODUCT((ROW(DATABASE!$AV$14:$AV$968)) * (DATABASE!$AV$14:IB$968='Résultats observations'!$A46 ) * (DATABASE!$AW$14:$AW$968= AL$4))-ROW(DATABASE!$AV$14)+1,AL$5)),"")</f>
        <v>2.8603968315119541</v>
      </c>
      <c r="AM46" s="33" cm="1">
        <f t="array" ref="AM46">IFERROR(_xlfn.SINGLE(INDEX(DATABASE!$AV$14:$BC$968,SUMPRODUCT((ROW(DATABASE!$AV$14:$AV$968)) * (DATABASE!$AV$14:IC$968='Résultats observations'!$A46 ) * (DATABASE!$AW$14:$AW$968= AM$4))-ROW(DATABASE!$AV$14)+1,AM$5)),"")</f>
        <v>2.6250501780568744E-2</v>
      </c>
      <c r="AN46" s="33" cm="1">
        <f t="array" ref="AN46">IFERROR(_xlfn.SINGLE(INDEX(DATABASE!$AV$14:$BC$968,SUMPRODUCT((ROW(DATABASE!$AV$14:$AV$968)) * (DATABASE!$AV$14:ID$968='Résultats observations'!$A46 ) * (DATABASE!$AW$14:$AW$968= AN$4))-ROW(DATABASE!$AV$14)+1,AN$5)),"")</f>
        <v>1.0435999999999979</v>
      </c>
      <c r="AO46" s="167" cm="1">
        <f t="array" ref="AO46">IFERROR(_xlfn.SINGLE(INDEX(DATABASE!$AV$14:$BC$968,SUMPRODUCT((ROW(DATABASE!$AV$14:$AV$968)) * (DATABASE!$AV$14:IE$968='Résultats observations'!$A46 ) * (DATABASE!$AW$14:$AW$968= AO$4))-ROW(DATABASE!$AV$14)+1,AO$5)),"")</f>
        <v>3.0094695470621726</v>
      </c>
      <c r="AP46" s="167" cm="1">
        <f t="array" ref="AP46">IFERROR(_xlfn.SINGLE(INDEX(DATABASE!$AV$14:$BC$968,SUMPRODUCT((ROW(DATABASE!$AV$14:$AV$968)) * (DATABASE!$AV$14:IF$968='Résultats observations'!$A46 ) * (DATABASE!$AW$14:$AW$968= AP$4))-ROW(DATABASE!$AV$14)+1,AP$5)),"")</f>
        <v>7.0723250919709935E-2</v>
      </c>
      <c r="AQ46" s="167" cm="1">
        <f t="array" ref="AQ46">IFERROR(_xlfn.SINGLE(INDEX(DATABASE!$AV$14:$BC$968,SUMPRODUCT((ROW(DATABASE!$AV$14:$AV$968)) * (DATABASE!$AV$14:IG$968='Résultats observations'!$A46 ) * (DATABASE!$AW$14:$AW$968= AQ$4))-ROW(DATABASE!$AV$14)+1,AQ$5)),"")</f>
        <v>0.59649999999999181</v>
      </c>
      <c r="AR46" s="33" cm="1">
        <f t="array" ref="AR46">IFERROR(_xlfn.SINGLE(INDEX(DATABASE!$AV$14:$BC$968,SUMPRODUCT((ROW(DATABASE!$AV$14:$AV$968)) * (DATABASE!$AV$14:IH$968='Résultats observations'!$A46 ) * (DATABASE!$AW$14:$AW$968= AR$4))-ROW(DATABASE!$AV$14)+1,AR$5)),"")</f>
        <v>-2.8359301130689816</v>
      </c>
      <c r="AS46" s="33" cm="1">
        <f t="array" ref="AS46">IFERROR(_xlfn.SINGLE(INDEX(DATABASE!$AV$14:$BC$968,SUMPRODUCT((ROW(DATABASE!$AV$14:$AV$968)) * (DATABASE!$AV$14:II$968='Résultats observations'!$A46 ) * (DATABASE!$AW$14:$AW$968= AS$4))-ROW(DATABASE!$AV$14)+1,AS$5)),"")</f>
        <v>1.421123474497799E-2</v>
      </c>
      <c r="AT46" s="33" cm="1">
        <f t="array" ref="AT46">IFERROR(_xlfn.SINGLE(INDEX(DATABASE!$AV$14:$BC$968,SUMPRODUCT((ROW(DATABASE!$AV$14:$AV$968)) * (DATABASE!$AV$14:IJ$968='Résultats observations'!$A46 ) * (DATABASE!$AW$14:$AW$968= AT$4))-ROW(DATABASE!$AV$14)+1,AT$5)),"")</f>
        <v>1.1704666666666697</v>
      </c>
      <c r="AU46" s="34"/>
      <c r="AV46" s="35">
        <f t="shared" ref="AV46" si="861">IF(AI46="","",(AI46-AI$10)*1000)</f>
        <v>-2.1565895274622271</v>
      </c>
      <c r="AW46" s="35">
        <f t="shared" ref="AW46" si="862">IF(AJ46="","",(AJ46-AJ$10)*1000)</f>
        <v>0.48386144054713126</v>
      </c>
      <c r="AX46" s="35">
        <f t="shared" ref="AX46" si="863">IF(AK46="","",(AK46-AK$10)*1000)</f>
        <v>-4.0999999999939973</v>
      </c>
      <c r="AY46" s="35">
        <f t="shared" ref="AY46" si="864">IF(AL46="","",(AL46-AL$11)*1000)</f>
        <v>-2.6879500008694102</v>
      </c>
      <c r="AZ46" s="35">
        <f t="shared" ref="AZ46" si="865">IF(AM46="","",(AM46-AM$11)*1000)</f>
        <v>1.5049667717901734</v>
      </c>
      <c r="BA46" s="35">
        <f t="shared" ref="BA46" si="866">IF(AN46="","",(AN46-AN$11)*1000)</f>
        <v>-3.1999999999925421</v>
      </c>
      <c r="BB46" s="35">
        <f t="shared" ref="BB46" si="867">IF(AO46="","",(AO46-AO$14)*1000)</f>
        <v>-7.6115688186622066</v>
      </c>
      <c r="BC46" s="35">
        <f t="shared" ref="BC46" si="868">IF(AP46="","",(AP46-AP$14)*1000)</f>
        <v>1.41563537245408</v>
      </c>
      <c r="BD46" s="35">
        <f t="shared" ref="BD46" si="869">IF(AQ46="","",(AQ46-AQ$14)*1000)</f>
        <v>-3.7999999999982492</v>
      </c>
      <c r="BE46" s="35">
        <f t="shared" ref="BE46" si="870">IF(AR46="","",(AR46-AR$10)*1000)</f>
        <v>0.55067603533531795</v>
      </c>
      <c r="BF46" s="35">
        <f t="shared" ref="BF46" si="871">IF(AS46="","",(AS46-AS$10)*1000)</f>
        <v>-0.31328062493423892</v>
      </c>
      <c r="BG46" s="35">
        <f t="shared" ref="BG46" si="872">IF(AT46="","",(AT46-AT$10)*1000)</f>
        <v>-0.73333333331504491</v>
      </c>
    </row>
    <row r="47" spans="1:59" s="57" customFormat="1" ht="29.25" customHeight="1">
      <c r="A47" s="172">
        <v>45755</v>
      </c>
      <c r="B47" s="25">
        <f t="shared" ref="B47" si="873">A47-A$10</f>
        <v>223</v>
      </c>
      <c r="C47" s="80" cm="1">
        <f t="array" ref="C47">IFERROR(_xlfn.SINGLE(INDEX(DATABASE!$AV$14:$BC$968,SUMPRODUCT((ROW(DATABASE!$AV$14:$AV$968)) * (DATABASE!AV$14:$AV$968='Résultats observations'!$A47 ) * (DATABASE!$AW$14:$AW$968= C$4))-ROW(DATABASE!$AV$14)+1,C$5)),"")</f>
        <v>823147.65009999997</v>
      </c>
      <c r="D47" s="158" cm="1">
        <f t="array" ref="D47">IFERROR(_xlfn.SINGLE(INDEX(DATABASE!$AV$14:$BC$968,SUMPRODUCT((ROW(DATABASE!$AV$14:$AV$968)) * (DATABASE!$AV$14:AW$968='Résultats observations'!$A47 ) * (DATABASE!$AW$14:$AW$968= D$4))-ROW(DATABASE!$AV$14)+1,D$5)),"")</f>
        <v>1091710.0836</v>
      </c>
      <c r="E47" s="158" cm="1">
        <f t="array" ref="E47">IFERROR(_xlfn.SINGLE(INDEX(DATABASE!$AV$14:$BC$968,SUMPRODUCT((ROW(DATABASE!$AV$14:$AV$968)) * (DATABASE!$AV$14:AX$968='Résultats observations'!$A47 ) * (DATABASE!$AW$14:$AW$968= E$4))-ROW(DATABASE!$AV$14)+1,E$5)),"")</f>
        <v>-121.5719</v>
      </c>
      <c r="F47" s="158" cm="1">
        <f t="array" ref="F47">IFERROR(_xlfn.SINGLE(INDEX(DATABASE!$AV$14:$BC$968,SUMPRODUCT((ROW(DATABASE!$AV$14:$AV$968)) * (DATABASE!$AV$14:AY$968='Résultats observations'!$A47 ) * (DATABASE!$AW$14:$AW$968= F$4))-ROW(DATABASE!$AV$14)+1,F$5)),"")</f>
        <v>823147.59310000006</v>
      </c>
      <c r="G47" s="158" cm="1">
        <f t="array" ref="G47">IFERROR(_xlfn.SINGLE(INDEX(DATABASE!$AV$14:$BC$968,SUMPRODUCT((ROW(DATABASE!$AV$14:$AV$968)) * (DATABASE!$AV$14:AZ$968='Résultats observations'!$A47 ) * (DATABASE!$AW$14:$AW$968= G$4))-ROW(DATABASE!$AV$14)+1,G$5)),"")</f>
        <v>1091710.2507</v>
      </c>
      <c r="H47" s="158" cm="1">
        <f t="array" ref="H47">IFERROR(_xlfn.SINGLE(INDEX(DATABASE!$AV$14:$BC$968,SUMPRODUCT((ROW(DATABASE!$AV$14:$AV$968)) * (DATABASE!$AV$14:BA$968='Résultats observations'!$A47 ) * (DATABASE!$AW$14:$AW$968= H$4))-ROW(DATABASE!$AV$14)+1,H$5)),"")</f>
        <v>-121.9102</v>
      </c>
      <c r="I47" s="167" cm="1">
        <f t="array" ref="I47">IFERROR(_xlfn.SINGLE(INDEX(DATABASE!$AV$14:$BC$968,SUMPRODUCT((ROW(DATABASE!$AV$14:$AV$968)) * (DATABASE!$AV$14:BB$968='Résultats observations'!$A47 ) * (DATABASE!$AW$14:$AW$968= I$4))-ROW(DATABASE!$AV$14)+1,I$5)),"")</f>
        <v>823147.5693666666</v>
      </c>
      <c r="J47" s="167" cm="1">
        <f t="array" ref="J47">IFERROR(_xlfn.SINGLE(INDEX(DATABASE!$AV$14:$BC$968,SUMPRODUCT((ROW(DATABASE!$AV$14:$AV$968)) * (DATABASE!$AV$14:BC$968='Résultats observations'!$A47 ) * (DATABASE!$AW$14:$AW$968= J$4))-ROW(DATABASE!$AV$14)+1,J$5)),"")</f>
        <v>1091710.4032000001</v>
      </c>
      <c r="K47" s="167" cm="1">
        <f t="array" ref="K47">IFERROR(_xlfn.SINGLE(INDEX(DATABASE!$AV$14:$BC$968,SUMPRODUCT((ROW(DATABASE!$AV$14:$AV$968)) * (DATABASE!$AV$14:BD$968='Résultats observations'!$A47 ) * (DATABASE!$AW$14:$AW$968= K$4))-ROW(DATABASE!$AV$14)+1,K$5)),"")</f>
        <v>-122.3575</v>
      </c>
      <c r="L47" s="158" cm="1">
        <f t="array" ref="L47">IFERROR(_xlfn.SINGLE(INDEX(DATABASE!$AV$14:$BC$968,SUMPRODUCT((ROW(DATABASE!$AV$14:$AV$968)) * (DATABASE!$AV$14:BE$968='Résultats observations'!$A47 ) * (DATABASE!$AW$14:$AW$968= L$4))-ROW(DATABASE!$AV$14)+1,L$5)),"")</f>
        <v>823149.98909999989</v>
      </c>
      <c r="M47" s="158" cm="1">
        <f t="array" ref="M47">IFERROR(_xlfn.SINGLE(INDEX(DATABASE!$AV$14:$BC$968,SUMPRODUCT((ROW(DATABASE!$AV$14:$AV$968)) * (DATABASE!$AV$14:BF$968='Résultats observations'!$A47 ) * (DATABASE!$AW$14:$AW$968= M$4))-ROW(DATABASE!$AV$14)+1,M$5)),"")</f>
        <v>1091705.0821333334</v>
      </c>
      <c r="N47" s="158" cm="1">
        <f t="array" ref="N47">IFERROR(_xlfn.SINGLE(INDEX(DATABASE!$AV$14:$BC$968,SUMPRODUCT((ROW(DATABASE!$AV$14:$AV$968)) * (DATABASE!$AV$14:BG$968='Résultats observations'!$A47 ) * (DATABASE!$AW$14:$AW$968= N$4))-ROW(DATABASE!$AV$14)+1,N$5)),"")</f>
        <v>-121.78336666666667</v>
      </c>
      <c r="O47" s="33">
        <f t="shared" si="0"/>
        <v>5.5254237817255598</v>
      </c>
      <c r="P47" s="33">
        <f t="shared" si="1"/>
        <v>5.698331692710596</v>
      </c>
      <c r="Q47" s="33">
        <f t="shared" si="2"/>
        <v>5.873541432504501</v>
      </c>
      <c r="R47" s="35">
        <f t="shared" ref="R47" si="874">IF(O47="","",(O47-O$10)*1000)</f>
        <v>-2.9507734306220001</v>
      </c>
      <c r="S47" s="35">
        <f t="shared" ref="S47" si="875">IF(P47="","",(P47-P$11)*1000)</f>
        <v>-2.5481779247700231</v>
      </c>
      <c r="T47" s="35">
        <f t="shared" ref="T47" si="876">IF(Q47="","",(Q47-Q$14)*1000)</f>
        <v>-8.0664379277592957</v>
      </c>
      <c r="U47" s="34"/>
      <c r="V47" s="35">
        <f t="shared" ref="V47" si="877">IF(C47="","",(C47-C$10)*1000)</f>
        <v>1.3000000035390258</v>
      </c>
      <c r="W47" s="35">
        <f t="shared" ref="W47" si="878">IF(D47="","",(D47-D$10)*1000)</f>
        <v>-2.099999925121665</v>
      </c>
      <c r="X47" s="35">
        <f t="shared" ref="X47" si="879">IF(E47="","",(E47-E$10)*1000)</f>
        <v>-4.4999999999930651</v>
      </c>
      <c r="Y47" s="35">
        <f t="shared" ref="Y47" si="880">IF(F47="","",(F47-F$11)*1000)</f>
        <v>2.9000000795349479</v>
      </c>
      <c r="Z47" s="35">
        <f t="shared" ref="Z47" si="881">IF(G47="","",(G47-G$11)*1000)</f>
        <v>-1.2000000569969416</v>
      </c>
      <c r="AA47" s="35">
        <f t="shared" ref="AA47" si="882">IF(H47="","",(H47-H$11)*1000)</f>
        <v>-3.0000000000001137</v>
      </c>
      <c r="AB47" s="35">
        <f t="shared" ref="AB47" si="883">IF(I47="","",(I47-I$14)*1000)</f>
        <v>3.8666665786877275</v>
      </c>
      <c r="AC47" s="35">
        <f t="shared" ref="AC47" si="884">IF(J47="","",(J47-J$14)*1000)</f>
        <v>-7.1000000461935997</v>
      </c>
      <c r="AD47" s="35">
        <f t="shared" ref="AD47" si="885">IF(K47="","",(K47-K$14)*1000)</f>
        <v>-3.7999999999982492</v>
      </c>
      <c r="AE47" s="35">
        <f t="shared" ref="AE47" si="886">IF(L47="","",(L47-L$10)*1000)</f>
        <v>-0.75000012293457985</v>
      </c>
      <c r="AF47" s="35">
        <f t="shared" ref="AF47" si="887">IF(M47="","",(M47-M$10)*1000)</f>
        <v>3.3333431929349899E-2</v>
      </c>
      <c r="AG47" s="35">
        <f t="shared" ref="AG47" si="888">IF(N47="","",(N47-N$10)*1000)</f>
        <v>-0.56666666665705634</v>
      </c>
      <c r="AH47" s="34"/>
      <c r="AI47" s="33" cm="1">
        <f t="array" ref="AI47">IFERROR(_xlfn.SINGLE(INDEX(DATABASE!$AV$14:$BC$968,SUMPRODUCT((ROW(DATABASE!$AV$14:$AV$968)) * (DATABASE!$AV$14:HY$968='Résultats observations'!$A47 ) * (DATABASE!$AW$14:$AW$968= AI$4))-ROW(DATABASE!$AV$14)+1,AI$5)),"")</f>
        <v>2.6852389103037915</v>
      </c>
      <c r="AJ47" s="33" cm="1">
        <f t="array" ref="AJ47">IFERROR(_xlfn.SINGLE(INDEX(DATABASE!$AV$14:$BC$968,SUMPRODUCT((ROW(DATABASE!$AV$14:$AV$968)) * (DATABASE!$AV$14:HZ$968='Résultats observations'!$A47 ) * (DATABASE!$AW$14:$AW$968= AJ$4))-ROW(DATABASE!$AV$14)+1,AJ$5)),"")</f>
        <v>7.9007702561066338E-3</v>
      </c>
      <c r="AK47" s="33" cm="1">
        <f t="array" ref="AK47">IFERROR(_xlfn.SINGLE(INDEX(DATABASE!$AV$14:$BC$968,SUMPRODUCT((ROW(DATABASE!$AV$14:$AV$968)) * (DATABASE!$AV$14:IA$968='Résultats observations'!$A47 ) * (DATABASE!$AW$14:$AW$968= AK$4))-ROW(DATABASE!$AV$14)+1,AK$5)),"")</f>
        <v>1.3820999999999941</v>
      </c>
      <c r="AL47" s="33" cm="1">
        <f t="array" ref="AL47">IFERROR(_xlfn.SINGLE(INDEX(DATABASE!$AV$14:$BC$968,SUMPRODUCT((ROW(DATABASE!$AV$14:$AV$968)) * (DATABASE!$AV$14:IB$968='Résultats observations'!$A47 ) * (DATABASE!$AW$14:$AW$968= AL$4))-ROW(DATABASE!$AV$14)+1,AL$5)),"")</f>
        <v>2.8607715481874525</v>
      </c>
      <c r="AM47" s="33" cm="1">
        <f t="array" ref="AM47">IFERROR(_xlfn.SINGLE(INDEX(DATABASE!$AV$14:$BC$968,SUMPRODUCT((ROW(DATABASE!$AV$14:$AV$968)) * (DATABASE!$AV$14:IC$968='Résultats observations'!$A47 ) * (DATABASE!$AW$14:$AW$968= AM$4))-ROW(DATABASE!$AV$14)+1,AM$5)),"")</f>
        <v>2.6866608364531527E-2</v>
      </c>
      <c r="AN47" s="33" cm="1">
        <f t="array" ref="AN47">IFERROR(_xlfn.SINGLE(INDEX(DATABASE!$AV$14:$BC$968,SUMPRODUCT((ROW(DATABASE!$AV$14:$AV$968)) * (DATABASE!$AV$14:ID$968='Résultats observations'!$A47 ) * (DATABASE!$AW$14:$AW$968= AN$4))-ROW(DATABASE!$AV$14)+1,AN$5)),"")</f>
        <v>1.0437999999999903</v>
      </c>
      <c r="AO47" s="167" cm="1">
        <f t="array" ref="AO47">IFERROR(_xlfn.SINGLE(INDEX(DATABASE!$AV$14:$BC$968,SUMPRODUCT((ROW(DATABASE!$AV$14:$AV$968)) * (DATABASE!$AV$14:IE$968='Résultats observations'!$A47 ) * (DATABASE!$AW$14:$AW$968= AO$4))-ROW(DATABASE!$AV$14)+1,AO$5)),"")</f>
        <v>3.0090121897986486</v>
      </c>
      <c r="AP47" s="167" cm="1">
        <f t="array" ref="AP47">IFERROR(_xlfn.SINGLE(INDEX(DATABASE!$AV$14:$BC$968,SUMPRODUCT((ROW(DATABASE!$AV$14:$AV$968)) * (DATABASE!$AV$14:IF$968='Résultats observations'!$A47 ) * (DATABASE!$AW$14:$AW$968= AP$4))-ROW(DATABASE!$AV$14)+1,AP$5)),"")</f>
        <v>6.9811146049716999E-2</v>
      </c>
      <c r="AQ47" s="167" cm="1">
        <f t="array" ref="AQ47">IFERROR(_xlfn.SINGLE(INDEX(DATABASE!$AV$14:$BC$968,SUMPRODUCT((ROW(DATABASE!$AV$14:$AV$968)) * (DATABASE!$AV$14:IG$968='Résultats observations'!$A47 ) * (DATABASE!$AW$14:$AW$968= AQ$4))-ROW(DATABASE!$AV$14)+1,AQ$5)),"")</f>
        <v>0.59649999999999181</v>
      </c>
      <c r="AR47" s="33" cm="1">
        <f t="array" ref="AR47">IFERROR(_xlfn.SINGLE(INDEX(DATABASE!$AV$14:$BC$968,SUMPRODUCT((ROW(DATABASE!$AV$14:$AV$968)) * (DATABASE!$AV$14:IH$968='Résultats observations'!$A47 ) * (DATABASE!$AW$14:$AW$968= AR$4))-ROW(DATABASE!$AV$14)+1,AR$5)),"")</f>
        <v>-2.8361335927461231</v>
      </c>
      <c r="AS47" s="33" cm="1">
        <f t="array" ref="AS47">IFERROR(_xlfn.SINGLE(INDEX(DATABASE!$AV$14:$BC$968,SUMPRODUCT((ROW(DATABASE!$AV$14:$AV$968)) * (DATABASE!$AV$14:II$968='Résultats observations'!$A47 ) * (DATABASE!$AW$14:$AW$968= AS$4))-ROW(DATABASE!$AV$14)+1,AS$5)),"")</f>
        <v>1.3858883346235491E-2</v>
      </c>
      <c r="AT47" s="33" cm="1">
        <f t="array" ref="AT47">IFERROR(_xlfn.SINGLE(INDEX(DATABASE!$AV$14:$BC$968,SUMPRODUCT((ROW(DATABASE!$AV$14:$AV$968)) * (DATABASE!$AV$14:IJ$968='Résultats observations'!$A47 ) * (DATABASE!$AW$14:$AW$968= AT$4))-ROW(DATABASE!$AV$14)+1,AT$5)),"")</f>
        <v>1.1706333333333276</v>
      </c>
      <c r="AU47" s="34"/>
      <c r="AV47" s="35">
        <f t="shared" ref="AV47" si="889">IF(AI47="","",(AI47-AI$10)*1000)</f>
        <v>-2.4526597472771527</v>
      </c>
      <c r="AW47" s="35">
        <f t="shared" ref="AW47" si="890">IF(AJ47="","",(AJ47-AJ$10)*1000)</f>
        <v>0.29061978390956722</v>
      </c>
      <c r="AX47" s="35">
        <f t="shared" ref="AX47" si="891">IF(AK47="","",(AK47-AK$10)*1000)</f>
        <v>-4.4999999999930651</v>
      </c>
      <c r="AY47" s="35">
        <f t="shared" ref="AY47" si="892">IF(AL47="","",(AL47-AL$11)*1000)</f>
        <v>-2.3132333253710335</v>
      </c>
      <c r="AZ47" s="35">
        <f t="shared" ref="AZ47" si="893">IF(AM47="","",(AM47-AM$11)*1000)</f>
        <v>2.121073355752956</v>
      </c>
      <c r="BA47" s="35">
        <f t="shared" ref="BA47" si="894">IF(AN47="","",(AN47-AN$11)*1000)</f>
        <v>-3.0000000000001137</v>
      </c>
      <c r="BB47" s="35">
        <f t="shared" ref="BB47" si="895">IF(AO47="","",(AO47-AO$14)*1000)</f>
        <v>-8.0689260821862341</v>
      </c>
      <c r="BC47" s="35">
        <f t="shared" ref="BC47" si="896">IF(AP47="","",(AP47-AP$14)*1000)</f>
        <v>0.50353050246114417</v>
      </c>
      <c r="BD47" s="35">
        <f t="shared" ref="BD47" si="897">IF(AQ47="","",(AQ47-AQ$14)*1000)</f>
        <v>-3.7999999999982492</v>
      </c>
      <c r="BE47" s="35">
        <f t="shared" ref="BE47" si="898">IF(AR47="","",(AR47-AR$10)*1000)</f>
        <v>0.34719635819380201</v>
      </c>
      <c r="BF47" s="35">
        <f t="shared" ref="BF47" si="899">IF(AS47="","",(AS47-AS$10)*1000)</f>
        <v>-0.66563202367673868</v>
      </c>
      <c r="BG47" s="35">
        <f t="shared" ref="BG47" si="900">IF(AT47="","",(AT47-AT$10)*1000)</f>
        <v>-0.56666666665705634</v>
      </c>
    </row>
    <row r="48" spans="1:59" s="57" customFormat="1" ht="29.25" customHeight="1">
      <c r="A48" s="172">
        <v>45769</v>
      </c>
      <c r="B48" s="25">
        <f t="shared" ref="B48" si="901">A48-A$10</f>
        <v>237</v>
      </c>
      <c r="C48" s="80" cm="1">
        <f t="array" ref="C48">IFERROR(_xlfn.SINGLE(INDEX(DATABASE!$AV$14:$BC$968,SUMPRODUCT((ROW(DATABASE!$AV$14:$AV$968)) * (DATABASE!AV$14:$AV$968='Résultats observations'!$A48 ) * (DATABASE!$AW$14:$AW$968= C$4))-ROW(DATABASE!$AV$14)+1,C$5)),"")</f>
        <v>823147.65</v>
      </c>
      <c r="D48" s="158" cm="1">
        <f t="array" ref="D48">IFERROR(_xlfn.SINGLE(INDEX(DATABASE!$AV$14:$BC$968,SUMPRODUCT((ROW(DATABASE!$AV$14:$AV$968)) * (DATABASE!$AV$14:AW$968='Résultats observations'!$A48 ) * (DATABASE!$AW$14:$AW$968= D$4))-ROW(DATABASE!$AV$14)+1,D$5)),"")</f>
        <v>1091710.0843</v>
      </c>
      <c r="E48" s="158" cm="1">
        <f t="array" ref="E48">IFERROR(_xlfn.SINGLE(INDEX(DATABASE!$AV$14:$BC$968,SUMPRODUCT((ROW(DATABASE!$AV$14:$AV$968)) * (DATABASE!$AV$14:AX$968='Résultats observations'!$A48 ) * (DATABASE!$AW$14:$AW$968= E$4))-ROW(DATABASE!$AV$14)+1,E$5)),"")</f>
        <v>-121.5722</v>
      </c>
      <c r="F48" s="158" cm="1">
        <f t="array" ref="F48">IFERROR(_xlfn.SINGLE(INDEX(DATABASE!$AV$14:$BC$968,SUMPRODUCT((ROW(DATABASE!$AV$14:$AV$968)) * (DATABASE!$AV$14:AY$968='Résultats observations'!$A48 ) * (DATABASE!$AW$14:$AW$968= F$4))-ROW(DATABASE!$AV$14)+1,F$5)),"")</f>
        <v>823147.59360000002</v>
      </c>
      <c r="G48" s="158" cm="1">
        <f t="array" ref="G48">IFERROR(_xlfn.SINGLE(INDEX(DATABASE!$AV$14:$BC$968,SUMPRODUCT((ROW(DATABASE!$AV$14:$AV$968)) * (DATABASE!$AV$14:AZ$968='Résultats observations'!$A48 ) * (DATABASE!$AW$14:$AW$968= G$4))-ROW(DATABASE!$AV$14)+1,G$5)),"")</f>
        <v>1091710.2516999999</v>
      </c>
      <c r="H48" s="158" cm="1">
        <f t="array" ref="H48">IFERROR(_xlfn.SINGLE(INDEX(DATABASE!$AV$14:$BC$968,SUMPRODUCT((ROW(DATABASE!$AV$14:$AV$968)) * (DATABASE!$AV$14:BA$968='Résultats observations'!$A48 ) * (DATABASE!$AW$14:$AW$968= H$4))-ROW(DATABASE!$AV$14)+1,H$5)),"")</f>
        <v>-121.9102</v>
      </c>
      <c r="I48" s="167" cm="1">
        <f t="array" ref="I48">IFERROR(_xlfn.SINGLE(INDEX(DATABASE!$AV$14:$BC$968,SUMPRODUCT((ROW(DATABASE!$AV$14:$AV$968)) * (DATABASE!$AV$14:BB$968='Résultats observations'!$A48 ) * (DATABASE!$AW$14:$AW$968= I$4))-ROW(DATABASE!$AV$14)+1,I$5)),"")</f>
        <v>823147.56929999997</v>
      </c>
      <c r="J48" s="167" cm="1">
        <f t="array" ref="J48">IFERROR(_xlfn.SINGLE(INDEX(DATABASE!$AV$14:$BC$968,SUMPRODUCT((ROW(DATABASE!$AV$14:$AV$968)) * (DATABASE!$AV$14:BC$968='Résultats observations'!$A48 ) * (DATABASE!$AW$14:$AW$968= J$4))-ROW(DATABASE!$AV$14)+1,J$5)),"")</f>
        <v>1091710.4034</v>
      </c>
      <c r="K48" s="167" cm="1">
        <f t="array" ref="K48">IFERROR(_xlfn.SINGLE(INDEX(DATABASE!$AV$14:$BC$968,SUMPRODUCT((ROW(DATABASE!$AV$14:$AV$968)) * (DATABASE!$AV$14:BD$968='Résultats observations'!$A48 ) * (DATABASE!$AW$14:$AW$968= K$4))-ROW(DATABASE!$AV$14)+1,K$5)),"")</f>
        <v>-122.358</v>
      </c>
      <c r="L48" s="158" cm="1">
        <f t="array" ref="L48">IFERROR(_xlfn.SINGLE(INDEX(DATABASE!$AV$14:$BC$968,SUMPRODUCT((ROW(DATABASE!$AV$14:$AV$968)) * (DATABASE!$AV$14:BE$968='Résultats observations'!$A48 ) * (DATABASE!$AW$14:$AW$968= L$4))-ROW(DATABASE!$AV$14)+1,L$5)),"")</f>
        <v>823149.98860000004</v>
      </c>
      <c r="M48" s="158" cm="1">
        <f t="array" ref="M48">IFERROR(_xlfn.SINGLE(INDEX(DATABASE!$AV$14:$BC$968,SUMPRODUCT((ROW(DATABASE!$AV$14:$AV$968)) * (DATABASE!$AV$14:BF$968='Résultats observations'!$A48 ) * (DATABASE!$AW$14:$AW$968= M$4))-ROW(DATABASE!$AV$14)+1,M$5)),"")</f>
        <v>1091705.0825</v>
      </c>
      <c r="N48" s="158" cm="1">
        <f t="array" ref="N48">IFERROR(_xlfn.SINGLE(INDEX(DATABASE!$AV$14:$BC$968,SUMPRODUCT((ROW(DATABASE!$AV$14:$AV$968)) * (DATABASE!$AV$14:BG$968='Résultats observations'!$A48 ) * (DATABASE!$AW$14:$AW$968= N$4))-ROW(DATABASE!$AV$14)+1,N$5)),"")</f>
        <v>-121.7838</v>
      </c>
      <c r="O48" s="33">
        <f t="shared" si="0"/>
        <v>5.5255613072132057</v>
      </c>
      <c r="P48" s="33">
        <f t="shared" si="1"/>
        <v>5.6984761646361317</v>
      </c>
      <c r="Q48" s="33">
        <f t="shared" si="2"/>
        <v>5.8732184481435672</v>
      </c>
      <c r="R48" s="35">
        <f t="shared" ref="R48" si="902">IF(O48="","",(O48-O$10)*1000)</f>
        <v>-2.8132479429761048</v>
      </c>
      <c r="S48" s="35">
        <f t="shared" ref="S48" si="903">IF(P48="","",(P48-P$11)*1000)</f>
        <v>-2.4037059992343401</v>
      </c>
      <c r="T48" s="35">
        <f t="shared" ref="T48" si="904">IF(Q48="","",(Q48-Q$14)*1000)</f>
        <v>-8.3894222886931047</v>
      </c>
      <c r="U48" s="34"/>
      <c r="V48" s="35">
        <f t="shared" ref="V48" si="905">IF(C48="","",(C48-C$10)*1000)</f>
        <v>1.2000000569969416</v>
      </c>
      <c r="W48" s="35">
        <f t="shared" ref="W48" si="906">IF(D48="","",(D48-D$10)*1000)</f>
        <v>-1.39999995008111</v>
      </c>
      <c r="X48" s="35">
        <f t="shared" ref="X48" si="907">IF(E48="","",(E48-E$10)*1000)</f>
        <v>-4.7999999999888132</v>
      </c>
      <c r="Y48" s="35">
        <f t="shared" ref="Y48" si="908">IF(F48="","",(F48-F$11)*1000)</f>
        <v>3.4000000450760126</v>
      </c>
      <c r="Z48" s="35">
        <f t="shared" ref="Z48" si="909">IF(G48="","",(G48-G$11)*1000)</f>
        <v>-0.20000012591481209</v>
      </c>
      <c r="AA48" s="35">
        <f t="shared" ref="AA48" si="910">IF(H48="","",(H48-H$11)*1000)</f>
        <v>-3.0000000000001137</v>
      </c>
      <c r="AB48" s="35">
        <f t="shared" ref="AB48" si="911">IF(I48="","",(I48-I$14)*1000)</f>
        <v>3.7999999476596713</v>
      </c>
      <c r="AC48" s="35">
        <f t="shared" ref="AC48" si="912">IF(J48="","",(J48-J$14)*1000)</f>
        <v>-6.9000001531094313</v>
      </c>
      <c r="AD48" s="35">
        <f t="shared" ref="AD48" si="913">IF(K48="","",(K48-K$14)*1000)</f>
        <v>-4.3000000000006366</v>
      </c>
      <c r="AE48" s="35">
        <f t="shared" ref="AE48" si="914">IF(L48="","",(L48-L$10)*1000)</f>
        <v>-1.2499999720603228</v>
      </c>
      <c r="AF48" s="35">
        <f t="shared" ref="AF48" si="915">IF(M48="","",(M48-M$10)*1000)</f>
        <v>0.40000001899898052</v>
      </c>
      <c r="AG48" s="35">
        <f t="shared" ref="AG48" si="916">IF(N48="","",(N48-N$10)*1000)</f>
        <v>-0.99999999999056399</v>
      </c>
      <c r="AH48" s="34"/>
      <c r="AI48" s="33" cm="1">
        <f t="array" ref="AI48">IFERROR(_xlfn.SINGLE(INDEX(DATABASE!$AV$14:$BC$968,SUMPRODUCT((ROW(DATABASE!$AV$14:$AV$968)) * (DATABASE!$AV$14:HY$968='Résultats observations'!$A48 ) * (DATABASE!$AW$14:$AW$968= AI$4))-ROW(DATABASE!$AV$14)+1,AI$5)),"")</f>
        <v>2.6859155806727024</v>
      </c>
      <c r="AJ48" s="33" cm="1">
        <f t="array" ref="AJ48">IFERROR(_xlfn.SINGLE(INDEX(DATABASE!$AV$14:$BC$968,SUMPRODUCT((ROW(DATABASE!$AV$14:$AV$968)) * (DATABASE!$AV$14:HZ$968='Résultats observations'!$A48 ) * (DATABASE!$AW$14:$AW$968= AJ$4))-ROW(DATABASE!$AV$14)+1,AJ$5)),"")</f>
        <v>8.1059949286059856E-3</v>
      </c>
      <c r="AK48" s="33" cm="1">
        <f t="array" ref="AK48">IFERROR(_xlfn.SINGLE(INDEX(DATABASE!$AV$14:$BC$968,SUMPRODUCT((ROW(DATABASE!$AV$14:$AV$968)) * (DATABASE!$AV$14:IA$968='Résultats observations'!$A48 ) * (DATABASE!$AW$14:$AW$968= AK$4))-ROW(DATABASE!$AV$14)+1,AK$5)),"")</f>
        <v>1.3817999999999984</v>
      </c>
      <c r="AL48" s="33" cm="1">
        <f t="array" ref="AL48">IFERROR(_xlfn.SINGLE(INDEX(DATABASE!$AV$14:$BC$968,SUMPRODUCT((ROW(DATABASE!$AV$14:$AV$968)) * (DATABASE!$AV$14:IB$968='Résultats observations'!$A48 ) * (DATABASE!$AW$14:$AW$968= AL$4))-ROW(DATABASE!$AV$14)+1,AL$5)),"")</f>
        <v>2.8614665175067793</v>
      </c>
      <c r="AM48" s="33" cm="1">
        <f t="array" ref="AM48">IFERROR(_xlfn.SINGLE(INDEX(DATABASE!$AV$14:$BC$968,SUMPRODUCT((ROW(DATABASE!$AV$14:$AV$968)) * (DATABASE!$AV$14:IC$968='Résultats observations'!$A48 ) * (DATABASE!$AW$14:$AW$968= AM$4))-ROW(DATABASE!$AV$14)+1,AM$5)),"")</f>
        <v>2.7742403701868559E-2</v>
      </c>
      <c r="AN48" s="33" cm="1">
        <f t="array" ref="AN48">IFERROR(_xlfn.SINGLE(INDEX(DATABASE!$AV$14:$BC$968,SUMPRODUCT((ROW(DATABASE!$AV$14:$AV$968)) * (DATABASE!$AV$14:ID$968='Résultats observations'!$A48 ) * (DATABASE!$AW$14:$AW$968= AN$4))-ROW(DATABASE!$AV$14)+1,AN$5)),"")</f>
        <v>1.0437999999999903</v>
      </c>
      <c r="AO48" s="167" cm="1">
        <f t="array" ref="AO48">IFERROR(_xlfn.SINGLE(INDEX(DATABASE!$AV$14:$BC$968,SUMPRODUCT((ROW(DATABASE!$AV$14:$AV$968)) * (DATABASE!$AV$14:IE$968='Résultats observations'!$A48 ) * (DATABASE!$AW$14:$AW$968= AO$4))-ROW(DATABASE!$AV$14)+1,AO$5)),"")</f>
        <v>3.0092216249886778</v>
      </c>
      <c r="AP48" s="167" cm="1">
        <f t="array" ref="AP48">IFERROR(_xlfn.SINGLE(INDEX(DATABASE!$AV$14:$BC$968,SUMPRODUCT((ROW(DATABASE!$AV$14:$AV$968)) * (DATABASE!$AV$14:IF$968='Résultats observations'!$A48 ) * (DATABASE!$AW$14:$AW$968= AP$4))-ROW(DATABASE!$AV$14)+1,AP$5)),"")</f>
        <v>6.9835256174223675E-2</v>
      </c>
      <c r="AQ48" s="167" cm="1">
        <f t="array" ref="AQ48">IFERROR(_xlfn.SINGLE(INDEX(DATABASE!$AV$14:$BC$968,SUMPRODUCT((ROW(DATABASE!$AV$14:$AV$968)) * (DATABASE!$AV$14:IG$968='Résultats observations'!$A48 ) * (DATABASE!$AW$14:$AW$968= AQ$4))-ROW(DATABASE!$AV$14)+1,AQ$5)),"")</f>
        <v>0.59599999999998943</v>
      </c>
      <c r="AR48" s="33" cm="1">
        <f t="array" ref="AR48">IFERROR(_xlfn.SINGLE(INDEX(DATABASE!$AV$14:$BC$968,SUMPRODUCT((ROW(DATABASE!$AV$14:$AV$968)) * (DATABASE!$AV$14:IH$968='Résultats observations'!$A48 ) * (DATABASE!$AW$14:$AW$968= AR$4))-ROW(DATABASE!$AV$14)+1,AR$5)),"")</f>
        <v>-2.8355899609236817</v>
      </c>
      <c r="AS48" s="33" cm="1">
        <f t="array" ref="AS48">IFERROR(_xlfn.SINGLE(INDEX(DATABASE!$AV$14:$BC$968,SUMPRODUCT((ROW(DATABASE!$AV$14:$AV$968)) * (DATABASE!$AV$14:II$968='Résultats observations'!$A48 ) * (DATABASE!$AW$14:$AW$968= AS$4))-ROW(DATABASE!$AV$14)+1,AS$5)),"")</f>
        <v>1.3560707765700997E-2</v>
      </c>
      <c r="AT48" s="33" cm="1">
        <f t="array" ref="AT48">IFERROR(_xlfn.SINGLE(INDEX(DATABASE!$AV$14:$BC$968,SUMPRODUCT((ROW(DATABASE!$AV$14:$AV$968)) * (DATABASE!$AV$14:IJ$968='Résultats observations'!$A48 ) * (DATABASE!$AW$14:$AW$968= AT$4))-ROW(DATABASE!$AV$14)+1,AT$5)),"")</f>
        <v>1.1701999999999941</v>
      </c>
      <c r="AU48" s="34"/>
      <c r="AV48" s="35">
        <f t="shared" ref="AV48" si="917">IF(AI48="","",(AI48-AI$10)*1000)</f>
        <v>-1.7759893783662051</v>
      </c>
      <c r="AW48" s="35">
        <f t="shared" ref="AW48" si="918">IF(AJ48="","",(AJ48-AJ$10)*1000)</f>
        <v>0.49584445640891894</v>
      </c>
      <c r="AX48" s="35">
        <f t="shared" ref="AX48" si="919">IF(AK48="","",(AK48-AK$10)*1000)</f>
        <v>-4.7999999999888132</v>
      </c>
      <c r="AY48" s="35">
        <f t="shared" ref="AY48" si="920">IF(AL48="","",(AL48-AL$11)*1000)</f>
        <v>-1.6182640060442566</v>
      </c>
      <c r="AZ48" s="35">
        <f t="shared" ref="AZ48" si="921">IF(AM48="","",(AM48-AM$11)*1000)</f>
        <v>2.9968686930899882</v>
      </c>
      <c r="BA48" s="35">
        <f t="shared" ref="BA48" si="922">IF(AN48="","",(AN48-AN$11)*1000)</f>
        <v>-3.0000000000001137</v>
      </c>
      <c r="BB48" s="35">
        <f t="shared" ref="BB48" si="923">IF(AO48="","",(AO48-AO$14)*1000)</f>
        <v>-7.8594908921569839</v>
      </c>
      <c r="BC48" s="35">
        <f t="shared" ref="BC48" si="924">IF(AP48="","",(AP48-AP$14)*1000)</f>
        <v>0.52764062696782077</v>
      </c>
      <c r="BD48" s="35">
        <f t="shared" ref="BD48" si="925">IF(AQ48="","",(AQ48-AQ$14)*1000)</f>
        <v>-4.3000000000006366</v>
      </c>
      <c r="BE48" s="35">
        <f t="shared" ref="BE48" si="926">IF(AR48="","",(AR48-AR$10)*1000)</f>
        <v>0.89082818063523916</v>
      </c>
      <c r="BF48" s="35">
        <f t="shared" ref="BF48" si="927">IF(AS48="","",(AS48-AS$10)*1000)</f>
        <v>-0.96380760421123191</v>
      </c>
      <c r="BG48" s="35">
        <f t="shared" ref="BG48" si="928">IF(AT48="","",(AT48-AT$10)*1000)</f>
        <v>-0.99999999999056399</v>
      </c>
    </row>
    <row r="49" spans="1:59" s="57" customFormat="1" ht="29.25" customHeight="1">
      <c r="A49" s="172">
        <v>45782</v>
      </c>
      <c r="B49" s="25">
        <f t="shared" ref="B49" si="929">A49-A$10</f>
        <v>250</v>
      </c>
      <c r="C49" s="80" cm="1">
        <f t="array" ref="C49">IFERROR(_xlfn.SINGLE(INDEX(DATABASE!$AV$14:$BC$968,SUMPRODUCT((ROW(DATABASE!$AV$14:$AV$968)) * (DATABASE!AV$14:$AV$968='Résultats observations'!$A49 ) * (DATABASE!$AW$14:$AW$968= C$4))-ROW(DATABASE!$AV$14)+1,C$5)),"")</f>
        <v>823147.64980000001</v>
      </c>
      <c r="D49" s="158" cm="1">
        <f t="array" ref="D49">IFERROR(_xlfn.SINGLE(INDEX(DATABASE!$AV$14:$BC$968,SUMPRODUCT((ROW(DATABASE!$AV$14:$AV$968)) * (DATABASE!$AV$14:AW$968='Résultats observations'!$A49 ) * (DATABASE!$AW$14:$AW$968= D$4))-ROW(DATABASE!$AV$14)+1,D$5)),"")</f>
        <v>1091710.0841000001</v>
      </c>
      <c r="E49" s="158" cm="1">
        <f t="array" ref="E49">IFERROR(_xlfn.SINGLE(INDEX(DATABASE!$AV$14:$BC$968,SUMPRODUCT((ROW(DATABASE!$AV$14:$AV$968)) * (DATABASE!$AV$14:AX$968='Résultats observations'!$A49 ) * (DATABASE!$AW$14:$AW$968= E$4))-ROW(DATABASE!$AV$14)+1,E$5)),"")</f>
        <v>-121.5722</v>
      </c>
      <c r="F49" s="158" cm="1">
        <f t="array" ref="F49">IFERROR(_xlfn.SINGLE(INDEX(DATABASE!$AV$14:$BC$968,SUMPRODUCT((ROW(DATABASE!$AV$14:$AV$968)) * (DATABASE!$AV$14:AY$968='Résultats observations'!$A49 ) * (DATABASE!$AW$14:$AW$968= F$4))-ROW(DATABASE!$AV$14)+1,F$5)),"")</f>
        <v>823147.59270000004</v>
      </c>
      <c r="G49" s="158" cm="1">
        <f t="array" ref="G49">IFERROR(_xlfn.SINGLE(INDEX(DATABASE!$AV$14:$BC$968,SUMPRODUCT((ROW(DATABASE!$AV$14:$AV$968)) * (DATABASE!$AV$14:AZ$968='Résultats observations'!$A49 ) * (DATABASE!$AW$14:$AW$968= G$4))-ROW(DATABASE!$AV$14)+1,G$5)),"")</f>
        <v>1091710.2503</v>
      </c>
      <c r="H49" s="158" cm="1">
        <f t="array" ref="H49">IFERROR(_xlfn.SINGLE(INDEX(DATABASE!$AV$14:$BC$968,SUMPRODUCT((ROW(DATABASE!$AV$14:$AV$968)) * (DATABASE!$AV$14:BA$968='Résultats observations'!$A49 ) * (DATABASE!$AW$14:$AW$968= H$4))-ROW(DATABASE!$AV$14)+1,H$5)),"")</f>
        <v>-121.9106</v>
      </c>
      <c r="I49" s="167" cm="1">
        <f t="array" ref="I49">IFERROR(_xlfn.SINGLE(INDEX(DATABASE!$AV$14:$BC$968,SUMPRODUCT((ROW(DATABASE!$AV$14:$AV$968)) * (DATABASE!$AV$14:BB$968='Résultats observations'!$A49 ) * (DATABASE!$AW$14:$AW$968= I$4))-ROW(DATABASE!$AV$14)+1,I$5)),"")</f>
        <v>823147.56920000003</v>
      </c>
      <c r="J49" s="167" cm="1">
        <f t="array" ref="J49">IFERROR(_xlfn.SINGLE(INDEX(DATABASE!$AV$14:$BC$968,SUMPRODUCT((ROW(DATABASE!$AV$14:$AV$968)) * (DATABASE!$AV$14:BC$968='Résultats observations'!$A49 ) * (DATABASE!$AW$14:$AW$968= J$4))-ROW(DATABASE!$AV$14)+1,J$5)),"")</f>
        <v>1091710.4029999999</v>
      </c>
      <c r="K49" s="167" cm="1">
        <f t="array" ref="K49">IFERROR(_xlfn.SINGLE(INDEX(DATABASE!$AV$14:$BC$968,SUMPRODUCT((ROW(DATABASE!$AV$14:$AV$968)) * (DATABASE!$AV$14:BD$968='Résultats observations'!$A49 ) * (DATABASE!$AW$14:$AW$968= K$4))-ROW(DATABASE!$AV$14)+1,K$5)),"")</f>
        <v>-122.35809999999999</v>
      </c>
      <c r="L49" s="158" cm="1">
        <f t="array" ref="L49">IFERROR(_xlfn.SINGLE(INDEX(DATABASE!$AV$14:$BC$968,SUMPRODUCT((ROW(DATABASE!$AV$14:$AV$968)) * (DATABASE!$AV$14:BE$968='Résultats observations'!$A49 ) * (DATABASE!$AW$14:$AW$968= L$4))-ROW(DATABASE!$AV$14)+1,L$5)),"")</f>
        <v>823149.98950000003</v>
      </c>
      <c r="M49" s="158" cm="1">
        <f t="array" ref="M49">IFERROR(_xlfn.SINGLE(INDEX(DATABASE!$AV$14:$BC$968,SUMPRODUCT((ROW(DATABASE!$AV$14:$AV$968)) * (DATABASE!$AV$14:BF$968='Résultats observations'!$A49 ) * (DATABASE!$AW$14:$AW$968= M$4))-ROW(DATABASE!$AV$14)+1,M$5)),"")</f>
        <v>1091705.0824</v>
      </c>
      <c r="N49" s="158" cm="1">
        <f t="array" ref="N49">IFERROR(_xlfn.SINGLE(INDEX(DATABASE!$AV$14:$BC$968,SUMPRODUCT((ROW(DATABASE!$AV$14:$AV$968)) * (DATABASE!$AV$14:BG$968='Résultats observations'!$A49 ) * (DATABASE!$AW$14:$AW$968= N$4))-ROW(DATABASE!$AV$14)+1,N$5)),"")</f>
        <v>-121.7834</v>
      </c>
      <c r="O49" s="33">
        <f t="shared" si="0"/>
        <v>5.5259211378233744</v>
      </c>
      <c r="P49" s="33">
        <f t="shared" si="1"/>
        <v>5.6980716466138714</v>
      </c>
      <c r="Q49" s="33">
        <f t="shared" si="2"/>
        <v>5.8734075748025747</v>
      </c>
      <c r="R49" s="35">
        <f t="shared" ref="R49" si="930">IF(O49="","",(O49-O$10)*1000)</f>
        <v>-2.4534173328074615</v>
      </c>
      <c r="S49" s="35">
        <f t="shared" ref="S49" si="931">IF(P49="","",(P49-P$11)*1000)</f>
        <v>-2.8082240214946097</v>
      </c>
      <c r="T49" s="35">
        <f t="shared" ref="T49" si="932">IF(Q49="","",(Q49-Q$14)*1000)</f>
        <v>-8.2002956296856055</v>
      </c>
      <c r="U49" s="34"/>
      <c r="V49" s="35">
        <f t="shared" ref="V49" si="933">IF(C49="","",(C49-C$10)*1000)</f>
        <v>1.0000000474974513</v>
      </c>
      <c r="W49" s="35">
        <f t="shared" ref="W49" si="934">IF(D49="","",(D49-D$10)*1000)</f>
        <v>-1.5999998431652784</v>
      </c>
      <c r="X49" s="35">
        <f t="shared" ref="X49" si="935">IF(E49="","",(E49-E$10)*1000)</f>
        <v>-4.7999999999888132</v>
      </c>
      <c r="Y49" s="35">
        <f t="shared" ref="Y49" si="936">IF(F49="","",(F49-F$11)*1000)</f>
        <v>2.5000000605359674</v>
      </c>
      <c r="Z49" s="35">
        <f t="shared" ref="Z49" si="937">IF(G49="","",(G49-G$11)*1000)</f>
        <v>-1.6000000759959221</v>
      </c>
      <c r="AA49" s="35">
        <f t="shared" ref="AA49" si="938">IF(H49="","",(H49-H$11)*1000)</f>
        <v>-3.3999999999991815</v>
      </c>
      <c r="AB49" s="35">
        <f t="shared" ref="AB49" si="939">IF(I49="","",(I49-I$14)*1000)</f>
        <v>3.7000000011175871</v>
      </c>
      <c r="AC49" s="35">
        <f t="shared" ref="AC49" si="940">IF(J49="","",(J49-J$14)*1000)</f>
        <v>-7.3000001721084118</v>
      </c>
      <c r="AD49" s="35">
        <f t="shared" ref="AD49" si="941">IF(K49="","",(K49-K$14)*1000)</f>
        <v>-4.3999999999897454</v>
      </c>
      <c r="AE49" s="35">
        <f t="shared" ref="AE49" si="942">IF(L49="","",(L49-L$10)*1000)</f>
        <v>-0.3499999875202775</v>
      </c>
      <c r="AF49" s="35">
        <f t="shared" ref="AF49" si="943">IF(M49="","",(M49-M$10)*1000)</f>
        <v>0.29999995604157448</v>
      </c>
      <c r="AG49" s="35">
        <f t="shared" ref="AG49" si="944">IF(N49="","",(N49-N$10)*1000)</f>
        <v>-0.59999999999149622</v>
      </c>
      <c r="AH49" s="34"/>
      <c r="AI49" s="33" cm="1">
        <f t="array" ref="AI49">IFERROR(_xlfn.SINGLE(INDEX(DATABASE!$AV$14:$BC$968,SUMPRODUCT((ROW(DATABASE!$AV$14:$AV$968)) * (DATABASE!$AV$14:HY$968='Résultats observations'!$A49 ) * (DATABASE!$AW$14:$AW$968= AI$4))-ROW(DATABASE!$AV$14)+1,AI$5)),"")</f>
        <v>2.6858188517572965</v>
      </c>
      <c r="AJ49" s="33" cm="1">
        <f t="array" ref="AJ49">IFERROR(_xlfn.SINGLE(INDEX(DATABASE!$AV$14:$BC$968,SUMPRODUCT((ROW(DATABASE!$AV$14:$AV$968)) * (DATABASE!$AV$14:HZ$968='Résultats observations'!$A49 ) * (DATABASE!$AW$14:$AW$968= AJ$4))-ROW(DATABASE!$AV$14)+1,AJ$5)),"")</f>
        <v>7.8402065203595165E-3</v>
      </c>
      <c r="AK49" s="33" cm="1">
        <f t="array" ref="AK49">IFERROR(_xlfn.SINGLE(INDEX(DATABASE!$AV$14:$BC$968,SUMPRODUCT((ROW(DATABASE!$AV$14:$AV$968)) * (DATABASE!$AV$14:IA$968='Résultats observations'!$A49 ) * (DATABASE!$AW$14:$AW$968= AK$4))-ROW(DATABASE!$AV$14)+1,AK$5)),"")</f>
        <v>1.3817999999999984</v>
      </c>
      <c r="AL49" s="33" cm="1">
        <f t="array" ref="AL49">IFERROR(_xlfn.SINGLE(INDEX(DATABASE!$AV$14:$BC$968,SUMPRODUCT((ROW(DATABASE!$AV$14:$AV$968)) * (DATABASE!$AV$14:IB$968='Résultats observations'!$A49 ) * (DATABASE!$AW$14:$AW$968= AL$4))-ROW(DATABASE!$AV$14)+1,AL$5)),"")</f>
        <v>2.8605780901456281</v>
      </c>
      <c r="AM49" s="33" cm="1">
        <f t="array" ref="AM49">IFERROR(_xlfn.SINGLE(INDEX(DATABASE!$AV$14:$BC$968,SUMPRODUCT((ROW(DATABASE!$AV$14:$AV$968)) * (DATABASE!$AV$14:IC$968='Résultats observations'!$A49 ) * (DATABASE!$AW$14:$AW$968= AM$4))-ROW(DATABASE!$AV$14)+1,AM$5)),"")</f>
        <v>2.6335031449634467E-2</v>
      </c>
      <c r="AN49" s="33" cm="1">
        <f t="array" ref="AN49">IFERROR(_xlfn.SINGLE(INDEX(DATABASE!$AV$14:$BC$968,SUMPRODUCT((ROW(DATABASE!$AV$14:$AV$968)) * (DATABASE!$AV$14:ID$968='Résultats observations'!$A49 ) * (DATABASE!$AW$14:$AW$968= AN$4))-ROW(DATABASE!$AV$14)+1,AN$5)),"")</f>
        <v>1.0433999999999912</v>
      </c>
      <c r="AO49" s="167" cm="1">
        <f t="array" ref="AO49">IFERROR(_xlfn.SINGLE(INDEX(DATABASE!$AV$14:$BC$968,SUMPRODUCT((ROW(DATABASE!$AV$14:$AV$968)) * (DATABASE!$AV$14:IE$968='Résultats observations'!$A49 ) * (DATABASE!$AW$14:$AW$968= AO$4))-ROW(DATABASE!$AV$14)+1,AO$5)),"")</f>
        <v>3.008901372344849</v>
      </c>
      <c r="AP49" s="167" cm="1">
        <f t="array" ref="AP49">IFERROR(_xlfn.SINGLE(INDEX(DATABASE!$AV$14:$BC$968,SUMPRODUCT((ROW(DATABASE!$AV$14:$AV$968)) * (DATABASE!$AV$14:IF$968='Résultats observations'!$A49 ) * (DATABASE!$AW$14:$AW$968= AP$4))-ROW(DATABASE!$AV$14)+1,AP$5)),"")</f>
        <v>6.9575567420849221E-2</v>
      </c>
      <c r="AQ49" s="167" cm="1">
        <f t="array" ref="AQ49">IFERROR(_xlfn.SINGLE(INDEX(DATABASE!$AV$14:$BC$968,SUMPRODUCT((ROW(DATABASE!$AV$14:$AV$968)) * (DATABASE!$AV$14:IG$968='Résultats observations'!$A49 ) * (DATABASE!$AW$14:$AW$968= AQ$4))-ROW(DATABASE!$AV$14)+1,AQ$5)),"")</f>
        <v>0.59590000000000032</v>
      </c>
      <c r="AR49" s="33" cm="1">
        <f t="array" ref="AR49">IFERROR(_xlfn.SINGLE(INDEX(DATABASE!$AV$14:$BC$968,SUMPRODUCT((ROW(DATABASE!$AV$14:$AV$968)) * (DATABASE!$AV$14:IH$968='Résultats observations'!$A49 ) * (DATABASE!$AW$14:$AW$968= AR$4))-ROW(DATABASE!$AV$14)+1,AR$5)),"")</f>
        <v>-2.83606097405363</v>
      </c>
      <c r="AS49" s="33" cm="1">
        <f t="array" ref="AS49">IFERROR(_xlfn.SINGLE(INDEX(DATABASE!$AV$14:$BC$968,SUMPRODUCT((ROW(DATABASE!$AV$14:$AV$968)) * (DATABASE!$AV$14:II$968='Résultats observations'!$A49 ) * (DATABASE!$AW$14:$AW$968= AS$4))-ROW(DATABASE!$AV$14)+1,AS$5)),"")</f>
        <v>1.4334107155524327E-2</v>
      </c>
      <c r="AT49" s="33" cm="1">
        <f t="array" ref="AT49">IFERROR(_xlfn.SINGLE(INDEX(DATABASE!$AV$14:$BC$968,SUMPRODUCT((ROW(DATABASE!$AV$14:$AV$968)) * (DATABASE!$AV$14:IJ$968='Résultats observations'!$A49 ) * (DATABASE!$AW$14:$AW$968= AT$4))-ROW(DATABASE!$AV$14)+1,AT$5)),"")</f>
        <v>1.1705999999999932</v>
      </c>
      <c r="AU49" s="34"/>
      <c r="AV49" s="35">
        <f t="shared" ref="AV49" si="945">IF(AI49="","",(AI49-AI$10)*1000)</f>
        <v>-1.8727182937721132</v>
      </c>
      <c r="AW49" s="35">
        <f t="shared" ref="AW49" si="946">IF(AJ49="","",(AJ49-AJ$10)*1000)</f>
        <v>0.2300560481624499</v>
      </c>
      <c r="AX49" s="35">
        <f t="shared" ref="AX49" si="947">IF(AK49="","",(AK49-AK$10)*1000)</f>
        <v>-4.7999999999888132</v>
      </c>
      <c r="AY49" s="35">
        <f t="shared" ref="AY49" si="948">IF(AL49="","",(AL49-AL$11)*1000)</f>
        <v>-2.5066913671953905</v>
      </c>
      <c r="AZ49" s="35">
        <f t="shared" ref="AZ49" si="949">IF(AM49="","",(AM49-AM$11)*1000)</f>
        <v>1.5894964408558963</v>
      </c>
      <c r="BA49" s="35">
        <f t="shared" ref="BA49" si="950">IF(AN49="","",(AN49-AN$11)*1000)</f>
        <v>-3.3999999999991815</v>
      </c>
      <c r="BB49" s="35">
        <f t="shared" ref="BB49" si="951">IF(AO49="","",(AO49-AO$14)*1000)</f>
        <v>-8.1797435359858284</v>
      </c>
      <c r="BC49" s="35">
        <f t="shared" ref="BC49" si="952">IF(AP49="","",(AP49-AP$14)*1000)</f>
        <v>0.2679518735933667</v>
      </c>
      <c r="BD49" s="35">
        <f t="shared" ref="BD49" si="953">IF(AQ49="","",(AQ49-AQ$14)*1000)</f>
        <v>-4.3999999999897454</v>
      </c>
      <c r="BE49" s="35">
        <f t="shared" ref="BE49" si="954">IF(AR49="","",(AR49-AR$10)*1000)</f>
        <v>0.41981505068688918</v>
      </c>
      <c r="BF49" s="35">
        <f t="shared" ref="BF49" si="955">IF(AS49="","",(AS49-AS$10)*1000)</f>
        <v>-0.19040821438790281</v>
      </c>
      <c r="BG49" s="35">
        <f t="shared" ref="BG49" si="956">IF(AT49="","",(AT49-AT$10)*1000)</f>
        <v>-0.59999999999149622</v>
      </c>
    </row>
    <row r="50" spans="1:59" s="57" customFormat="1" ht="29.25" customHeight="1">
      <c r="A50" s="172">
        <v>45798</v>
      </c>
      <c r="B50" s="25">
        <f t="shared" ref="B50" si="957">A50-A$10</f>
        <v>266</v>
      </c>
      <c r="C50" s="80" cm="1">
        <f t="array" ref="C50">IFERROR(_xlfn.SINGLE(INDEX(DATABASE!$AV$14:$BC$968,SUMPRODUCT((ROW(DATABASE!$AV$14:$AV$968)) * (DATABASE!AV$14:$AV$968='Résultats observations'!$A50 ) * (DATABASE!$AW$14:$AW$968= C$4))-ROW(DATABASE!$AV$14)+1,C$5)),"")</f>
        <v>823147.65049999999</v>
      </c>
      <c r="D50" s="158" cm="1">
        <f t="array" ref="D50">IFERROR(_xlfn.SINGLE(INDEX(DATABASE!$AV$14:$BC$968,SUMPRODUCT((ROW(DATABASE!$AV$14:$AV$968)) * (DATABASE!$AV$14:AW$968='Résultats observations'!$A50 ) * (DATABASE!$AW$14:$AW$968= D$4))-ROW(DATABASE!$AV$14)+1,D$5)),"")</f>
        <v>1091710.0843</v>
      </c>
      <c r="E50" s="158" cm="1">
        <f t="array" ref="E50">IFERROR(_xlfn.SINGLE(INDEX(DATABASE!$AV$14:$BC$968,SUMPRODUCT((ROW(DATABASE!$AV$14:$AV$968)) * (DATABASE!$AV$14:AX$968='Résultats observations'!$A50 ) * (DATABASE!$AW$14:$AW$968= E$4))-ROW(DATABASE!$AV$14)+1,E$5)),"")</f>
        <v>-121.57210000000001</v>
      </c>
      <c r="F50" s="158" cm="1">
        <f t="array" ref="F50">IFERROR(_xlfn.SINGLE(INDEX(DATABASE!$AV$14:$BC$968,SUMPRODUCT((ROW(DATABASE!$AV$14:$AV$968)) * (DATABASE!$AV$14:AY$968='Résultats observations'!$A50 ) * (DATABASE!$AW$14:$AW$968= F$4))-ROW(DATABASE!$AV$14)+1,F$5)),"")</f>
        <v>823147.59369999997</v>
      </c>
      <c r="G50" s="158" cm="1">
        <f t="array" ref="G50">IFERROR(_xlfn.SINGLE(INDEX(DATABASE!$AV$14:$BC$968,SUMPRODUCT((ROW(DATABASE!$AV$14:$AV$968)) * (DATABASE!$AV$14:AZ$968='Résultats observations'!$A50 ) * (DATABASE!$AW$14:$AW$968= G$4))-ROW(DATABASE!$AV$14)+1,G$5)),"")</f>
        <v>1091710.2512000001</v>
      </c>
      <c r="H50" s="158" cm="1">
        <f t="array" ref="H50">IFERROR(_xlfn.SINGLE(INDEX(DATABASE!$AV$14:$BC$968,SUMPRODUCT((ROW(DATABASE!$AV$14:$AV$968)) * (DATABASE!$AV$14:BA$968='Résultats observations'!$A50 ) * (DATABASE!$AW$14:$AW$968= H$4))-ROW(DATABASE!$AV$14)+1,H$5)),"")</f>
        <v>-121.9102</v>
      </c>
      <c r="I50" s="167" cm="1">
        <f t="array" ref="I50">IFERROR(_xlfn.SINGLE(INDEX(DATABASE!$AV$14:$BC$968,SUMPRODUCT((ROW(DATABASE!$AV$14:$AV$968)) * (DATABASE!$AV$14:BB$968='Résultats observations'!$A50 ) * (DATABASE!$AW$14:$AW$968= I$4))-ROW(DATABASE!$AV$14)+1,I$5)),"")</f>
        <v>823147.5699</v>
      </c>
      <c r="J50" s="167" cm="1">
        <f t="array" ref="J50">IFERROR(_xlfn.SINGLE(INDEX(DATABASE!$AV$14:$BC$968,SUMPRODUCT((ROW(DATABASE!$AV$14:$AV$968)) * (DATABASE!$AV$14:BC$968='Résultats observations'!$A50 ) * (DATABASE!$AW$14:$AW$968= J$4))-ROW(DATABASE!$AV$14)+1,J$5)),"")</f>
        <v>1091710.4032000001</v>
      </c>
      <c r="K50" s="167" cm="1">
        <f t="array" ref="K50">IFERROR(_xlfn.SINGLE(INDEX(DATABASE!$AV$14:$BC$968,SUMPRODUCT((ROW(DATABASE!$AV$14:$AV$968)) * (DATABASE!$AV$14:BD$968='Résultats observations'!$A50 ) * (DATABASE!$AW$14:$AW$968= K$4))-ROW(DATABASE!$AV$14)+1,K$5)),"")</f>
        <v>-122.3579</v>
      </c>
      <c r="L50" s="158" cm="1">
        <f t="array" ref="L50">IFERROR(_xlfn.SINGLE(INDEX(DATABASE!$AV$14:$BC$968,SUMPRODUCT((ROW(DATABASE!$AV$14:$AV$968)) * (DATABASE!$AV$14:BE$968='Résultats observations'!$A50 ) * (DATABASE!$AW$14:$AW$968= L$4))-ROW(DATABASE!$AV$14)+1,L$5)),"")</f>
        <v>823149.98930000002</v>
      </c>
      <c r="M50" s="158" cm="1">
        <f t="array" ref="M50">IFERROR(_xlfn.SINGLE(INDEX(DATABASE!$AV$14:$BC$968,SUMPRODUCT((ROW(DATABASE!$AV$14:$AV$968)) * (DATABASE!$AV$14:BF$968='Résultats observations'!$A50 ) * (DATABASE!$AW$14:$AW$968= M$4))-ROW(DATABASE!$AV$14)+1,M$5)),"")</f>
        <v>1091705.0828</v>
      </c>
      <c r="N50" s="158" cm="1">
        <f t="array" ref="N50">IFERROR(_xlfn.SINGLE(INDEX(DATABASE!$AV$14:$BC$968,SUMPRODUCT((ROW(DATABASE!$AV$14:$AV$968)) * (DATABASE!$AV$14:BG$968='Résultats observations'!$A50 ) * (DATABASE!$AW$14:$AW$968= N$4))-ROW(DATABASE!$AV$14)+1,N$5)),"")</f>
        <v>-121.78360000000001</v>
      </c>
      <c r="O50" s="33">
        <f t="shared" si="0"/>
        <v>5.5253705704012184</v>
      </c>
      <c r="P50" s="33">
        <f t="shared" si="1"/>
        <v>5.698007149967153</v>
      </c>
      <c r="Q50" s="33">
        <f t="shared" si="2"/>
        <v>5.87281644621733</v>
      </c>
      <c r="R50" s="35">
        <f t="shared" ref="R50" si="958">IF(O50="","",(O50-O$10)*1000)</f>
        <v>-3.0039847549634402</v>
      </c>
      <c r="S50" s="35">
        <f t="shared" ref="S50" si="959">IF(P50="","",(P50-P$11)*1000)</f>
        <v>-2.8727206682130912</v>
      </c>
      <c r="T50" s="35">
        <f t="shared" ref="T50" si="960">IF(Q50="","",(Q50-Q$14)*1000)</f>
        <v>-8.7914242149302879</v>
      </c>
      <c r="U50" s="34"/>
      <c r="V50" s="35">
        <f t="shared" ref="V50" si="961">IF(C50="","",(C50-C$10)*1000)</f>
        <v>1.7000000225380063</v>
      </c>
      <c r="W50" s="35">
        <f t="shared" ref="W50" si="962">IF(D50="","",(D50-D$10)*1000)</f>
        <v>-1.39999995008111</v>
      </c>
      <c r="X50" s="35">
        <f t="shared" ref="X50" si="963">IF(E50="","",(E50-E$10)*1000)</f>
        <v>-4.6999999999997044</v>
      </c>
      <c r="Y50" s="35">
        <f t="shared" ref="Y50" si="964">IF(F50="","",(F50-F$11)*1000)</f>
        <v>3.4999999916180968</v>
      </c>
      <c r="Z50" s="35">
        <f t="shared" ref="Z50" si="965">IF(G50="","",(G50-G$11)*1000)</f>
        <v>-0.699999975040555</v>
      </c>
      <c r="AA50" s="35">
        <f t="shared" ref="AA50" si="966">IF(H50="","",(H50-H$11)*1000)</f>
        <v>-3.0000000000001137</v>
      </c>
      <c r="AB50" s="35">
        <f t="shared" ref="AB50" si="967">IF(I50="","",(I50-I$14)*1000)</f>
        <v>4.3999999761581421</v>
      </c>
      <c r="AC50" s="35">
        <f t="shared" ref="AC50" si="968">IF(J50="","",(J50-J$14)*1000)</f>
        <v>-7.1000000461935997</v>
      </c>
      <c r="AD50" s="35">
        <f t="shared" ref="AD50" si="969">IF(K50="","",(K50-K$14)*1000)</f>
        <v>-4.199999999997317</v>
      </c>
      <c r="AE50" s="35">
        <f t="shared" ref="AE50" si="970">IF(L50="","",(L50-L$10)*1000)</f>
        <v>-0.54999999701976776</v>
      </c>
      <c r="AF50" s="35">
        <f t="shared" ref="AF50" si="971">IF(M50="","",(M50-M$10)*1000)</f>
        <v>0.699999975040555</v>
      </c>
      <c r="AG50" s="35">
        <f t="shared" ref="AG50" si="972">IF(N50="","",(N50-N$10)*1000)</f>
        <v>-0.79999999999813554</v>
      </c>
      <c r="AH50" s="34"/>
      <c r="AI50" s="33" cm="1">
        <f t="array" ref="AI50">IFERROR(_xlfn.SINGLE(INDEX(DATABASE!$AV$14:$BC$968,SUMPRODUCT((ROW(DATABASE!$AV$14:$AV$968)) * (DATABASE!$AV$14:HY$968='Résultats observations'!$A50 ) * (DATABASE!$AW$14:$AW$968= AI$4))-ROW(DATABASE!$AV$14)+1,AI$5)),"")</f>
        <v>2.6857042564016331</v>
      </c>
      <c r="AJ50" s="33" cm="1">
        <f t="array" ref="AJ50">IFERROR(_xlfn.SINGLE(INDEX(DATABASE!$AV$14:$BC$968,SUMPRODUCT((ROW(DATABASE!$AV$14:$AV$968)) * (DATABASE!$AV$14:HZ$968='Résultats observations'!$A50 ) * (DATABASE!$AW$14:$AW$968= AJ$4))-ROW(DATABASE!$AV$14)+1,AJ$5)),"")</f>
        <v>8.5591417238050846E-3</v>
      </c>
      <c r="AK50" s="33" cm="1">
        <f t="array" ref="AK50">IFERROR(_xlfn.SINGLE(INDEX(DATABASE!$AV$14:$BC$968,SUMPRODUCT((ROW(DATABASE!$AV$14:$AV$968)) * (DATABASE!$AV$14:IA$968='Résultats observations'!$A50 ) * (DATABASE!$AW$14:$AW$968= AK$4))-ROW(DATABASE!$AV$14)+1,AK$5)),"")</f>
        <v>1.3818999999999875</v>
      </c>
      <c r="AL50" s="33" cm="1">
        <f t="array" ref="AL50">IFERROR(_xlfn.SINGLE(INDEX(DATABASE!$AV$14:$BC$968,SUMPRODUCT((ROW(DATABASE!$AV$14:$AV$968)) * (DATABASE!$AV$14:IB$968='Résultats observations'!$A50 ) * (DATABASE!$AW$14:$AW$968= AL$4))-ROW(DATABASE!$AV$14)+1,AL$5)),"")</f>
        <v>2.8609711059825558</v>
      </c>
      <c r="AM50" s="33" cm="1">
        <f t="array" ref="AM50">IFERROR(_xlfn.SINGLE(INDEX(DATABASE!$AV$14:$BC$968,SUMPRODUCT((ROW(DATABASE!$AV$14:$AV$968)) * (DATABASE!$AV$14:IC$968='Résultats observations'!$A50 ) * (DATABASE!$AW$14:$AW$968= AM$4))-ROW(DATABASE!$AV$14)+1,AM$5)),"")</f>
        <v>2.7621708796838847E-2</v>
      </c>
      <c r="AN50" s="33" cm="1">
        <f t="array" ref="AN50">IFERROR(_xlfn.SINGLE(INDEX(DATABASE!$AV$14:$BC$968,SUMPRODUCT((ROW(DATABASE!$AV$14:$AV$968)) * (DATABASE!$AV$14:ID$968='Résultats observations'!$A50 ) * (DATABASE!$AW$14:$AW$968= AN$4))-ROW(DATABASE!$AV$14)+1,AN$5)),"")</f>
        <v>1.0437999999999903</v>
      </c>
      <c r="AO50" s="167" cm="1">
        <f t="array" ref="AO50">IFERROR(_xlfn.SINGLE(INDEX(DATABASE!$AV$14:$BC$968,SUMPRODUCT((ROW(DATABASE!$AV$14:$AV$968)) * (DATABASE!$AV$14:IE$968='Résultats observations'!$A50 ) * (DATABASE!$AW$14:$AW$968= AO$4))-ROW(DATABASE!$AV$14)+1,AO$5)),"")</f>
        <v>3.0087867772001986</v>
      </c>
      <c r="AP50" s="167" cm="1">
        <f t="array" ref="AP50">IFERROR(_xlfn.SINGLE(INDEX(DATABASE!$AV$14:$BC$968,SUMPRODUCT((ROW(DATABASE!$AV$14:$AV$968)) * (DATABASE!$AV$14:IF$968='Résultats observations'!$A50 ) * (DATABASE!$AW$14:$AW$968= AP$4))-ROW(DATABASE!$AV$14)+1,AP$5)),"")</f>
        <v>7.0294502722699242E-2</v>
      </c>
      <c r="AQ50" s="167" cm="1">
        <f t="array" ref="AQ50">IFERROR(_xlfn.SINGLE(INDEX(DATABASE!$AV$14:$BC$968,SUMPRODUCT((ROW(DATABASE!$AV$14:$AV$968)) * (DATABASE!$AV$14:IG$968='Résultats observations'!$A50 ) * (DATABASE!$AW$14:$AW$968= AQ$4))-ROW(DATABASE!$AV$14)+1,AQ$5)),"")</f>
        <v>0.59609999999999275</v>
      </c>
      <c r="AR50" s="33" cm="1">
        <f t="array" ref="AR50">IFERROR(_xlfn.SINGLE(INDEX(DATABASE!$AV$14:$BC$968,SUMPRODUCT((ROW(DATABASE!$AV$14:$AV$968)) * (DATABASE!$AV$14:IH$968='Résultats observations'!$A50 ) * (DATABASE!$AW$14:$AW$968= AR$4))-ROW(DATABASE!$AV$14)+1,AR$5)),"")</f>
        <v>-2.8356139268570013</v>
      </c>
      <c r="AS50" s="33" cm="1">
        <f t="array" ref="AS50">IFERROR(_xlfn.SINGLE(INDEX(DATABASE!$AV$14:$BC$968,SUMPRODUCT((ROW(DATABASE!$AV$14:$AV$968)) * (DATABASE!$AV$14:II$968='Résultats observations'!$A50 ) * (DATABASE!$AW$14:$AW$968= AS$4))-ROW(DATABASE!$AV$14)+1,AS$5)),"")</f>
        <v>1.4321907852880509E-2</v>
      </c>
      <c r="AT50" s="33" cm="1">
        <f t="array" ref="AT50">IFERROR(_xlfn.SINGLE(INDEX(DATABASE!$AV$14:$BC$968,SUMPRODUCT((ROW(DATABASE!$AV$14:$AV$968)) * (DATABASE!$AV$14:IJ$968='Résultats observations'!$A50 ) * (DATABASE!$AW$14:$AW$968= AT$4))-ROW(DATABASE!$AV$14)+1,AT$5)),"")</f>
        <v>1.1703999999999866</v>
      </c>
      <c r="AU50" s="34"/>
      <c r="AV50" s="35">
        <f t="shared" ref="AV50" si="973">IF(AI50="","",(AI50-AI$10)*1000)</f>
        <v>-1.9873136494354959</v>
      </c>
      <c r="AW50" s="35">
        <f t="shared" ref="AW50" si="974">IF(AJ50="","",(AJ50-AJ$10)*1000)</f>
        <v>0.948991251608018</v>
      </c>
      <c r="AX50" s="35">
        <f t="shared" ref="AX50" si="975">IF(AK50="","",(AK50-AK$10)*1000)</f>
        <v>-4.6999999999997044</v>
      </c>
      <c r="AY50" s="35">
        <f t="shared" ref="AY50" si="976">IF(AL50="","",(AL50-AL$11)*1000)</f>
        <v>-2.1136755302677557</v>
      </c>
      <c r="AZ50" s="35">
        <f t="shared" ref="AZ50" si="977">IF(AM50="","",(AM50-AM$11)*1000)</f>
        <v>2.8761737880602758</v>
      </c>
      <c r="BA50" s="35">
        <f t="shared" ref="BA50" si="978">IF(AN50="","",(AN50-AN$11)*1000)</f>
        <v>-3.0000000000001137</v>
      </c>
      <c r="BB50" s="35">
        <f t="shared" ref="BB50" si="979">IF(AO50="","",(AO50-AO$14)*1000)</f>
        <v>-8.2943386806362263</v>
      </c>
      <c r="BC50" s="35">
        <f t="shared" ref="BC50" si="980">IF(AP50="","",(AP50-AP$14)*1000)</f>
        <v>0.98688717544338778</v>
      </c>
      <c r="BD50" s="35">
        <f t="shared" ref="BD50" si="981">IF(AQ50="","",(AQ50-AQ$14)*1000)</f>
        <v>-4.199999999997317</v>
      </c>
      <c r="BE50" s="35">
        <f t="shared" ref="BE50" si="982">IF(AR50="","",(AR50-AR$10)*1000)</f>
        <v>0.8668622473155807</v>
      </c>
      <c r="BF50" s="35">
        <f t="shared" ref="BF50" si="983">IF(AS50="","",(AS50-AS$10)*1000)</f>
        <v>-0.20260751703172</v>
      </c>
      <c r="BG50" s="35">
        <f t="shared" ref="BG50" si="984">IF(AT50="","",(AT50-AT$10)*1000)</f>
        <v>-0.79999999999813554</v>
      </c>
    </row>
    <row r="51" spans="1:59" s="57" customFormat="1" ht="29.25" customHeight="1">
      <c r="A51" s="32"/>
      <c r="B51" s="25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5"/>
      <c r="S51" s="35"/>
      <c r="T51" s="35"/>
      <c r="U51" s="34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4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4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</row>
    <row r="52" spans="1:59" s="57" customFormat="1" ht="29.25" customHeight="1">
      <c r="A52" s="32"/>
      <c r="B52" s="25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5"/>
      <c r="S52" s="35"/>
      <c r="T52" s="35"/>
      <c r="U52" s="34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4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4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</row>
    <row r="53" spans="1:59" s="57" customFormat="1" ht="29.25" customHeight="1">
      <c r="A53" s="32"/>
      <c r="B53" s="25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5"/>
      <c r="S53" s="35"/>
      <c r="T53" s="35"/>
      <c r="U53" s="34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4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4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</row>
    <row r="54" spans="1:59" s="57" customFormat="1" ht="29.25" customHeight="1">
      <c r="A54" s="32"/>
      <c r="B54" s="25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5"/>
      <c r="S54" s="35"/>
      <c r="T54" s="35"/>
      <c r="U54" s="34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4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4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</row>
    <row r="55" spans="1:59" s="57" customFormat="1" ht="29.25" customHeight="1">
      <c r="A55" s="32"/>
      <c r="B55" s="25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5"/>
      <c r="S55" s="35"/>
      <c r="T55" s="35"/>
      <c r="U55" s="34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4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4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</row>
    <row r="56" spans="1:59" s="57" customFormat="1" ht="29.25" customHeight="1">
      <c r="A56" s="32"/>
      <c r="B56" s="25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5"/>
      <c r="S56" s="35"/>
      <c r="T56" s="35"/>
      <c r="U56" s="34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4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4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</row>
    <row r="57" spans="1:59" s="57" customFormat="1" ht="29.25" customHeight="1">
      <c r="A57" s="32"/>
      <c r="B57" s="25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5"/>
      <c r="S57" s="35"/>
      <c r="T57" s="35"/>
      <c r="U57" s="34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4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4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</row>
    <row r="58" spans="1:59" s="57" customFormat="1" ht="29.25" customHeight="1">
      <c r="A58" s="32"/>
      <c r="B58" s="25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5"/>
      <c r="S58" s="35"/>
      <c r="T58" s="35"/>
      <c r="U58" s="34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4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4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</row>
    <row r="59" spans="1:59" s="57" customFormat="1" ht="29.25" customHeight="1">
      <c r="A59" s="32"/>
      <c r="B59" s="25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5"/>
      <c r="S59" s="35"/>
      <c r="T59" s="35"/>
      <c r="U59" s="34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4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4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</row>
    <row r="60" spans="1:59" s="57" customFormat="1" ht="29.25" customHeight="1">
      <c r="A60" s="32"/>
      <c r="B60" s="25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5"/>
      <c r="S60" s="35"/>
      <c r="T60" s="35"/>
      <c r="U60" s="34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4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4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</row>
    <row r="61" spans="1:59" s="57" customFormat="1" ht="29.25" customHeight="1">
      <c r="A61" s="32"/>
      <c r="B61" s="25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5"/>
      <c r="S61" s="35"/>
      <c r="T61" s="35"/>
      <c r="U61" s="34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4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4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</row>
    <row r="62" spans="1:59" s="57" customFormat="1" ht="29.25" customHeight="1">
      <c r="A62" s="32"/>
      <c r="B62" s="25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5"/>
      <c r="S62" s="35"/>
      <c r="T62" s="35"/>
      <c r="U62" s="34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4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4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</row>
    <row r="63" spans="1:59" s="57" customFormat="1" ht="29.25" customHeight="1">
      <c r="A63" s="32"/>
      <c r="B63" s="25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5"/>
      <c r="S63" s="35"/>
      <c r="T63" s="35"/>
      <c r="U63" s="34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4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4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</row>
    <row r="64" spans="1:59" s="57" customFormat="1" ht="29.25" customHeight="1">
      <c r="A64" s="32"/>
      <c r="B64" s="25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5"/>
      <c r="S64" s="35"/>
      <c r="T64" s="35"/>
      <c r="U64" s="34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4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4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</row>
    <row r="65" spans="1:59" s="57" customFormat="1" ht="29.25" customHeight="1">
      <c r="A65" s="32"/>
      <c r="B65" s="25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5"/>
      <c r="S65" s="35"/>
      <c r="T65" s="35"/>
      <c r="U65" s="34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4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4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</row>
    <row r="66" spans="1:59" s="57" customFormat="1" ht="29.25" customHeight="1">
      <c r="A66" s="32"/>
      <c r="B66" s="25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5"/>
      <c r="S66" s="35"/>
      <c r="T66" s="35"/>
      <c r="U66" s="34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4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4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</row>
    <row r="67" spans="1:59" s="57" customFormat="1" ht="29.25" customHeight="1">
      <c r="A67" s="32"/>
      <c r="B67" s="25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5"/>
      <c r="S67" s="35"/>
      <c r="T67" s="35"/>
      <c r="U67" s="34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4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4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</row>
    <row r="68" spans="1:59" s="57" customFormat="1" ht="29.25" customHeight="1">
      <c r="A68" s="32"/>
      <c r="B68" s="25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5"/>
      <c r="S68" s="35"/>
      <c r="T68" s="35"/>
      <c r="U68" s="34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4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4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</row>
    <row r="69" spans="1:59" s="57" customFormat="1" ht="29.25" customHeight="1">
      <c r="A69" s="32"/>
      <c r="B69" s="25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5"/>
      <c r="S69" s="35"/>
      <c r="T69" s="35"/>
      <c r="U69" s="34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4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4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</row>
    <row r="70" spans="1:59" s="57" customFormat="1" ht="29.25" customHeight="1">
      <c r="A70" s="32"/>
      <c r="B70" s="25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5"/>
      <c r="S70" s="35"/>
      <c r="T70" s="35"/>
      <c r="U70" s="34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4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4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</row>
    <row r="71" spans="1:59" s="57" customFormat="1" ht="29.25" customHeight="1">
      <c r="A71" s="32"/>
      <c r="B71" s="25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5"/>
      <c r="S71" s="35"/>
      <c r="T71" s="35"/>
      <c r="U71" s="34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4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4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</row>
    <row r="72" spans="1:59" s="57" customFormat="1" ht="29.25" customHeight="1">
      <c r="A72" s="32"/>
      <c r="B72" s="25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5"/>
      <c r="S72" s="35"/>
      <c r="T72" s="35"/>
      <c r="U72" s="34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4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4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</row>
    <row r="73" spans="1:59" s="57" customFormat="1" ht="29.25" customHeight="1">
      <c r="A73" s="32"/>
      <c r="B73" s="25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5"/>
      <c r="S73" s="35"/>
      <c r="T73" s="35"/>
      <c r="U73" s="34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4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4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</row>
    <row r="74" spans="1:59" s="57" customFormat="1" ht="29.25" customHeight="1">
      <c r="A74" s="32"/>
      <c r="B74" s="25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5"/>
      <c r="S74" s="35"/>
      <c r="T74" s="35"/>
      <c r="U74" s="34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4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4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</row>
    <row r="75" spans="1:59" s="57" customFormat="1" ht="29.25" customHeight="1">
      <c r="A75" s="32"/>
      <c r="B75" s="25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5"/>
      <c r="S75" s="35"/>
      <c r="T75" s="35"/>
      <c r="U75" s="34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4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4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</row>
    <row r="76" spans="1:59" s="57" customFormat="1" ht="29.25" customHeight="1">
      <c r="A76" s="32"/>
      <c r="B76" s="25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5"/>
      <c r="S76" s="35"/>
      <c r="T76" s="35"/>
      <c r="U76" s="34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4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4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</row>
    <row r="77" spans="1:59" s="57" customFormat="1" ht="29.25" customHeight="1">
      <c r="A77" s="32"/>
      <c r="B77" s="25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5"/>
      <c r="S77" s="35"/>
      <c r="T77" s="35"/>
      <c r="U77" s="34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4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4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</row>
    <row r="78" spans="1:59" s="57" customFormat="1" ht="29.25" customHeight="1">
      <c r="A78" s="32"/>
      <c r="B78" s="25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5"/>
      <c r="S78" s="35"/>
      <c r="T78" s="35"/>
      <c r="U78" s="34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4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4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</row>
    <row r="79" spans="1:59" s="57" customFormat="1" ht="29.25" customHeight="1">
      <c r="A79" s="32"/>
      <c r="B79" s="25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5"/>
      <c r="S79" s="35"/>
      <c r="T79" s="35"/>
      <c r="U79" s="34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4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4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</row>
    <row r="80" spans="1:59" s="57" customFormat="1" ht="29.25" customHeight="1">
      <c r="A80" s="32"/>
      <c r="B80" s="25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5"/>
      <c r="S80" s="35"/>
      <c r="T80" s="35"/>
      <c r="U80" s="34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4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4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</row>
    <row r="81" spans="1:59" s="57" customFormat="1" ht="29.25" customHeight="1">
      <c r="A81" s="32"/>
      <c r="B81" s="25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5"/>
      <c r="S81" s="35"/>
      <c r="T81" s="35"/>
      <c r="U81" s="34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4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4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</row>
    <row r="82" spans="1:59" s="57" customFormat="1" ht="29.25" customHeight="1">
      <c r="A82" s="32"/>
      <c r="B82" s="25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5"/>
      <c r="S82" s="35"/>
      <c r="T82" s="35"/>
      <c r="U82" s="34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4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4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</row>
    <row r="83" spans="1:59" s="57" customFormat="1" ht="29.25" customHeight="1">
      <c r="A83" s="32"/>
      <c r="B83" s="25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5"/>
      <c r="S83" s="35"/>
      <c r="T83" s="35"/>
      <c r="U83" s="34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4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4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</row>
  </sheetData>
  <mergeCells count="24">
    <mergeCell ref="D1:N1"/>
    <mergeCell ref="AR8:AT8"/>
    <mergeCell ref="R8:T8"/>
    <mergeCell ref="AV8:AX8"/>
    <mergeCell ref="C7:E7"/>
    <mergeCell ref="F7:H7"/>
    <mergeCell ref="I7:K7"/>
    <mergeCell ref="L7:N7"/>
    <mergeCell ref="BE8:BG8"/>
    <mergeCell ref="AY8:BA8"/>
    <mergeCell ref="A8:A9"/>
    <mergeCell ref="AB8:AD8"/>
    <mergeCell ref="AO8:AQ8"/>
    <mergeCell ref="AI8:AK8"/>
    <mergeCell ref="B8:B9"/>
    <mergeCell ref="AL8:AN8"/>
    <mergeCell ref="C8:E8"/>
    <mergeCell ref="L8:N8"/>
    <mergeCell ref="I8:K8"/>
    <mergeCell ref="F8:H8"/>
    <mergeCell ref="Y8:AA8"/>
    <mergeCell ref="BB8:BD8"/>
    <mergeCell ref="V8:X8"/>
    <mergeCell ref="AE8:AG8"/>
  </mergeCells>
  <phoneticPr fontId="0" type="noConversion"/>
  <pageMargins left="0.55118110236220474" right="0.19685039370078741" top="0.47244094488188981" bottom="0.27559055118110237" header="0" footer="0"/>
  <pageSetup paperSize="9" scale="24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9D3C1-C282-453E-8815-391606B76EF0}">
  <sheetPr codeName="Feuil8"/>
  <dimension ref="A1:BG854"/>
  <sheetViews>
    <sheetView topLeftCell="AB131" zoomScale="70" zoomScaleNormal="70" workbookViewId="0">
      <selection activeCell="AL172" sqref="AL172:BC172"/>
    </sheetView>
  </sheetViews>
  <sheetFormatPr baseColWidth="10" defaultRowHeight="12.75" outlineLevelCol="2"/>
  <cols>
    <col min="1" max="27" width="11.42578125" hidden="1" customWidth="1"/>
    <col min="28" max="28" width="11.42578125" style="103"/>
    <col min="29" max="29" width="15.5703125" style="96" customWidth="1"/>
    <col min="30" max="30" width="16.85546875" customWidth="1"/>
    <col min="31" max="31" width="14.7109375" style="97" customWidth="1"/>
    <col min="32" max="32" width="16.85546875" style="97" bestFit="1" customWidth="1"/>
    <col min="33" max="33" width="11.7109375" style="97" bestFit="1" customWidth="1"/>
    <col min="34" max="34" width="8.140625" customWidth="1"/>
    <col min="35" max="35" width="11.5703125" bestFit="1" customWidth="1"/>
    <col min="36" max="36" width="9.7109375" style="96" customWidth="1"/>
    <col min="37" max="37" width="5.42578125" customWidth="1"/>
    <col min="38" max="38" width="17" style="92" customWidth="1" outlineLevel="2"/>
    <col min="39" max="39" width="15.42578125" style="92" customWidth="1" outlineLevel="2"/>
    <col min="40" max="40" width="15.5703125" style="93" customWidth="1" outlineLevel="2"/>
    <col min="41" max="41" width="13.42578125" style="93" customWidth="1" outlineLevel="2"/>
    <col min="42" max="42" width="13.42578125" style="12" customWidth="1" outlineLevel="2"/>
    <col min="43" max="44" width="16.5703125" style="12" customWidth="1" outlineLevel="2"/>
    <col min="45" max="45" width="11.42578125" customWidth="1" outlineLevel="1"/>
    <col min="46" max="46" width="12.5703125" customWidth="1" outlineLevel="1"/>
    <col min="47" max="47" width="13.7109375" customWidth="1" outlineLevel="1"/>
    <col min="48" max="48" width="14.85546875" customWidth="1" outlineLevel="1"/>
    <col min="49" max="52" width="18.5703125" style="12" customWidth="1" outlineLevel="1"/>
    <col min="53" max="55" width="15.140625" style="12" customWidth="1" outlineLevel="1"/>
    <col min="56" max="56" width="11.42578125" style="96" customWidth="1" outlineLevel="1"/>
    <col min="57" max="57" width="12.140625" style="97" customWidth="1" outlineLevel="1"/>
    <col min="58" max="58" width="12.5703125" style="97" bestFit="1" customWidth="1"/>
    <col min="59" max="59" width="11.42578125" style="97"/>
  </cols>
  <sheetData>
    <row r="1" spans="1:55" ht="18.75" customHeight="1" thickBot="1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184" t="s">
        <v>37</v>
      </c>
      <c r="AC1" s="185"/>
      <c r="AD1" s="185"/>
      <c r="AE1" s="185"/>
      <c r="AF1" s="185"/>
      <c r="AG1" s="185"/>
      <c r="AH1" s="185"/>
      <c r="AI1" s="185"/>
      <c r="AJ1" s="185"/>
      <c r="AK1" s="186"/>
      <c r="AQ1" s="195" t="s">
        <v>71</v>
      </c>
      <c r="AR1" s="196"/>
      <c r="AT1" s="92">
        <f ca="1">TODAY()</f>
        <v>45947</v>
      </c>
      <c r="AV1" s="193" t="s">
        <v>38</v>
      </c>
      <c r="AW1" s="193"/>
      <c r="AX1" s="94" t="s">
        <v>39</v>
      </c>
      <c r="AY1" s="95">
        <v>0</v>
      </c>
    </row>
    <row r="2" spans="1:55" ht="13.5" customHeight="1" thickBot="1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187"/>
      <c r="AC2" s="188"/>
      <c r="AD2" s="188"/>
      <c r="AE2" s="188"/>
      <c r="AF2" s="188"/>
      <c r="AG2" s="188"/>
      <c r="AH2" s="188"/>
      <c r="AI2" s="188"/>
      <c r="AJ2" s="188"/>
      <c r="AK2" s="189"/>
      <c r="AN2" s="98" t="s">
        <v>40</v>
      </c>
      <c r="AO2" s="99"/>
      <c r="AQ2" s="195" t="s">
        <v>72</v>
      </c>
      <c r="AR2" s="196"/>
    </row>
    <row r="3" spans="1:55" ht="12.75" customHeight="1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187"/>
      <c r="AC3" s="188"/>
      <c r="AD3" s="188"/>
      <c r="AE3" s="188"/>
      <c r="AF3" s="188"/>
      <c r="AG3" s="188"/>
      <c r="AH3" s="188"/>
      <c r="AI3" s="188"/>
      <c r="AJ3" s="188"/>
      <c r="AK3" s="189"/>
      <c r="AN3" s="100" t="s">
        <v>2</v>
      </c>
      <c r="AO3" s="101">
        <f>AQ6</f>
        <v>823148.77785197098</v>
      </c>
      <c r="AT3" s="92">
        <v>45281</v>
      </c>
    </row>
    <row r="4" spans="1:55" ht="12.75" customHeight="1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187"/>
      <c r="AC4" s="188"/>
      <c r="AD4" s="188"/>
      <c r="AE4" s="188"/>
      <c r="AF4" s="188"/>
      <c r="AG4" s="188"/>
      <c r="AH4" s="188"/>
      <c r="AI4" s="188"/>
      <c r="AJ4" s="188"/>
      <c r="AK4" s="189"/>
      <c r="AN4" s="102" t="s">
        <v>3</v>
      </c>
      <c r="AO4" s="101">
        <f>AR6</f>
        <v>1091707.6466457699</v>
      </c>
      <c r="AV4" s="162" t="s">
        <v>0</v>
      </c>
      <c r="AW4" s="195" t="s">
        <v>73</v>
      </c>
      <c r="AX4" s="196"/>
      <c r="AY4" s="196"/>
    </row>
    <row r="5" spans="1:55" ht="15.75" customHeight="1" thickBo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187"/>
      <c r="AC5" s="188"/>
      <c r="AD5" s="188"/>
      <c r="AE5" s="188"/>
      <c r="AF5" s="188"/>
      <c r="AG5" s="188"/>
      <c r="AH5" s="188"/>
      <c r="AI5" s="188"/>
      <c r="AJ5" s="188"/>
      <c r="AK5" s="189"/>
      <c r="AN5" s="102" t="s">
        <v>41</v>
      </c>
      <c r="AO5" s="101">
        <f>AQ10</f>
        <v>372.22009316694403</v>
      </c>
      <c r="AP5" s="9"/>
      <c r="AQ5" s="9" t="s">
        <v>2</v>
      </c>
      <c r="AR5" s="9" t="s">
        <v>3</v>
      </c>
      <c r="AT5" s="103"/>
      <c r="AV5" s="162" t="s">
        <v>5</v>
      </c>
      <c r="AW5" s="195" t="s">
        <v>74</v>
      </c>
      <c r="AX5" s="196"/>
      <c r="AY5" s="196"/>
    </row>
    <row r="6" spans="1:55" ht="15.75" customHeight="1" thickBot="1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187"/>
      <c r="AC6" s="188"/>
      <c r="AD6" s="188"/>
      <c r="AE6" s="188"/>
      <c r="AF6" s="188"/>
      <c r="AG6" s="188"/>
      <c r="AH6" s="188"/>
      <c r="AI6" s="188"/>
      <c r="AJ6" s="188"/>
      <c r="AK6" s="189"/>
      <c r="AN6" s="104" t="s">
        <v>42</v>
      </c>
      <c r="AO6" s="105"/>
      <c r="AP6" s="9" t="s">
        <v>43</v>
      </c>
      <c r="AQ6" s="106">
        <v>823148.77785197098</v>
      </c>
      <c r="AR6" s="107">
        <v>1091707.6466457699</v>
      </c>
      <c r="AT6" s="103"/>
      <c r="AV6" s="162" t="s">
        <v>14</v>
      </c>
      <c r="AW6" s="195" t="s">
        <v>75</v>
      </c>
      <c r="AX6" s="196"/>
      <c r="AY6" s="196"/>
    </row>
    <row r="7" spans="1:55" ht="15.75" customHeight="1" thickBot="1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190"/>
      <c r="AC7" s="191"/>
      <c r="AD7" s="191"/>
      <c r="AE7" s="191"/>
      <c r="AF7" s="191"/>
      <c r="AG7" s="191"/>
      <c r="AH7" s="191"/>
      <c r="AI7" s="191"/>
      <c r="AJ7" s="191"/>
      <c r="AK7" s="192"/>
      <c r="AN7" s="108" t="s">
        <v>44</v>
      </c>
      <c r="AO7" s="109">
        <v>0</v>
      </c>
      <c r="AP7" s="9" t="s">
        <v>45</v>
      </c>
      <c r="AQ7" s="110">
        <v>823106.51300000004</v>
      </c>
      <c r="AR7" s="110">
        <v>1091798.2760000001</v>
      </c>
    </row>
    <row r="8" spans="1:55">
      <c r="AI8" s="111"/>
      <c r="AJ8" s="111"/>
      <c r="AN8" s="112" t="s">
        <v>46</v>
      </c>
      <c r="AO8" s="109">
        <v>-122.95399999999999</v>
      </c>
    </row>
    <row r="9" spans="1:55" ht="18">
      <c r="AD9" s="194" t="s">
        <v>47</v>
      </c>
      <c r="AE9" s="194"/>
      <c r="AF9" s="194"/>
      <c r="AG9" s="194"/>
      <c r="AH9" s="113"/>
      <c r="AJ9"/>
      <c r="AN9" s="112" t="s">
        <v>48</v>
      </c>
      <c r="AO9" s="157">
        <v>0</v>
      </c>
      <c r="AQ9" s="114" t="s">
        <v>49</v>
      </c>
      <c r="AR9" s="114" t="s">
        <v>50</v>
      </c>
    </row>
    <row r="10" spans="1:55" ht="15.75">
      <c r="AD10" s="115"/>
      <c r="AE10" s="116"/>
      <c r="AF10" s="116"/>
      <c r="AG10" s="117"/>
      <c r="AH10" s="113"/>
      <c r="AJ10"/>
      <c r="AQ10" s="118">
        <f>IF(ATAN2(AR7-AR6,AQ7-AQ6)/PI()*200&gt;0,ATAN2(AR7-AR6,AQ7-AQ6)/PI()*200,400+ATAN2(AR7-AR6,AQ7-AQ6)/PI()*200)</f>
        <v>372.22009316694403</v>
      </c>
      <c r="AR10" s="118">
        <f>SQRT((AR7-AR6)^2+(AQ7-AQ6)^2)</f>
        <v>99.999987801480017</v>
      </c>
    </row>
    <row r="11" spans="1:55" ht="14.25" thickBot="1">
      <c r="AD11" s="119"/>
      <c r="AE11" s="116"/>
      <c r="AF11" s="116"/>
      <c r="AG11" s="116"/>
      <c r="AH11" s="113"/>
    </row>
    <row r="12" spans="1:55" ht="18.75" thickBot="1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1" t="s">
        <v>51</v>
      </c>
      <c r="AC12" s="122" t="s">
        <v>52</v>
      </c>
      <c r="AD12" s="122" t="s">
        <v>52</v>
      </c>
      <c r="AE12" s="123" t="s">
        <v>2</v>
      </c>
      <c r="AF12" s="123" t="s">
        <v>3</v>
      </c>
      <c r="AG12" s="124" t="s">
        <v>4</v>
      </c>
      <c r="AH12" s="125"/>
      <c r="AJ12" s="126"/>
      <c r="AL12" s="127" t="s">
        <v>0</v>
      </c>
      <c r="AM12" s="128" t="s">
        <v>5</v>
      </c>
      <c r="AN12" s="128" t="s">
        <v>14</v>
      </c>
      <c r="AO12" s="129" t="s">
        <v>53</v>
      </c>
      <c r="AV12" s="122" t="s">
        <v>51</v>
      </c>
      <c r="AW12" s="130" t="str">
        <f>AC12</f>
        <v>NO</v>
      </c>
      <c r="AX12" s="130" t="s">
        <v>2</v>
      </c>
      <c r="AY12" s="130" t="s">
        <v>3</v>
      </c>
      <c r="AZ12" s="130" t="s">
        <v>4</v>
      </c>
      <c r="BA12" s="130" t="s">
        <v>0</v>
      </c>
      <c r="BB12" s="130" t="s">
        <v>5</v>
      </c>
      <c r="BC12" s="130" t="s">
        <v>14</v>
      </c>
    </row>
    <row r="13" spans="1:55" ht="15">
      <c r="AB13" s="131"/>
      <c r="AC13" s="132"/>
      <c r="AD13" s="133"/>
      <c r="AE13" s="132"/>
      <c r="AF13" s="132"/>
      <c r="AG13" s="134"/>
      <c r="AL13" s="135"/>
      <c r="AM13" s="136"/>
      <c r="AN13" s="137"/>
      <c r="AO13" s="138"/>
      <c r="AV13" s="132"/>
      <c r="AW13" s="139"/>
      <c r="AX13" s="140"/>
      <c r="AY13" s="140"/>
      <c r="AZ13" s="140"/>
      <c r="BA13" s="140"/>
      <c r="BB13" s="140"/>
      <c r="BC13" s="141"/>
    </row>
    <row r="14" spans="1:55" ht="15">
      <c r="AB14" s="131">
        <v>45532</v>
      </c>
      <c r="AC14" s="146" t="s">
        <v>64</v>
      </c>
      <c r="AD14" s="133" t="s">
        <v>68</v>
      </c>
      <c r="AE14" s="132">
        <v>823147.64879999997</v>
      </c>
      <c r="AF14" s="132">
        <v>1091710.0856999999</v>
      </c>
      <c r="AG14" s="134">
        <v>-121.56740000000001</v>
      </c>
      <c r="AL14" s="135">
        <f>IF(ISNUMBER(AE14),COS(ATAN2(AF14-AO$4,AE14-AO$3)-(AO$5/200*PI()))*SQRT((AE14-AO$3)^2+(AF14-AO$4)^2),"-")</f>
        <v>2.6876915700510686</v>
      </c>
      <c r="AM14" s="136">
        <f>IF(ISNUMBER(AE14),SIN(ATAN2(AF14-AO$4,AE14-AO$3)-(AO$5/200*PI()))*SQRT((AE14-AO$3)^2+(AF14-AO$4)^2),"-")</f>
        <v>7.6101504721970666E-3</v>
      </c>
      <c r="AN14" s="137">
        <f t="shared" ref="AN14:AN16" si="0">IF(ISNUMBER(AL14),AG14-AO14,"-")</f>
        <v>1.3865999999999872</v>
      </c>
      <c r="AO14" s="138">
        <f t="shared" ref="AO14:AO16" si="1">IF(ISNUMBER(AF14),((AL14-$AO$7)*AO$9)+AO$8,"-")</f>
        <v>-122.95399999999999</v>
      </c>
      <c r="AV14" s="131">
        <f>AB14</f>
        <v>45532</v>
      </c>
      <c r="AW14" s="142" t="str">
        <f>AC14</f>
        <v>A</v>
      </c>
      <c r="AX14" s="143">
        <f t="shared" ref="AX14:AZ16" si="2">AE14</f>
        <v>823147.64879999997</v>
      </c>
      <c r="AY14" s="143">
        <f t="shared" si="2"/>
        <v>1091710.0856999999</v>
      </c>
      <c r="AZ14" s="143">
        <f t="shared" si="2"/>
        <v>-121.56740000000001</v>
      </c>
      <c r="BA14" s="143">
        <f>AL14+$AY$1</f>
        <v>2.6876915700510686</v>
      </c>
      <c r="BB14" s="143">
        <f t="shared" ref="BB14:BC16" si="3">AM14</f>
        <v>7.6101504721970666E-3</v>
      </c>
      <c r="BC14" s="144">
        <f t="shared" si="3"/>
        <v>1.3865999999999872</v>
      </c>
    </row>
    <row r="15" spans="1:55" ht="15">
      <c r="AB15" s="131">
        <v>45532</v>
      </c>
      <c r="AC15" s="146" t="s">
        <v>65</v>
      </c>
      <c r="AD15" s="133" t="s">
        <v>69</v>
      </c>
      <c r="AE15" s="132">
        <v>823147.58519999997</v>
      </c>
      <c r="AF15" s="132">
        <v>1091710.2505999999</v>
      </c>
      <c r="AG15" s="134">
        <v>-121.9302</v>
      </c>
      <c r="AL15" s="135">
        <f t="shared" ref="AL15:AL16" si="4">IF(ISNUMBER(AE15),COS(ATAN2(AF15-AO$4,AE15-AO$3)-(AO$5/200*PI()))*SQRT((AE15-AO$3)^2+(AF15-AO$4)^2),"-")</f>
        <v>2.8640198425136969</v>
      </c>
      <c r="AM15" s="136">
        <f t="shared" ref="AM15:AM16" si="5">IF(ISNUMBER(AE15),SIN(ATAN2(AF15-AO$4,AE15-AO$3)-(AO$5/200*PI()))*SQRT((AE15-AO$3)^2+(AF15-AO$4)^2),"-")</f>
        <v>1.9664623546933793E-2</v>
      </c>
      <c r="AN15" s="137">
        <f t="shared" si="0"/>
        <v>1.0237999999999943</v>
      </c>
      <c r="AO15" s="138">
        <f t="shared" si="1"/>
        <v>-122.95399999999999</v>
      </c>
      <c r="AV15" s="131">
        <f t="shared" ref="AV15:AV16" si="6">AB15</f>
        <v>45532</v>
      </c>
      <c r="AW15" s="142" t="str">
        <f t="shared" ref="AW15:AW16" si="7">AC15</f>
        <v>B</v>
      </c>
      <c r="AX15" s="143">
        <f t="shared" si="2"/>
        <v>823147.58519999997</v>
      </c>
      <c r="AY15" s="143">
        <f t="shared" si="2"/>
        <v>1091710.2505999999</v>
      </c>
      <c r="AZ15" s="143">
        <f t="shared" si="2"/>
        <v>-121.9302</v>
      </c>
      <c r="BA15" s="143">
        <f>AL15+$AY$1</f>
        <v>2.8640198425136969</v>
      </c>
      <c r="BB15" s="143">
        <f t="shared" si="3"/>
        <v>1.9664623546933793E-2</v>
      </c>
      <c r="BC15" s="144">
        <f t="shared" si="3"/>
        <v>1.0237999999999943</v>
      </c>
    </row>
    <row r="16" spans="1:55" ht="15">
      <c r="AB16" s="131">
        <v>45532</v>
      </c>
      <c r="AC16" s="146" t="s">
        <v>67</v>
      </c>
      <c r="AD16" s="133" t="s">
        <v>70</v>
      </c>
      <c r="AE16" s="132">
        <v>823149.98985000001</v>
      </c>
      <c r="AF16" s="132">
        <v>1091705.0821</v>
      </c>
      <c r="AG16" s="134">
        <v>-121.78280000000001</v>
      </c>
      <c r="AL16" s="135">
        <f t="shared" si="4"/>
        <v>-2.8364807891043169</v>
      </c>
      <c r="AM16" s="136">
        <f t="shared" si="5"/>
        <v>1.4524515369912229E-2</v>
      </c>
      <c r="AN16" s="137">
        <f t="shared" si="0"/>
        <v>1.1711999999999847</v>
      </c>
      <c r="AO16" s="138">
        <f t="shared" si="1"/>
        <v>-122.95399999999999</v>
      </c>
      <c r="AQ16" s="145"/>
      <c r="AV16" s="131">
        <f t="shared" si="6"/>
        <v>45532</v>
      </c>
      <c r="AW16" s="142" t="str">
        <f t="shared" si="7"/>
        <v>D</v>
      </c>
      <c r="AX16" s="143">
        <f t="shared" si="2"/>
        <v>823149.98985000001</v>
      </c>
      <c r="AY16" s="143">
        <f t="shared" si="2"/>
        <v>1091705.0821</v>
      </c>
      <c r="AZ16" s="143">
        <f t="shared" si="2"/>
        <v>-121.78280000000001</v>
      </c>
      <c r="BA16" s="143">
        <f t="shared" ref="BA16" si="8">AL16+$AY$1</f>
        <v>-2.8364807891043169</v>
      </c>
      <c r="BB16" s="143">
        <f t="shared" si="3"/>
        <v>1.4524515369912229E-2</v>
      </c>
      <c r="BC16" s="144">
        <f t="shared" si="3"/>
        <v>1.1711999999999847</v>
      </c>
    </row>
    <row r="17" spans="28:55" ht="15">
      <c r="AB17" s="131">
        <v>45540</v>
      </c>
      <c r="AC17" s="146" t="s">
        <v>64</v>
      </c>
      <c r="AD17" s="133" t="s">
        <v>78</v>
      </c>
      <c r="AE17" s="132">
        <v>823147.64879999997</v>
      </c>
      <c r="AF17" s="132">
        <v>1091710.085</v>
      </c>
      <c r="AG17" s="134">
        <v>-121.5693</v>
      </c>
      <c r="AL17" s="135">
        <f t="shared" ref="AL17:AL19" si="9">IF(ISNUMBER(AE17),COS(ATAN2(AF17-AO$4,AE17-AO$3)-(AO$5/200*PI()))*SQRT((AE17-AO$3)^2+(AF17-AO$4)^2),"-")</f>
        <v>2.6870571645166899</v>
      </c>
      <c r="AM17" s="136">
        <f t="shared" ref="AM17:AM19" si="10">IF(ISNUMBER(AE17),SIN(ATAN2(AF17-AO$4,AE17-AO$3)-(AO$5/200*PI()))*SQRT((AE17-AO$3)^2+(AF17-AO$4)^2),"-")</f>
        <v>7.3142964828608265E-3</v>
      </c>
      <c r="AN17" s="137">
        <f t="shared" ref="AN17:AN19" si="11">IF(ISNUMBER(AL17),AG17-AO17,"-")</f>
        <v>1.3846999999999952</v>
      </c>
      <c r="AO17" s="138">
        <f t="shared" ref="AO17:AO19" si="12">IF(ISNUMBER(AF17),((AL17-$AO$7)*AO$9)+AO$8,"-")</f>
        <v>-122.95399999999999</v>
      </c>
      <c r="AQ17" s="145"/>
      <c r="AV17" s="131">
        <f t="shared" ref="AV17:AV19" si="13">AB17</f>
        <v>45540</v>
      </c>
      <c r="AW17" s="142" t="str">
        <f t="shared" ref="AW17:AW19" si="14">AC17</f>
        <v>A</v>
      </c>
      <c r="AX17" s="143">
        <f t="shared" ref="AX17:AX19" si="15">AE17</f>
        <v>823147.64879999997</v>
      </c>
      <c r="AY17" s="143">
        <f t="shared" ref="AY17:AY19" si="16">AF17</f>
        <v>1091710.085</v>
      </c>
      <c r="AZ17" s="143">
        <f t="shared" ref="AZ17:AZ19" si="17">AG17</f>
        <v>-121.5693</v>
      </c>
      <c r="BA17" s="143">
        <f t="shared" ref="BA17:BA19" si="18">AL17+$AY$1</f>
        <v>2.6870571645166899</v>
      </c>
      <c r="BB17" s="143">
        <f t="shared" ref="BB17:BB19" si="19">AM17</f>
        <v>7.3142964828608265E-3</v>
      </c>
      <c r="BC17" s="144">
        <f t="shared" ref="BC17:BC19" si="20">AN17</f>
        <v>1.3846999999999952</v>
      </c>
    </row>
    <row r="18" spans="28:55" ht="15">
      <c r="AB18" s="131">
        <v>45540</v>
      </c>
      <c r="AC18" s="146" t="s">
        <v>65</v>
      </c>
      <c r="AD18" s="133" t="s">
        <v>79</v>
      </c>
      <c r="AE18" s="132">
        <v>823147.59019999998</v>
      </c>
      <c r="AF18" s="132">
        <v>1091710.2519</v>
      </c>
      <c r="AG18" s="134">
        <v>-121.9072</v>
      </c>
      <c r="AL18" s="135">
        <f t="shared" si="9"/>
        <v>2.8630847815128235</v>
      </c>
      <c r="AM18" s="136">
        <f t="shared" si="10"/>
        <v>2.4745535008778571E-2</v>
      </c>
      <c r="AN18" s="137">
        <f t="shared" si="11"/>
        <v>1.0467999999999904</v>
      </c>
      <c r="AO18" s="138">
        <f t="shared" si="12"/>
        <v>-122.95399999999999</v>
      </c>
      <c r="AQ18" s="145"/>
      <c r="AV18" s="131">
        <f t="shared" si="13"/>
        <v>45540</v>
      </c>
      <c r="AW18" s="142" t="str">
        <f t="shared" si="14"/>
        <v>B</v>
      </c>
      <c r="AX18" s="143">
        <f t="shared" si="15"/>
        <v>823147.59019999998</v>
      </c>
      <c r="AY18" s="143">
        <f t="shared" si="16"/>
        <v>1091710.2519</v>
      </c>
      <c r="AZ18" s="143">
        <f t="shared" si="17"/>
        <v>-121.9072</v>
      </c>
      <c r="BA18" s="143">
        <f t="shared" si="18"/>
        <v>2.8630847815128235</v>
      </c>
      <c r="BB18" s="143">
        <f t="shared" si="19"/>
        <v>2.4745535008778571E-2</v>
      </c>
      <c r="BC18" s="144">
        <f t="shared" si="20"/>
        <v>1.0467999999999904</v>
      </c>
    </row>
    <row r="19" spans="28:55" ht="15">
      <c r="AB19" s="131">
        <v>45540</v>
      </c>
      <c r="AC19" s="146" t="s">
        <v>67</v>
      </c>
      <c r="AD19" s="133" t="s">
        <v>80</v>
      </c>
      <c r="AE19" s="132">
        <v>823149.98930000002</v>
      </c>
      <c r="AF19" s="132">
        <v>1091705.0819000001</v>
      </c>
      <c r="AG19" s="134">
        <v>-121.7829</v>
      </c>
      <c r="AL19" s="135">
        <f t="shared" si="9"/>
        <v>-2.8364295910250537</v>
      </c>
      <c r="AM19" s="136">
        <f t="shared" si="10"/>
        <v>1.3941524194477587E-2</v>
      </c>
      <c r="AN19" s="137">
        <f t="shared" si="11"/>
        <v>1.1710999999999956</v>
      </c>
      <c r="AO19" s="138">
        <f t="shared" si="12"/>
        <v>-122.95399999999999</v>
      </c>
      <c r="AQ19" s="145"/>
      <c r="AV19" s="131">
        <f t="shared" si="13"/>
        <v>45540</v>
      </c>
      <c r="AW19" s="142" t="str">
        <f t="shared" si="14"/>
        <v>D</v>
      </c>
      <c r="AX19" s="143">
        <f t="shared" si="15"/>
        <v>823149.98930000002</v>
      </c>
      <c r="AY19" s="143">
        <f t="shared" si="16"/>
        <v>1091705.0819000001</v>
      </c>
      <c r="AZ19" s="143">
        <f t="shared" si="17"/>
        <v>-121.7829</v>
      </c>
      <c r="BA19" s="143">
        <f t="shared" si="18"/>
        <v>-2.8364295910250537</v>
      </c>
      <c r="BB19" s="143">
        <f t="shared" si="19"/>
        <v>1.3941524194477587E-2</v>
      </c>
      <c r="BC19" s="144">
        <f t="shared" si="20"/>
        <v>1.1710999999999956</v>
      </c>
    </row>
    <row r="20" spans="28:55" ht="15">
      <c r="AB20" s="131">
        <v>45544</v>
      </c>
      <c r="AC20" s="146" t="s">
        <v>64</v>
      </c>
      <c r="AD20" s="133" t="s">
        <v>94</v>
      </c>
      <c r="AE20" s="132">
        <v>823147.64950000006</v>
      </c>
      <c r="AF20" s="132">
        <v>1091710.0851</v>
      </c>
      <c r="AG20" s="134">
        <v>-121.56950000000001</v>
      </c>
      <c r="AL20" s="135">
        <f t="shared" ref="AL20:AL21" si="21">IF(ISNUMBER(AE20),COS(ATAN2(AF20-AO$4,AE20-AO$3)-(AO$5/200*PI()))*SQRT((AE20-AO$3)^2+(AF20-AO$4)^2),"-")</f>
        <v>2.6868519399004938</v>
      </c>
      <c r="AM20" s="136">
        <f t="shared" ref="AM20:AM21" si="22">IF(ISNUMBER(AE20),SIN(ATAN2(AF20-AO$4,AE20-AO$3)-(AO$5/200*PI()))*SQRT((AE20-AO$3)^2+(AF20-AO$4)^2),"-")</f>
        <v>7.9909670064804393E-3</v>
      </c>
      <c r="AN20" s="137">
        <f t="shared" ref="AN20:AN21" si="23">IF(ISNUMBER(AL20),AG20-AO20,"-")</f>
        <v>1.3844999999999885</v>
      </c>
      <c r="AO20" s="138">
        <f t="shared" ref="AO20:AO21" si="24">IF(ISNUMBER(AF20),((AL20-$AO$7)*AO$9)+AO$8,"-")</f>
        <v>-122.95399999999999</v>
      </c>
      <c r="AQ20" s="145"/>
      <c r="AV20" s="131">
        <f t="shared" ref="AV20:AV21" si="25">AB20</f>
        <v>45544</v>
      </c>
      <c r="AW20" s="142" t="str">
        <f t="shared" ref="AW20:AW21" si="26">AC20</f>
        <v>A</v>
      </c>
      <c r="AX20" s="143">
        <f t="shared" ref="AX20:AX21" si="27">AE20</f>
        <v>823147.64950000006</v>
      </c>
      <c r="AY20" s="143">
        <f t="shared" ref="AY20:AY21" si="28">AF20</f>
        <v>1091710.0851</v>
      </c>
      <c r="AZ20" s="143">
        <f t="shared" ref="AZ20:AZ21" si="29">AG20</f>
        <v>-121.56950000000001</v>
      </c>
      <c r="BA20" s="143">
        <f t="shared" ref="BA20:BA21" si="30">AL20+$AY$1</f>
        <v>2.6868519399004938</v>
      </c>
      <c r="BB20" s="143">
        <f t="shared" ref="BB20:BB21" si="31">AM20</f>
        <v>7.9909670064804393E-3</v>
      </c>
      <c r="BC20" s="144">
        <f t="shared" ref="BC20:BC21" si="32">AN20</f>
        <v>1.3844999999999885</v>
      </c>
    </row>
    <row r="21" spans="28:55" ht="15">
      <c r="AB21" s="131">
        <v>45544</v>
      </c>
      <c r="AC21" s="146" t="s">
        <v>67</v>
      </c>
      <c r="AD21" s="133" t="s">
        <v>95</v>
      </c>
      <c r="AE21" s="132">
        <v>823149.98979999998</v>
      </c>
      <c r="AF21" s="132">
        <v>1091705.0819999999</v>
      </c>
      <c r="AG21" s="134">
        <v>-121.78279999999999</v>
      </c>
      <c r="AL21" s="135">
        <f t="shared" si="21"/>
        <v>-2.8365502860847922</v>
      </c>
      <c r="AM21" s="136">
        <f t="shared" si="22"/>
        <v>1.4436935775005384E-2</v>
      </c>
      <c r="AN21" s="137">
        <f t="shared" si="23"/>
        <v>1.1711999999999989</v>
      </c>
      <c r="AO21" s="138">
        <f t="shared" si="24"/>
        <v>-122.95399999999999</v>
      </c>
      <c r="AQ21" s="145"/>
      <c r="AV21" s="131">
        <f t="shared" si="25"/>
        <v>45544</v>
      </c>
      <c r="AW21" s="142" t="str">
        <f t="shared" si="26"/>
        <v>D</v>
      </c>
      <c r="AX21" s="143">
        <f t="shared" si="27"/>
        <v>823149.98979999998</v>
      </c>
      <c r="AY21" s="143">
        <f t="shared" si="28"/>
        <v>1091705.0819999999</v>
      </c>
      <c r="AZ21" s="143">
        <f t="shared" si="29"/>
        <v>-121.78279999999999</v>
      </c>
      <c r="BA21" s="143">
        <f t="shared" si="30"/>
        <v>-2.8365502860847922</v>
      </c>
      <c r="BB21" s="143">
        <f t="shared" si="31"/>
        <v>1.4436935775005384E-2</v>
      </c>
      <c r="BC21" s="144">
        <f t="shared" si="32"/>
        <v>1.1711999999999989</v>
      </c>
    </row>
    <row r="22" spans="28:55" ht="15">
      <c r="AB22" s="131">
        <v>45548</v>
      </c>
      <c r="AC22" s="146" t="s">
        <v>64</v>
      </c>
      <c r="AD22" s="133" t="s">
        <v>94</v>
      </c>
      <c r="AE22" s="132">
        <v>823147.64890000003</v>
      </c>
      <c r="AF22" s="132">
        <v>1091710.085</v>
      </c>
      <c r="AG22" s="134">
        <v>-121.5697</v>
      </c>
      <c r="AL22" s="135">
        <f t="shared" ref="AL22:AL25" si="33">IF(ISNUMBER(AE22),COS(ATAN2(AF22-AO$4,AE22-AO$3)-(AO$5/200*PI()))*SQRT((AE22-AO$3)^2+(AF22-AO$4)^2),"-")</f>
        <v>2.6870148996329544</v>
      </c>
      <c r="AM22" s="136">
        <f t="shared" ref="AM22:AM25" si="34">IF(ISNUMBER(AE22),SIN(ATAN2(AF22-AO$4,AE22-AO$3)-(AO$5/200*PI()))*SQRT((AE22-AO$3)^2+(AF22-AO$4)^2),"-")</f>
        <v>7.4049259052047919E-3</v>
      </c>
      <c r="AN22" s="137">
        <f t="shared" ref="AN22:AN25" si="35">IF(ISNUMBER(AL22),AG22-AO22,"-")</f>
        <v>1.3842999999999961</v>
      </c>
      <c r="AO22" s="138">
        <f t="shared" ref="AO22:AO25" si="36">IF(ISNUMBER(AF22),((AL22-$AO$7)*AO$9)+AO$8,"-")</f>
        <v>-122.95399999999999</v>
      </c>
      <c r="AQ22" s="145"/>
      <c r="AV22" s="131">
        <f t="shared" ref="AV22:AV25" si="37">AB22</f>
        <v>45548</v>
      </c>
      <c r="AW22" s="142" t="str">
        <f t="shared" ref="AW22:AW25" si="38">AC22</f>
        <v>A</v>
      </c>
      <c r="AX22" s="143">
        <f t="shared" ref="AX22:AX25" si="39">AE22</f>
        <v>823147.64890000003</v>
      </c>
      <c r="AY22" s="143">
        <f t="shared" ref="AY22:AY25" si="40">AF22</f>
        <v>1091710.085</v>
      </c>
      <c r="AZ22" s="143">
        <f t="shared" ref="AZ22:AZ25" si="41">AG22</f>
        <v>-121.5697</v>
      </c>
      <c r="BA22" s="143">
        <f t="shared" ref="BA22:BA25" si="42">AL22+$AY$1</f>
        <v>2.6870148996329544</v>
      </c>
      <c r="BB22" s="143">
        <f t="shared" ref="BB22:BB25" si="43">AM22</f>
        <v>7.4049259052047919E-3</v>
      </c>
      <c r="BC22" s="144">
        <f t="shared" ref="BC22:BC25" si="44">AN22</f>
        <v>1.3842999999999961</v>
      </c>
    </row>
    <row r="23" spans="28:55" ht="15">
      <c r="AB23" s="131">
        <v>45548</v>
      </c>
      <c r="AC23" s="146" t="s">
        <v>65</v>
      </c>
      <c r="AD23" s="133" t="s">
        <v>99</v>
      </c>
      <c r="AE23" s="132">
        <v>823147.59030000004</v>
      </c>
      <c r="AF23" s="132">
        <v>1091710.2527999999</v>
      </c>
      <c r="AG23" s="134">
        <v>-121.9075</v>
      </c>
      <c r="AL23" s="135">
        <f t="shared" si="33"/>
        <v>2.8638581807971404</v>
      </c>
      <c r="AM23" s="136">
        <f t="shared" si="34"/>
        <v>2.5216548089524879E-2</v>
      </c>
      <c r="AN23" s="137">
        <f t="shared" si="35"/>
        <v>1.0464999999999947</v>
      </c>
      <c r="AO23" s="138">
        <f t="shared" si="36"/>
        <v>-122.95399999999999</v>
      </c>
      <c r="AQ23" s="145"/>
      <c r="AV23" s="131">
        <f t="shared" si="37"/>
        <v>45548</v>
      </c>
      <c r="AW23" s="142" t="str">
        <f t="shared" si="38"/>
        <v>B</v>
      </c>
      <c r="AX23" s="143">
        <f t="shared" si="39"/>
        <v>823147.59030000004</v>
      </c>
      <c r="AY23" s="143">
        <f t="shared" si="40"/>
        <v>1091710.2527999999</v>
      </c>
      <c r="AZ23" s="143">
        <f t="shared" si="41"/>
        <v>-121.9075</v>
      </c>
      <c r="BA23" s="143">
        <f t="shared" si="42"/>
        <v>2.8638581807971404</v>
      </c>
      <c r="BB23" s="143">
        <f t="shared" si="43"/>
        <v>2.5216548089524879E-2</v>
      </c>
      <c r="BC23" s="144">
        <f t="shared" si="44"/>
        <v>1.0464999999999947</v>
      </c>
    </row>
    <row r="24" spans="28:55" ht="15">
      <c r="AB24" s="131">
        <v>45548</v>
      </c>
      <c r="AC24" s="146" t="s">
        <v>67</v>
      </c>
      <c r="AD24" s="133" t="s">
        <v>95</v>
      </c>
      <c r="AE24" s="132">
        <v>823149.98899999994</v>
      </c>
      <c r="AF24" s="132">
        <v>1091705.0822999999</v>
      </c>
      <c r="AG24" s="134">
        <v>-121.78270000000001</v>
      </c>
      <c r="AL24" s="135">
        <f t="shared" si="33"/>
        <v>-2.835940279155702</v>
      </c>
      <c r="AM24" s="136">
        <f t="shared" si="34"/>
        <v>1.3838695371084406E-2</v>
      </c>
      <c r="AN24" s="137">
        <f t="shared" si="35"/>
        <v>1.171299999999988</v>
      </c>
      <c r="AO24" s="138">
        <f t="shared" si="36"/>
        <v>-122.95399999999999</v>
      </c>
      <c r="AQ24" s="145"/>
      <c r="AV24" s="131">
        <f t="shared" si="37"/>
        <v>45548</v>
      </c>
      <c r="AW24" s="142" t="str">
        <f t="shared" si="38"/>
        <v>D</v>
      </c>
      <c r="AX24" s="143">
        <f t="shared" si="39"/>
        <v>823149.98899999994</v>
      </c>
      <c r="AY24" s="143">
        <f t="shared" si="40"/>
        <v>1091705.0822999999</v>
      </c>
      <c r="AZ24" s="143">
        <f t="shared" si="41"/>
        <v>-121.78270000000001</v>
      </c>
      <c r="BA24" s="143">
        <f t="shared" si="42"/>
        <v>-2.835940279155702</v>
      </c>
      <c r="BB24" s="143">
        <f t="shared" si="43"/>
        <v>1.3838695371084406E-2</v>
      </c>
      <c r="BC24" s="144">
        <f t="shared" si="44"/>
        <v>1.171299999999988</v>
      </c>
    </row>
    <row r="25" spans="28:55" ht="15">
      <c r="AB25" s="131">
        <v>45548</v>
      </c>
      <c r="AC25" s="146" t="s">
        <v>66</v>
      </c>
      <c r="AD25" s="133" t="s">
        <v>98</v>
      </c>
      <c r="AE25" s="132">
        <v>823147.56839999999</v>
      </c>
      <c r="AF25" s="132">
        <v>1091710.4223</v>
      </c>
      <c r="AG25" s="134">
        <v>-122.4346</v>
      </c>
      <c r="AL25" s="135">
        <f t="shared" si="33"/>
        <v>3.0267309587575384</v>
      </c>
      <c r="AM25" s="136">
        <f t="shared" si="34"/>
        <v>7.7007649907989278E-2</v>
      </c>
      <c r="AN25" s="137">
        <f t="shared" si="35"/>
        <v>0.51939999999999031</v>
      </c>
      <c r="AO25" s="138">
        <f t="shared" si="36"/>
        <v>-122.95399999999999</v>
      </c>
      <c r="AQ25" s="145"/>
      <c r="AV25" s="131">
        <f t="shared" si="37"/>
        <v>45548</v>
      </c>
      <c r="AW25" s="142" t="str">
        <f t="shared" si="38"/>
        <v>C</v>
      </c>
      <c r="AX25" s="143">
        <f t="shared" si="39"/>
        <v>823147.56839999999</v>
      </c>
      <c r="AY25" s="143">
        <f t="shared" si="40"/>
        <v>1091710.4223</v>
      </c>
      <c r="AZ25" s="143">
        <f t="shared" si="41"/>
        <v>-122.4346</v>
      </c>
      <c r="BA25" s="143">
        <f t="shared" si="42"/>
        <v>3.0267309587575384</v>
      </c>
      <c r="BB25" s="143">
        <f t="shared" si="43"/>
        <v>7.7007649907989278E-2</v>
      </c>
      <c r="BC25" s="144">
        <f t="shared" si="44"/>
        <v>0.51939999999999031</v>
      </c>
    </row>
    <row r="26" spans="28:55" ht="15">
      <c r="AB26" s="131">
        <v>45552</v>
      </c>
      <c r="AC26" s="146" t="s">
        <v>64</v>
      </c>
      <c r="AD26" s="133" t="s">
        <v>100</v>
      </c>
      <c r="AE26" s="132">
        <v>823147.64930000005</v>
      </c>
      <c r="AF26" s="132">
        <v>1091710.0848999999</v>
      </c>
      <c r="AG26" s="134">
        <v>-121.56950000000001</v>
      </c>
      <c r="AL26" s="135">
        <f t="shared" ref="AL26:AL29" si="45">IF(ISNUMBER(AE26),COS(ATAN2(AF26-AO$4,AE26-AO$3)-(AO$5/200*PI()))*SQRT((AE26-AO$3)^2+(AF26-AO$4)^2),"-")</f>
        <v>2.6867552107740744</v>
      </c>
      <c r="AM26" s="136">
        <f t="shared" ref="AM26:AM29" si="46">IF(ISNUMBER(AE26),SIN(ATAN2(AF26-AO$4,AE26-AO$3)-(AO$5/200*PI()))*SQRT((AE26-AO$3)^2+(AF26-AO$4)^2),"-")</f>
        <v>7.7251784998288086E-3</v>
      </c>
      <c r="AN26" s="137">
        <f t="shared" ref="AN26:AN29" si="47">IF(ISNUMBER(AL26),AG26-AO26,"-")</f>
        <v>1.3844999999999885</v>
      </c>
      <c r="AO26" s="138">
        <f t="shared" ref="AO26:AO29" si="48">IF(ISNUMBER(AF26),((AL26-$AO$7)*AO$9)+AO$8,"-")</f>
        <v>-122.95399999999999</v>
      </c>
      <c r="AQ26" s="145"/>
      <c r="AV26" s="131">
        <f t="shared" ref="AV26:AV29" si="49">AB26</f>
        <v>45552</v>
      </c>
      <c r="AW26" s="142" t="str">
        <f t="shared" ref="AW26:AW29" si="50">AC26</f>
        <v>A</v>
      </c>
      <c r="AX26" s="143">
        <f t="shared" ref="AX26:AX29" si="51">AE26</f>
        <v>823147.64930000005</v>
      </c>
      <c r="AY26" s="143">
        <f t="shared" ref="AY26:AY29" si="52">AF26</f>
        <v>1091710.0848999999</v>
      </c>
      <c r="AZ26" s="143">
        <f t="shared" ref="AZ26:AZ29" si="53">AG26</f>
        <v>-121.56950000000001</v>
      </c>
      <c r="BA26" s="143">
        <f t="shared" ref="BA26:BA29" si="54">AL26+$AY$1</f>
        <v>2.6867552107740744</v>
      </c>
      <c r="BB26" s="143">
        <f t="shared" ref="BB26:BB29" si="55">AM26</f>
        <v>7.7251784998288086E-3</v>
      </c>
      <c r="BC26" s="144">
        <f t="shared" ref="BC26:BC29" si="56">AN26</f>
        <v>1.3844999999999885</v>
      </c>
    </row>
    <row r="27" spans="28:55" ht="15">
      <c r="AB27" s="131">
        <v>45552</v>
      </c>
      <c r="AC27" s="146" t="s">
        <v>65</v>
      </c>
      <c r="AD27" s="133" t="s">
        <v>102</v>
      </c>
      <c r="AE27" s="132">
        <v>823147.59140000003</v>
      </c>
      <c r="AF27" s="132">
        <v>1091710.2523000001</v>
      </c>
      <c r="AG27" s="134">
        <v>-121.9076</v>
      </c>
      <c r="AL27" s="135">
        <f t="shared" si="45"/>
        <v>2.862940120681575</v>
      </c>
      <c r="AM27" s="136">
        <f t="shared" si="46"/>
        <v>2.6002146880396523E-2</v>
      </c>
      <c r="AN27" s="137">
        <f t="shared" si="47"/>
        <v>1.0463999999999913</v>
      </c>
      <c r="AO27" s="138">
        <f t="shared" si="48"/>
        <v>-122.95399999999999</v>
      </c>
      <c r="AQ27" s="145"/>
      <c r="AV27" s="131">
        <f t="shared" si="49"/>
        <v>45552</v>
      </c>
      <c r="AW27" s="142" t="str">
        <f t="shared" si="50"/>
        <v>B</v>
      </c>
      <c r="AX27" s="143">
        <f t="shared" si="51"/>
        <v>823147.59140000003</v>
      </c>
      <c r="AY27" s="143">
        <f t="shared" si="52"/>
        <v>1091710.2523000001</v>
      </c>
      <c r="AZ27" s="143">
        <f t="shared" si="53"/>
        <v>-121.9076</v>
      </c>
      <c r="BA27" s="143">
        <f t="shared" si="54"/>
        <v>2.862940120681575</v>
      </c>
      <c r="BB27" s="143">
        <f t="shared" si="55"/>
        <v>2.6002146880396523E-2</v>
      </c>
      <c r="BC27" s="144">
        <f t="shared" si="56"/>
        <v>1.0463999999999913</v>
      </c>
    </row>
    <row r="28" spans="28:55" ht="15">
      <c r="AB28" s="131">
        <v>45552</v>
      </c>
      <c r="AC28" s="146" t="s">
        <v>67</v>
      </c>
      <c r="AD28" s="133" t="s">
        <v>103</v>
      </c>
      <c r="AE28" s="132">
        <v>823149.98959999997</v>
      </c>
      <c r="AF28" s="132">
        <v>1091705.0819999999</v>
      </c>
      <c r="AG28" s="134">
        <v>-121.7825</v>
      </c>
      <c r="AL28" s="135">
        <f t="shared" si="45"/>
        <v>-2.8364657563665241</v>
      </c>
      <c r="AM28" s="136">
        <f t="shared" si="46"/>
        <v>1.4255677035823972E-2</v>
      </c>
      <c r="AN28" s="137">
        <f t="shared" si="47"/>
        <v>1.1714999999999947</v>
      </c>
      <c r="AO28" s="138">
        <f t="shared" si="48"/>
        <v>-122.95399999999999</v>
      </c>
      <c r="AQ28" s="145"/>
      <c r="AV28" s="131">
        <f t="shared" si="49"/>
        <v>45552</v>
      </c>
      <c r="AW28" s="142" t="str">
        <f t="shared" si="50"/>
        <v>D</v>
      </c>
      <c r="AX28" s="143">
        <f t="shared" si="51"/>
        <v>823149.98959999997</v>
      </c>
      <c r="AY28" s="143">
        <f t="shared" si="52"/>
        <v>1091705.0819999999</v>
      </c>
      <c r="AZ28" s="143">
        <f t="shared" si="53"/>
        <v>-121.7825</v>
      </c>
      <c r="BA28" s="143">
        <f t="shared" si="54"/>
        <v>-2.8364657563665241</v>
      </c>
      <c r="BB28" s="143">
        <f t="shared" si="55"/>
        <v>1.4255677035823972E-2</v>
      </c>
      <c r="BC28" s="144">
        <f t="shared" si="56"/>
        <v>1.1714999999999947</v>
      </c>
    </row>
    <row r="29" spans="28:55" ht="15">
      <c r="AB29" s="131">
        <v>45552</v>
      </c>
      <c r="AC29" s="146" t="s">
        <v>66</v>
      </c>
      <c r="AD29" s="133" t="s">
        <v>101</v>
      </c>
      <c r="AE29" s="132">
        <v>823147.56550000003</v>
      </c>
      <c r="AF29" s="132">
        <v>1091710.4103000001</v>
      </c>
      <c r="AG29" s="134">
        <v>-122.3537</v>
      </c>
      <c r="AL29" s="135">
        <f t="shared" si="45"/>
        <v>3.0170811158808348</v>
      </c>
      <c r="AM29" s="136">
        <f t="shared" si="46"/>
        <v>6.9307615547255855E-2</v>
      </c>
      <c r="AN29" s="137">
        <f t="shared" si="47"/>
        <v>0.60029999999999006</v>
      </c>
      <c r="AO29" s="138">
        <f t="shared" si="48"/>
        <v>-122.95399999999999</v>
      </c>
      <c r="AQ29" s="145"/>
      <c r="AV29" s="131">
        <f t="shared" si="49"/>
        <v>45552</v>
      </c>
      <c r="AW29" s="142" t="str">
        <f t="shared" si="50"/>
        <v>C</v>
      </c>
      <c r="AX29" s="143">
        <f t="shared" si="51"/>
        <v>823147.56550000003</v>
      </c>
      <c r="AY29" s="143">
        <f t="shared" si="52"/>
        <v>1091710.4103000001</v>
      </c>
      <c r="AZ29" s="143">
        <f t="shared" si="53"/>
        <v>-122.3537</v>
      </c>
      <c r="BA29" s="143">
        <f t="shared" si="54"/>
        <v>3.0170811158808348</v>
      </c>
      <c r="BB29" s="143">
        <f t="shared" si="55"/>
        <v>6.9307615547255855E-2</v>
      </c>
      <c r="BC29" s="144">
        <f t="shared" si="56"/>
        <v>0.60029999999999006</v>
      </c>
    </row>
    <row r="30" spans="28:55" ht="15">
      <c r="AB30" s="131">
        <v>45553</v>
      </c>
      <c r="AC30" s="146" t="s">
        <v>64</v>
      </c>
      <c r="AD30" s="133" t="s">
        <v>108</v>
      </c>
      <c r="AE30" s="132">
        <v>823147.64899999998</v>
      </c>
      <c r="AF30" s="132">
        <v>1091710.0851</v>
      </c>
      <c r="AG30" s="134">
        <v>-121.5698</v>
      </c>
      <c r="AL30" s="135">
        <f t="shared" ref="AL30:AL33" si="57">IF(ISNUMBER(AE30),COS(ATAN2(AF30-AO$4,AE30-AO$3)-(AO$5/200*PI()))*SQRT((AE30-AO$3)^2+(AF30-AO$4)^2),"-")</f>
        <v>2.6870632642207655</v>
      </c>
      <c r="AM30" s="136">
        <f t="shared" ref="AM30:AM33" si="58">IF(ISNUMBER(AE30),SIN(ATAN2(AF30-AO$4,AE30-AO$3)-(AO$5/200*PI()))*SQRT((AE30-AO$3)^2+(AF30-AO$4)^2),"-")</f>
        <v>7.5378201057766025E-3</v>
      </c>
      <c r="AN30" s="137">
        <f t="shared" ref="AN30:AN33" si="59">IF(ISNUMBER(AL30),AG30-AO30,"-")</f>
        <v>1.3841999999999928</v>
      </c>
      <c r="AO30" s="138">
        <f t="shared" ref="AO30:AO33" si="60">IF(ISNUMBER(AF30),((AL30-$AO$7)*AO$9)+AO$8,"-")</f>
        <v>-122.95399999999999</v>
      </c>
      <c r="AQ30" s="145"/>
      <c r="AV30" s="131">
        <f t="shared" ref="AV30:AV33" si="61">AB30</f>
        <v>45553</v>
      </c>
      <c r="AW30" s="142" t="str">
        <f t="shared" ref="AW30:AW33" si="62">AC30</f>
        <v>A</v>
      </c>
      <c r="AX30" s="143">
        <f t="shared" ref="AX30:AX33" si="63">AE30</f>
        <v>823147.64899999998</v>
      </c>
      <c r="AY30" s="143">
        <f t="shared" ref="AY30:AY33" si="64">AF30</f>
        <v>1091710.0851</v>
      </c>
      <c r="AZ30" s="143">
        <f t="shared" ref="AZ30:AZ33" si="65">AG30</f>
        <v>-121.5698</v>
      </c>
      <c r="BA30" s="143">
        <f t="shared" ref="BA30:BA33" si="66">AL30+$AY$1</f>
        <v>2.6870632642207655</v>
      </c>
      <c r="BB30" s="143">
        <f t="shared" ref="BB30:BB33" si="67">AM30</f>
        <v>7.5378201057766025E-3</v>
      </c>
      <c r="BC30" s="144">
        <f t="shared" ref="BC30:BC33" si="68">AN30</f>
        <v>1.3841999999999928</v>
      </c>
    </row>
    <row r="31" spans="28:55" ht="15">
      <c r="AB31" s="131">
        <v>45553</v>
      </c>
      <c r="AC31" s="146" t="s">
        <v>65</v>
      </c>
      <c r="AD31" s="133" t="s">
        <v>109</v>
      </c>
      <c r="AE31" s="132">
        <v>823147.59129999997</v>
      </c>
      <c r="AF31" s="132">
        <v>1091710.2524000001</v>
      </c>
      <c r="AG31" s="134">
        <v>-121.90779999999999</v>
      </c>
      <c r="AL31" s="135">
        <f t="shared" si="57"/>
        <v>2.8630730149876542</v>
      </c>
      <c r="AM31" s="136">
        <f t="shared" si="58"/>
        <v>2.5953782341788734E-2</v>
      </c>
      <c r="AN31" s="137">
        <f t="shared" si="59"/>
        <v>1.0461999999999989</v>
      </c>
      <c r="AO31" s="138">
        <f t="shared" si="60"/>
        <v>-122.95399999999999</v>
      </c>
      <c r="AQ31" s="145"/>
      <c r="AV31" s="131">
        <f t="shared" si="61"/>
        <v>45553</v>
      </c>
      <c r="AW31" s="142" t="str">
        <f t="shared" si="62"/>
        <v>B</v>
      </c>
      <c r="AX31" s="143">
        <f t="shared" si="63"/>
        <v>823147.59129999997</v>
      </c>
      <c r="AY31" s="143">
        <f t="shared" si="64"/>
        <v>1091710.2524000001</v>
      </c>
      <c r="AZ31" s="143">
        <f t="shared" si="65"/>
        <v>-121.90779999999999</v>
      </c>
      <c r="BA31" s="143">
        <f t="shared" si="66"/>
        <v>2.8630730149876542</v>
      </c>
      <c r="BB31" s="143">
        <f t="shared" si="67"/>
        <v>2.5953782341788734E-2</v>
      </c>
      <c r="BC31" s="144">
        <f t="shared" si="68"/>
        <v>1.0461999999999989</v>
      </c>
    </row>
    <row r="32" spans="28:55" ht="15">
      <c r="AB32" s="131">
        <v>45553</v>
      </c>
      <c r="AC32" s="146" t="s">
        <v>67</v>
      </c>
      <c r="AD32" s="133" t="s">
        <v>110</v>
      </c>
      <c r="AE32" s="132">
        <v>823149.98979999998</v>
      </c>
      <c r="AF32" s="132">
        <v>1091705.0822999999</v>
      </c>
      <c r="AG32" s="134">
        <v>-121.7826</v>
      </c>
      <c r="AL32" s="135">
        <f t="shared" si="57"/>
        <v>-2.8362783980287745</v>
      </c>
      <c r="AM32" s="136">
        <f t="shared" si="58"/>
        <v>1.4563730327805554E-2</v>
      </c>
      <c r="AN32" s="137">
        <f t="shared" si="59"/>
        <v>1.1713999999999913</v>
      </c>
      <c r="AO32" s="138">
        <f t="shared" si="60"/>
        <v>-122.95399999999999</v>
      </c>
      <c r="AQ32" s="145"/>
      <c r="AV32" s="131">
        <f t="shared" si="61"/>
        <v>45553</v>
      </c>
      <c r="AW32" s="142" t="str">
        <f t="shared" si="62"/>
        <v>D</v>
      </c>
      <c r="AX32" s="143">
        <f t="shared" si="63"/>
        <v>823149.98979999998</v>
      </c>
      <c r="AY32" s="143">
        <f t="shared" si="64"/>
        <v>1091705.0822999999</v>
      </c>
      <c r="AZ32" s="143">
        <f t="shared" si="65"/>
        <v>-121.7826</v>
      </c>
      <c r="BA32" s="143">
        <f t="shared" si="66"/>
        <v>-2.8362783980287745</v>
      </c>
      <c r="BB32" s="143">
        <f t="shared" si="67"/>
        <v>1.4563730327805554E-2</v>
      </c>
      <c r="BC32" s="144">
        <f t="shared" si="68"/>
        <v>1.1713999999999913</v>
      </c>
    </row>
    <row r="33" spans="28:55" ht="15">
      <c r="AB33" s="131">
        <v>45553</v>
      </c>
      <c r="AC33" s="146" t="s">
        <v>66</v>
      </c>
      <c r="AD33" s="133" t="s">
        <v>111</v>
      </c>
      <c r="AE33" s="132">
        <v>823147.56570000004</v>
      </c>
      <c r="AF33" s="132">
        <v>1091710.4106000001</v>
      </c>
      <c r="AG33" s="134">
        <v>-122.35380000000001</v>
      </c>
      <c r="AL33" s="135">
        <f t="shared" si="57"/>
        <v>3.017268474218584</v>
      </c>
      <c r="AM33" s="136">
        <f t="shared" si="58"/>
        <v>6.9615668839237102E-2</v>
      </c>
      <c r="AN33" s="137">
        <f t="shared" si="59"/>
        <v>0.60019999999998674</v>
      </c>
      <c r="AO33" s="138">
        <f t="shared" si="60"/>
        <v>-122.95399999999999</v>
      </c>
      <c r="AQ33" s="145"/>
      <c r="AV33" s="131">
        <f t="shared" si="61"/>
        <v>45553</v>
      </c>
      <c r="AW33" s="142" t="str">
        <f t="shared" si="62"/>
        <v>C</v>
      </c>
      <c r="AX33" s="143">
        <f t="shared" si="63"/>
        <v>823147.56570000004</v>
      </c>
      <c r="AY33" s="143">
        <f t="shared" si="64"/>
        <v>1091710.4106000001</v>
      </c>
      <c r="AZ33" s="143">
        <f t="shared" si="65"/>
        <v>-122.35380000000001</v>
      </c>
      <c r="BA33" s="143">
        <f t="shared" si="66"/>
        <v>3.017268474218584</v>
      </c>
      <c r="BB33" s="143">
        <f t="shared" si="67"/>
        <v>6.9615668839237102E-2</v>
      </c>
      <c r="BC33" s="144">
        <f t="shared" si="68"/>
        <v>0.60019999999998674</v>
      </c>
    </row>
    <row r="34" spans="28:55" ht="15">
      <c r="AB34" s="131">
        <v>45554</v>
      </c>
      <c r="AC34" s="146" t="s">
        <v>64</v>
      </c>
      <c r="AD34" s="133" t="s">
        <v>112</v>
      </c>
      <c r="AE34" s="132">
        <v>823147.64879999997</v>
      </c>
      <c r="AF34" s="132">
        <v>1091710.08488</v>
      </c>
      <c r="AG34" s="134">
        <v>-121.57022000000002</v>
      </c>
      <c r="AL34" s="135">
        <f t="shared" ref="AL34:AL36" si="69">IF(ISNUMBER(AE34),COS(ATAN2(AF34-AO$4,AE34-AO$3)-(AO$5/200*PI()))*SQRT((AE34-AO$3)^2+(AF34-AO$4)^2),"-")</f>
        <v>2.686948409294283</v>
      </c>
      <c r="AM34" s="136">
        <f t="shared" ref="AM34:AM36" si="70">IF(ISNUMBER(AE34),SIN(ATAN2(AF34-AO$4,AE34-AO$3)-(AO$5/200*PI()))*SQRT((AE34-AO$3)^2+(AF34-AO$4)^2),"-")</f>
        <v>7.2635786617408146E-3</v>
      </c>
      <c r="AN34" s="137">
        <f t="shared" ref="AN34:AN36" si="71">IF(ISNUMBER(AL34),AG34-AO34,"-")</f>
        <v>1.3837799999999731</v>
      </c>
      <c r="AO34" s="138">
        <f t="shared" ref="AO34:AO36" si="72">IF(ISNUMBER(AF34),((AL34-$AO$7)*AO$9)+AO$8,"-")</f>
        <v>-122.95399999999999</v>
      </c>
      <c r="AQ34" s="145"/>
      <c r="AV34" s="131">
        <f t="shared" ref="AV34:AV36" si="73">AB34</f>
        <v>45554</v>
      </c>
      <c r="AW34" s="142" t="str">
        <f t="shared" ref="AW34:AW36" si="74">AC34</f>
        <v>A</v>
      </c>
      <c r="AX34" s="143">
        <f t="shared" ref="AX34:AX36" si="75">AE34</f>
        <v>823147.64879999997</v>
      </c>
      <c r="AY34" s="143">
        <f t="shared" ref="AY34:AY36" si="76">AF34</f>
        <v>1091710.08488</v>
      </c>
      <c r="AZ34" s="143">
        <f t="shared" ref="AZ34:AZ36" si="77">AG34</f>
        <v>-121.57022000000002</v>
      </c>
      <c r="BA34" s="143">
        <f t="shared" ref="BA34:BA36" si="78">AL34+$AY$1</f>
        <v>2.686948409294283</v>
      </c>
      <c r="BB34" s="143">
        <f t="shared" ref="BB34:BB36" si="79">AM34</f>
        <v>7.2635786617408146E-3</v>
      </c>
      <c r="BC34" s="144">
        <f t="shared" ref="BC34:BC36" si="80">AN34</f>
        <v>1.3837799999999731</v>
      </c>
    </row>
    <row r="35" spans="28:55" ht="15">
      <c r="AB35" s="131">
        <v>45554</v>
      </c>
      <c r="AC35" s="146" t="s">
        <v>115</v>
      </c>
      <c r="AD35" s="133" t="s">
        <v>113</v>
      </c>
      <c r="AE35" s="132">
        <v>823152.21258333337</v>
      </c>
      <c r="AF35" s="132">
        <v>1091706.2956999999</v>
      </c>
      <c r="AG35" s="134">
        <v>-121.65224999999998</v>
      </c>
      <c r="AL35" s="135">
        <f t="shared" si="69"/>
        <v>-2.6760378797381246</v>
      </c>
      <c r="AM35" s="136">
        <f t="shared" si="70"/>
        <v>2.5418999334296486</v>
      </c>
      <c r="AN35" s="137">
        <f t="shared" si="71"/>
        <v>1.3017500000000126</v>
      </c>
      <c r="AO35" s="138">
        <f t="shared" si="72"/>
        <v>-122.95399999999999</v>
      </c>
      <c r="AQ35" s="145"/>
      <c r="AV35" s="131">
        <f t="shared" si="73"/>
        <v>45554</v>
      </c>
      <c r="AW35" s="142" t="str">
        <f t="shared" si="74"/>
        <v>E</v>
      </c>
      <c r="AX35" s="143">
        <f t="shared" si="75"/>
        <v>823152.21258333337</v>
      </c>
      <c r="AY35" s="143">
        <f t="shared" si="76"/>
        <v>1091706.2956999999</v>
      </c>
      <c r="AZ35" s="143">
        <f t="shared" si="77"/>
        <v>-121.65224999999998</v>
      </c>
      <c r="BA35" s="143">
        <f t="shared" si="78"/>
        <v>-2.6760378797381246</v>
      </c>
      <c r="BB35" s="143">
        <f t="shared" si="79"/>
        <v>2.5418999334296486</v>
      </c>
      <c r="BC35" s="144">
        <f t="shared" si="80"/>
        <v>1.3017500000000126</v>
      </c>
    </row>
    <row r="36" spans="28:55" ht="15">
      <c r="AB36" s="131">
        <v>45554</v>
      </c>
      <c r="AC36" s="146" t="s">
        <v>66</v>
      </c>
      <c r="AD36" s="133" t="s">
        <v>114</v>
      </c>
      <c r="AE36" s="132">
        <v>823147.56522142852</v>
      </c>
      <c r="AF36" s="132">
        <v>1091710.4101571427</v>
      </c>
      <c r="AG36" s="134">
        <v>-122.35412857142859</v>
      </c>
      <c r="AL36" s="135">
        <f t="shared" si="69"/>
        <v>3.0170693829448503</v>
      </c>
      <c r="AM36" s="136">
        <f t="shared" si="70"/>
        <v>6.8994769471478271E-2</v>
      </c>
      <c r="AN36" s="137">
        <f t="shared" si="71"/>
        <v>0.59987142857140441</v>
      </c>
      <c r="AO36" s="138">
        <f t="shared" si="72"/>
        <v>-122.95399999999999</v>
      </c>
      <c r="AQ36" s="145"/>
      <c r="AV36" s="131">
        <f t="shared" si="73"/>
        <v>45554</v>
      </c>
      <c r="AW36" s="142" t="str">
        <f t="shared" si="74"/>
        <v>C</v>
      </c>
      <c r="AX36" s="143">
        <f t="shared" si="75"/>
        <v>823147.56522142852</v>
      </c>
      <c r="AY36" s="143">
        <f t="shared" si="76"/>
        <v>1091710.4101571427</v>
      </c>
      <c r="AZ36" s="143">
        <f t="shared" si="77"/>
        <v>-122.35412857142859</v>
      </c>
      <c r="BA36" s="143">
        <f t="shared" si="78"/>
        <v>3.0170693829448503</v>
      </c>
      <c r="BB36" s="143">
        <f t="shared" si="79"/>
        <v>6.8994769471478271E-2</v>
      </c>
      <c r="BC36" s="144">
        <f t="shared" si="80"/>
        <v>0.59987142857140441</v>
      </c>
    </row>
    <row r="37" spans="28:55" ht="15">
      <c r="AB37" s="131">
        <v>45557</v>
      </c>
      <c r="AC37" s="146" t="s">
        <v>64</v>
      </c>
      <c r="AD37" s="133" t="s">
        <v>116</v>
      </c>
      <c r="AE37" s="132">
        <v>823147.64899999998</v>
      </c>
      <c r="AF37" s="132">
        <v>1091710.0848999999</v>
      </c>
      <c r="AG37" s="134">
        <v>-121.5706</v>
      </c>
      <c r="AL37" s="135">
        <f t="shared" ref="AL37:AL40" si="81">IF(ISNUMBER(AE37),COS(ATAN2(AF37-AO$4,AE37-AO$3)-(AO$5/200*PI()))*SQRT((AE37-AO$3)^2+(AF37-AO$4)^2),"-")</f>
        <v>2.6868820053760785</v>
      </c>
      <c r="AM37" s="136">
        <f t="shared" ref="AM37:AM40" si="82">IF(ISNUMBER(AE37),SIN(ATAN2(AF37-AO$4,AE37-AO$3)-(AO$5/200*PI()))*SQRT((AE37-AO$3)^2+(AF37-AO$4)^2),"-")</f>
        <v>7.4532903383049539E-3</v>
      </c>
      <c r="AN37" s="137">
        <f t="shared" ref="AN37:AN40" si="83">IF(ISNUMBER(AL37),AG37-AO37,"-")</f>
        <v>1.3833999999999946</v>
      </c>
      <c r="AO37" s="138">
        <f t="shared" ref="AO37:AO40" si="84">IF(ISNUMBER(AF37),((AL37-$AO$7)*AO$9)+AO$8,"-")</f>
        <v>-122.95399999999999</v>
      </c>
      <c r="AQ37" s="145"/>
      <c r="AV37" s="131">
        <f t="shared" ref="AV37:AV40" si="85">AB37</f>
        <v>45557</v>
      </c>
      <c r="AW37" s="142" t="str">
        <f t="shared" ref="AW37:AW40" si="86">AC37</f>
        <v>A</v>
      </c>
      <c r="AX37" s="143">
        <f t="shared" ref="AX37:AX40" si="87">AE37</f>
        <v>823147.64899999998</v>
      </c>
      <c r="AY37" s="143">
        <f t="shared" ref="AY37:AY40" si="88">AF37</f>
        <v>1091710.0848999999</v>
      </c>
      <c r="AZ37" s="143">
        <f t="shared" ref="AZ37:AZ40" si="89">AG37</f>
        <v>-121.5706</v>
      </c>
      <c r="BA37" s="143">
        <f t="shared" ref="BA37:BA40" si="90">AL37+$AY$1</f>
        <v>2.6868820053760785</v>
      </c>
      <c r="BB37" s="143">
        <f t="shared" ref="BB37:BB40" si="91">AM37</f>
        <v>7.4532903383049539E-3</v>
      </c>
      <c r="BC37" s="144">
        <f t="shared" ref="BC37:BC40" si="92">AN37</f>
        <v>1.3833999999999946</v>
      </c>
    </row>
    <row r="38" spans="28:55" ht="15">
      <c r="AB38" s="131">
        <v>45557</v>
      </c>
      <c r="AC38" s="146" t="s">
        <v>65</v>
      </c>
      <c r="AD38" s="133" t="s">
        <v>117</v>
      </c>
      <c r="AE38" s="132">
        <v>823147.59149999998</v>
      </c>
      <c r="AF38" s="132">
        <v>1091710.2529</v>
      </c>
      <c r="AG38" s="134">
        <v>-121.9084</v>
      </c>
      <c r="AL38" s="135">
        <f t="shared" si="81"/>
        <v>2.863441631959077</v>
      </c>
      <c r="AM38" s="136">
        <f t="shared" si="82"/>
        <v>2.634636530283525E-2</v>
      </c>
      <c r="AN38" s="137">
        <f t="shared" si="83"/>
        <v>1.0455999999999932</v>
      </c>
      <c r="AO38" s="138">
        <f t="shared" si="84"/>
        <v>-122.95399999999999</v>
      </c>
      <c r="AQ38" s="145"/>
      <c r="AV38" s="131">
        <f t="shared" si="85"/>
        <v>45557</v>
      </c>
      <c r="AW38" s="142" t="str">
        <f t="shared" si="86"/>
        <v>B</v>
      </c>
      <c r="AX38" s="143">
        <f t="shared" si="87"/>
        <v>823147.59149999998</v>
      </c>
      <c r="AY38" s="143">
        <f t="shared" si="88"/>
        <v>1091710.2529</v>
      </c>
      <c r="AZ38" s="143">
        <f t="shared" si="89"/>
        <v>-121.9084</v>
      </c>
      <c r="BA38" s="143">
        <f t="shared" si="90"/>
        <v>2.863441631959077</v>
      </c>
      <c r="BB38" s="143">
        <f t="shared" si="91"/>
        <v>2.634636530283525E-2</v>
      </c>
      <c r="BC38" s="144">
        <f t="shared" si="92"/>
        <v>1.0455999999999932</v>
      </c>
    </row>
    <row r="39" spans="28:55" ht="15">
      <c r="AB39" s="131">
        <v>45557</v>
      </c>
      <c r="AC39" s="146" t="s">
        <v>67</v>
      </c>
      <c r="AD39" s="133" t="s">
        <v>118</v>
      </c>
      <c r="AE39" s="132">
        <v>823149.98990000004</v>
      </c>
      <c r="AF39" s="132">
        <v>1091705.0825</v>
      </c>
      <c r="AG39" s="134">
        <v>-121.7829</v>
      </c>
      <c r="AL39" s="135">
        <f t="shared" si="81"/>
        <v>-2.8361394040678238</v>
      </c>
      <c r="AM39" s="136">
        <f t="shared" si="82"/>
        <v>1.4738889517620871E-2</v>
      </c>
      <c r="AN39" s="137">
        <f t="shared" si="83"/>
        <v>1.1710999999999956</v>
      </c>
      <c r="AO39" s="138">
        <f t="shared" si="84"/>
        <v>-122.95399999999999</v>
      </c>
      <c r="AQ39" s="145"/>
      <c r="AV39" s="131">
        <f t="shared" si="85"/>
        <v>45557</v>
      </c>
      <c r="AW39" s="142" t="str">
        <f t="shared" si="86"/>
        <v>D</v>
      </c>
      <c r="AX39" s="143">
        <f t="shared" si="87"/>
        <v>823149.98990000004</v>
      </c>
      <c r="AY39" s="143">
        <f t="shared" si="88"/>
        <v>1091705.0825</v>
      </c>
      <c r="AZ39" s="143">
        <f t="shared" si="89"/>
        <v>-121.7829</v>
      </c>
      <c r="BA39" s="143">
        <f t="shared" si="90"/>
        <v>-2.8361394040678238</v>
      </c>
      <c r="BB39" s="143">
        <f t="shared" si="91"/>
        <v>1.4738889517620871E-2</v>
      </c>
      <c r="BC39" s="144">
        <f t="shared" si="92"/>
        <v>1.1710999999999956</v>
      </c>
    </row>
    <row r="40" spans="28:55" ht="15">
      <c r="AB40" s="131">
        <v>45557</v>
      </c>
      <c r="AC40" s="146" t="s">
        <v>66</v>
      </c>
      <c r="AD40" s="133" t="s">
        <v>119</v>
      </c>
      <c r="AE40" s="132">
        <v>823147.56570000004</v>
      </c>
      <c r="AF40" s="132">
        <v>1091710.4099000001</v>
      </c>
      <c r="AG40" s="134">
        <v>-122.3548</v>
      </c>
      <c r="AL40" s="135">
        <f t="shared" si="81"/>
        <v>3.0166340686842052</v>
      </c>
      <c r="AM40" s="136">
        <f t="shared" si="82"/>
        <v>6.9319814849900532E-2</v>
      </c>
      <c r="AN40" s="137">
        <f t="shared" si="83"/>
        <v>0.59919999999999618</v>
      </c>
      <c r="AO40" s="138">
        <f t="shared" si="84"/>
        <v>-122.95399999999999</v>
      </c>
      <c r="AQ40" s="145"/>
      <c r="AV40" s="131">
        <f t="shared" si="85"/>
        <v>45557</v>
      </c>
      <c r="AW40" s="142" t="str">
        <f t="shared" si="86"/>
        <v>C</v>
      </c>
      <c r="AX40" s="143">
        <f t="shared" si="87"/>
        <v>823147.56570000004</v>
      </c>
      <c r="AY40" s="143">
        <f t="shared" si="88"/>
        <v>1091710.4099000001</v>
      </c>
      <c r="AZ40" s="143">
        <f t="shared" si="89"/>
        <v>-122.3548</v>
      </c>
      <c r="BA40" s="143">
        <f t="shared" si="90"/>
        <v>3.0166340686842052</v>
      </c>
      <c r="BB40" s="143">
        <f t="shared" si="91"/>
        <v>6.9319814849900532E-2</v>
      </c>
      <c r="BC40" s="144">
        <f t="shared" si="92"/>
        <v>0.59919999999999618</v>
      </c>
    </row>
    <row r="41" spans="28:55" ht="15">
      <c r="AB41" s="131">
        <v>45558</v>
      </c>
      <c r="AC41" s="146" t="s">
        <v>64</v>
      </c>
      <c r="AD41" s="133" t="s">
        <v>121</v>
      </c>
      <c r="AE41" s="132">
        <v>823147.64910000004</v>
      </c>
      <c r="AF41" s="132">
        <v>1091710.0851</v>
      </c>
      <c r="AG41" s="134">
        <v>-121.57040000000001</v>
      </c>
      <c r="AL41" s="135">
        <f t="shared" ref="AL41:AL44" si="93">IF(ISNUMBER(AE41),COS(ATAN2(AF41-AO$4,AE41-AO$3)-(AO$5/200*PI()))*SQRT((AE41-AO$3)^2+(AF41-AO$4)^2),"-")</f>
        <v>2.68702099933703</v>
      </c>
      <c r="AM41" s="136">
        <f t="shared" ref="AM41:AM44" si="94">IF(ISNUMBER(AE41),SIN(ATAN2(AF41-AO$4,AE41-AO$3)-(AO$5/200*PI()))*SQRT((AE41-AO$3)^2+(AF41-AO$4)^2),"-")</f>
        <v>7.62844952812077E-3</v>
      </c>
      <c r="AN41" s="137">
        <f t="shared" ref="AN41:AN44" si="95">IF(ISNUMBER(AL41),AG41-AO41,"-")</f>
        <v>1.3835999999999871</v>
      </c>
      <c r="AO41" s="138">
        <f t="shared" ref="AO41:AO44" si="96">IF(ISNUMBER(AF41),((AL41-$AO$7)*AO$9)+AO$8,"-")</f>
        <v>-122.95399999999999</v>
      </c>
      <c r="AQ41" s="145"/>
      <c r="AV41" s="131">
        <f t="shared" ref="AV41:AV44" si="97">AB41</f>
        <v>45558</v>
      </c>
      <c r="AW41" s="142" t="str">
        <f t="shared" ref="AW41:AW44" si="98">AC41</f>
        <v>A</v>
      </c>
      <c r="AX41" s="143">
        <f t="shared" ref="AX41:AX44" si="99">AE41</f>
        <v>823147.64910000004</v>
      </c>
      <c r="AY41" s="143">
        <f t="shared" ref="AY41:AY44" si="100">AF41</f>
        <v>1091710.0851</v>
      </c>
      <c r="AZ41" s="143">
        <f t="shared" ref="AZ41:AZ44" si="101">AG41</f>
        <v>-121.57040000000001</v>
      </c>
      <c r="BA41" s="143">
        <f t="shared" ref="BA41:BA44" si="102">AL41+$AY$1</f>
        <v>2.68702099933703</v>
      </c>
      <c r="BB41" s="143">
        <f t="shared" ref="BB41:BB44" si="103">AM41</f>
        <v>7.62844952812077E-3</v>
      </c>
      <c r="BC41" s="144">
        <f t="shared" ref="BC41:BC44" si="104">AN41</f>
        <v>1.3835999999999871</v>
      </c>
    </row>
    <row r="42" spans="28:55" ht="15">
      <c r="AB42" s="131">
        <v>45558</v>
      </c>
      <c r="AC42" s="146" t="s">
        <v>65</v>
      </c>
      <c r="AD42" s="133" t="s">
        <v>122</v>
      </c>
      <c r="AE42" s="132">
        <v>823147.59140000003</v>
      </c>
      <c r="AF42" s="132">
        <v>1091710.2527000001</v>
      </c>
      <c r="AG42" s="134">
        <v>-121.9083</v>
      </c>
      <c r="AL42" s="135">
        <f t="shared" si="93"/>
        <v>2.863302638159936</v>
      </c>
      <c r="AM42" s="136">
        <f t="shared" si="94"/>
        <v>2.6171206316932986E-2</v>
      </c>
      <c r="AN42" s="137">
        <f t="shared" si="95"/>
        <v>1.0456999999999965</v>
      </c>
      <c r="AO42" s="138">
        <f t="shared" si="96"/>
        <v>-122.95399999999999</v>
      </c>
      <c r="AQ42" s="145"/>
      <c r="AV42" s="131">
        <f t="shared" si="97"/>
        <v>45558</v>
      </c>
      <c r="AW42" s="142" t="str">
        <f t="shared" si="98"/>
        <v>B</v>
      </c>
      <c r="AX42" s="143">
        <f t="shared" si="99"/>
        <v>823147.59140000003</v>
      </c>
      <c r="AY42" s="143">
        <f t="shared" si="100"/>
        <v>1091710.2527000001</v>
      </c>
      <c r="AZ42" s="143">
        <f t="shared" si="101"/>
        <v>-121.9083</v>
      </c>
      <c r="BA42" s="143">
        <f t="shared" si="102"/>
        <v>2.863302638159936</v>
      </c>
      <c r="BB42" s="143">
        <f t="shared" si="103"/>
        <v>2.6171206316932986E-2</v>
      </c>
      <c r="BC42" s="144">
        <f t="shared" si="104"/>
        <v>1.0456999999999965</v>
      </c>
    </row>
    <row r="43" spans="28:55" ht="15">
      <c r="AB43" s="131">
        <v>45558</v>
      </c>
      <c r="AC43" s="146" t="s">
        <v>67</v>
      </c>
      <c r="AD43" s="133" t="s">
        <v>123</v>
      </c>
      <c r="AE43" s="132">
        <v>823149.98939999996</v>
      </c>
      <c r="AF43" s="132">
        <v>1091705.0822000001</v>
      </c>
      <c r="AG43" s="134">
        <v>-121.78279999999999</v>
      </c>
      <c r="AL43" s="135">
        <f t="shared" si="93"/>
        <v>-2.836199967803569</v>
      </c>
      <c r="AM43" s="136">
        <f t="shared" si="94"/>
        <v>1.4158948064115631E-2</v>
      </c>
      <c r="AN43" s="137">
        <f t="shared" si="95"/>
        <v>1.1711999999999989</v>
      </c>
      <c r="AO43" s="138">
        <f t="shared" si="96"/>
        <v>-122.95399999999999</v>
      </c>
      <c r="AQ43" s="145"/>
      <c r="AV43" s="131">
        <f t="shared" si="97"/>
        <v>45558</v>
      </c>
      <c r="AW43" s="142" t="str">
        <f t="shared" si="98"/>
        <v>D</v>
      </c>
      <c r="AX43" s="143">
        <f t="shared" si="99"/>
        <v>823149.98939999996</v>
      </c>
      <c r="AY43" s="143">
        <f t="shared" si="100"/>
        <v>1091705.0822000001</v>
      </c>
      <c r="AZ43" s="143">
        <f t="shared" si="101"/>
        <v>-121.78279999999999</v>
      </c>
      <c r="BA43" s="143">
        <f t="shared" si="102"/>
        <v>-2.836199967803569</v>
      </c>
      <c r="BB43" s="143">
        <f t="shared" si="103"/>
        <v>1.4158948064115631E-2</v>
      </c>
      <c r="BC43" s="144">
        <f t="shared" si="104"/>
        <v>1.1711999999999989</v>
      </c>
    </row>
    <row r="44" spans="28:55" ht="15">
      <c r="AB44" s="131">
        <v>45558</v>
      </c>
      <c r="AC44" s="146" t="s">
        <v>66</v>
      </c>
      <c r="AD44" s="133" t="s">
        <v>124</v>
      </c>
      <c r="AE44" s="132">
        <v>823147.56550000003</v>
      </c>
      <c r="AF44" s="132">
        <v>1091710.4097333334</v>
      </c>
      <c r="AG44" s="134">
        <v>-122.35456666666668</v>
      </c>
      <c r="AL44" s="135">
        <f t="shared" si="93"/>
        <v>3.0165675494355719</v>
      </c>
      <c r="AM44" s="136">
        <f t="shared" si="94"/>
        <v>6.906811467062951E-2</v>
      </c>
      <c r="AN44" s="137">
        <f t="shared" si="95"/>
        <v>0.59943333333330884</v>
      </c>
      <c r="AO44" s="138">
        <f t="shared" si="96"/>
        <v>-122.95399999999999</v>
      </c>
      <c r="AQ44" s="145"/>
      <c r="AV44" s="131">
        <f t="shared" si="97"/>
        <v>45558</v>
      </c>
      <c r="AW44" s="142" t="str">
        <f t="shared" si="98"/>
        <v>C</v>
      </c>
      <c r="AX44" s="143">
        <f t="shared" si="99"/>
        <v>823147.56550000003</v>
      </c>
      <c r="AY44" s="143">
        <f t="shared" si="100"/>
        <v>1091710.4097333334</v>
      </c>
      <c r="AZ44" s="143">
        <f t="shared" si="101"/>
        <v>-122.35456666666668</v>
      </c>
      <c r="BA44" s="143">
        <f t="shared" si="102"/>
        <v>3.0165675494355719</v>
      </c>
      <c r="BB44" s="143">
        <f t="shared" si="103"/>
        <v>6.906811467062951E-2</v>
      </c>
      <c r="BC44" s="144">
        <f t="shared" si="104"/>
        <v>0.59943333333330884</v>
      </c>
    </row>
    <row r="45" spans="28:55" ht="15">
      <c r="AB45" s="131">
        <v>45559</v>
      </c>
      <c r="AC45" s="146" t="s">
        <v>64</v>
      </c>
      <c r="AD45" s="133" t="s">
        <v>121</v>
      </c>
      <c r="AE45" s="132">
        <v>823147.64919999999</v>
      </c>
      <c r="AF45" s="132">
        <v>1091710.0848999999</v>
      </c>
      <c r="AG45" s="134">
        <v>-121.5701</v>
      </c>
      <c r="AL45" s="135">
        <f t="shared" ref="AL45:AL52" si="105">IF(ISNUMBER(AE45),COS(ATAN2(AF45-AO$4,AE45-AO$3)-(AO$5/200*PI()))*SQRT((AE45-AO$3)^2+(AF45-AO$4)^2),"-")</f>
        <v>2.6867974756578099</v>
      </c>
      <c r="AM45" s="136">
        <f t="shared" ref="AM45:AM52" si="106">IF(ISNUMBER(AE45),SIN(ATAN2(AF45-AO$4,AE45-AO$3)-(AO$5/200*PI()))*SQRT((AE45-AO$3)^2+(AF45-AO$4)^2),"-")</f>
        <v>7.6345490774866699E-3</v>
      </c>
      <c r="AN45" s="137">
        <f t="shared" ref="AN45:AN52" si="107">IF(ISNUMBER(AL45),AG45-AO45,"-")</f>
        <v>1.383899999999997</v>
      </c>
      <c r="AO45" s="138">
        <f t="shared" ref="AO45:AO52" si="108">IF(ISNUMBER(AF45),((AL45-$AO$7)*AO$9)+AO$8,"-")</f>
        <v>-122.95399999999999</v>
      </c>
      <c r="AQ45" s="145"/>
      <c r="AV45" s="131">
        <f t="shared" ref="AV45:AV52" si="109">AB45</f>
        <v>45559</v>
      </c>
      <c r="AW45" s="142" t="str">
        <f t="shared" ref="AW45:AW52" si="110">AC45</f>
        <v>A</v>
      </c>
      <c r="AX45" s="143">
        <f t="shared" ref="AX45:AX52" si="111">AE45</f>
        <v>823147.64919999999</v>
      </c>
      <c r="AY45" s="143">
        <f t="shared" ref="AY45:AY52" si="112">AF45</f>
        <v>1091710.0848999999</v>
      </c>
      <c r="AZ45" s="143">
        <f t="shared" ref="AZ45:AZ52" si="113">AG45</f>
        <v>-121.5701</v>
      </c>
      <c r="BA45" s="143">
        <f t="shared" ref="BA45:BA52" si="114">AL45+$AY$1</f>
        <v>2.6867974756578099</v>
      </c>
      <c r="BB45" s="143">
        <f t="shared" ref="BB45:BB52" si="115">AM45</f>
        <v>7.6345490774866699E-3</v>
      </c>
      <c r="BC45" s="144">
        <f t="shared" ref="BC45:BC52" si="116">AN45</f>
        <v>1.383899999999997</v>
      </c>
    </row>
    <row r="46" spans="28:55" ht="15">
      <c r="AB46" s="131">
        <v>45559</v>
      </c>
      <c r="AC46" s="146" t="s">
        <v>65</v>
      </c>
      <c r="AD46" s="133" t="s">
        <v>122</v>
      </c>
      <c r="AE46" s="132">
        <v>823147.59199999995</v>
      </c>
      <c r="AF46" s="132">
        <v>1091710.2527000001</v>
      </c>
      <c r="AG46" s="134">
        <v>-121.90819999999999</v>
      </c>
      <c r="AL46" s="135">
        <f t="shared" si="105"/>
        <v>2.8630490490543345</v>
      </c>
      <c r="AM46" s="136">
        <f t="shared" si="106"/>
        <v>2.6714982428967325E-2</v>
      </c>
      <c r="AN46" s="137">
        <f t="shared" si="107"/>
        <v>1.0457999999999998</v>
      </c>
      <c r="AO46" s="138">
        <f t="shared" si="108"/>
        <v>-122.95399999999999</v>
      </c>
      <c r="AQ46" s="145"/>
      <c r="AV46" s="131">
        <f t="shared" si="109"/>
        <v>45559</v>
      </c>
      <c r="AW46" s="142" t="str">
        <f t="shared" si="110"/>
        <v>B</v>
      </c>
      <c r="AX46" s="143">
        <f t="shared" si="111"/>
        <v>823147.59199999995</v>
      </c>
      <c r="AY46" s="143">
        <f t="shared" si="112"/>
        <v>1091710.2527000001</v>
      </c>
      <c r="AZ46" s="143">
        <f t="shared" si="113"/>
        <v>-121.90819999999999</v>
      </c>
      <c r="BA46" s="143">
        <f t="shared" si="114"/>
        <v>2.8630490490543345</v>
      </c>
      <c r="BB46" s="143">
        <f t="shared" si="115"/>
        <v>2.6714982428967325E-2</v>
      </c>
      <c r="BC46" s="144">
        <f t="shared" si="116"/>
        <v>1.0457999999999998</v>
      </c>
    </row>
    <row r="47" spans="28:55" ht="15">
      <c r="AB47" s="131">
        <v>45559</v>
      </c>
      <c r="AC47" s="146" t="s">
        <v>67</v>
      </c>
      <c r="AD47" s="133" t="s">
        <v>123</v>
      </c>
      <c r="AE47" s="132">
        <v>823149.98959999997</v>
      </c>
      <c r="AF47" s="132">
        <v>1091705.0822000001</v>
      </c>
      <c r="AG47" s="134">
        <v>-121.78270000000001</v>
      </c>
      <c r="AL47" s="135">
        <f t="shared" si="105"/>
        <v>-2.8362844975218371</v>
      </c>
      <c r="AM47" s="136">
        <f t="shared" si="106"/>
        <v>1.4340206803295346E-2</v>
      </c>
      <c r="AN47" s="137">
        <f t="shared" si="107"/>
        <v>1.171299999999988</v>
      </c>
      <c r="AO47" s="138">
        <f t="shared" si="108"/>
        <v>-122.95399999999999</v>
      </c>
      <c r="AQ47" s="145"/>
      <c r="AV47" s="131">
        <f t="shared" si="109"/>
        <v>45559</v>
      </c>
      <c r="AW47" s="142" t="str">
        <f t="shared" si="110"/>
        <v>D</v>
      </c>
      <c r="AX47" s="143">
        <f t="shared" si="111"/>
        <v>823149.98959999997</v>
      </c>
      <c r="AY47" s="143">
        <f t="shared" si="112"/>
        <v>1091705.0822000001</v>
      </c>
      <c r="AZ47" s="143">
        <f t="shared" si="113"/>
        <v>-121.78270000000001</v>
      </c>
      <c r="BA47" s="143">
        <f t="shared" si="114"/>
        <v>-2.8362844975218371</v>
      </c>
      <c r="BB47" s="143">
        <f t="shared" si="115"/>
        <v>1.4340206803295346E-2</v>
      </c>
      <c r="BC47" s="144">
        <f t="shared" si="116"/>
        <v>1.171299999999988</v>
      </c>
    </row>
    <row r="48" spans="28:55" ht="15">
      <c r="AB48" s="131">
        <v>45559</v>
      </c>
      <c r="AC48" s="146" t="s">
        <v>66</v>
      </c>
      <c r="AD48" s="133" t="s">
        <v>124</v>
      </c>
      <c r="AE48" s="132">
        <v>823147.56566666672</v>
      </c>
      <c r="AF48" s="132">
        <v>1091710.4099333333</v>
      </c>
      <c r="AG48" s="134">
        <v>-122.3546</v>
      </c>
      <c r="AL48" s="135">
        <f t="shared" si="105"/>
        <v>3.0166783666291552</v>
      </c>
      <c r="AM48" s="136">
        <f t="shared" si="106"/>
        <v>6.9303693306597552E-2</v>
      </c>
      <c r="AN48" s="137">
        <f t="shared" si="107"/>
        <v>0.59939999999998861</v>
      </c>
      <c r="AO48" s="138">
        <f t="shared" si="108"/>
        <v>-122.95399999999999</v>
      </c>
      <c r="AQ48" s="145"/>
      <c r="AV48" s="131">
        <f t="shared" si="109"/>
        <v>45559</v>
      </c>
      <c r="AW48" s="142" t="str">
        <f t="shared" si="110"/>
        <v>C</v>
      </c>
      <c r="AX48" s="143">
        <f t="shared" si="111"/>
        <v>823147.56566666672</v>
      </c>
      <c r="AY48" s="143">
        <f t="shared" si="112"/>
        <v>1091710.4099333333</v>
      </c>
      <c r="AZ48" s="143">
        <f t="shared" si="113"/>
        <v>-122.3546</v>
      </c>
      <c r="BA48" s="143">
        <f t="shared" si="114"/>
        <v>3.0166783666291552</v>
      </c>
      <c r="BB48" s="143">
        <f t="shared" si="115"/>
        <v>6.9303693306597552E-2</v>
      </c>
      <c r="BC48" s="144">
        <f t="shared" si="116"/>
        <v>0.59939999999998861</v>
      </c>
    </row>
    <row r="49" spans="28:55" ht="15">
      <c r="AB49" s="131">
        <v>45560</v>
      </c>
      <c r="AC49" s="146" t="s">
        <v>64</v>
      </c>
      <c r="AD49" s="133" t="s">
        <v>121</v>
      </c>
      <c r="AE49" s="132">
        <v>823147.64870000002</v>
      </c>
      <c r="AF49" s="132">
        <v>1091710.0851</v>
      </c>
      <c r="AG49" s="134">
        <v>-121.5702</v>
      </c>
      <c r="AL49" s="135">
        <f t="shared" si="105"/>
        <v>2.6871900587735662</v>
      </c>
      <c r="AM49" s="136">
        <f t="shared" si="106"/>
        <v>7.2659320497582627E-3</v>
      </c>
      <c r="AN49" s="137">
        <f t="shared" si="107"/>
        <v>1.3837999999999937</v>
      </c>
      <c r="AO49" s="138">
        <f t="shared" si="108"/>
        <v>-122.95399999999999</v>
      </c>
      <c r="AQ49" s="145"/>
      <c r="AV49" s="131">
        <f t="shared" si="109"/>
        <v>45560</v>
      </c>
      <c r="AW49" s="142" t="str">
        <f t="shared" si="110"/>
        <v>A</v>
      </c>
      <c r="AX49" s="143">
        <f t="shared" si="111"/>
        <v>823147.64870000002</v>
      </c>
      <c r="AY49" s="143">
        <f t="shared" si="112"/>
        <v>1091710.0851</v>
      </c>
      <c r="AZ49" s="143">
        <f t="shared" si="113"/>
        <v>-121.5702</v>
      </c>
      <c r="BA49" s="143">
        <f t="shared" si="114"/>
        <v>2.6871900587735662</v>
      </c>
      <c r="BB49" s="143">
        <f t="shared" si="115"/>
        <v>7.2659320497582627E-3</v>
      </c>
      <c r="BC49" s="144">
        <f t="shared" si="116"/>
        <v>1.3837999999999937</v>
      </c>
    </row>
    <row r="50" spans="28:55" ht="15">
      <c r="AB50" s="131">
        <v>45560</v>
      </c>
      <c r="AC50" s="146" t="s">
        <v>65</v>
      </c>
      <c r="AD50" s="133" t="s">
        <v>122</v>
      </c>
      <c r="AE50" s="132">
        <v>823147.59129999997</v>
      </c>
      <c r="AF50" s="132">
        <v>1091710.2527000001</v>
      </c>
      <c r="AG50" s="134">
        <v>-121.9085</v>
      </c>
      <c r="AL50" s="135">
        <f t="shared" si="105"/>
        <v>2.8633449030436715</v>
      </c>
      <c r="AM50" s="136">
        <f t="shared" si="106"/>
        <v>2.6080576894589421E-2</v>
      </c>
      <c r="AN50" s="137">
        <f t="shared" si="107"/>
        <v>1.0454999999999899</v>
      </c>
      <c r="AO50" s="138">
        <f t="shared" si="108"/>
        <v>-122.95399999999999</v>
      </c>
      <c r="AQ50" s="145"/>
      <c r="AV50" s="131">
        <f t="shared" si="109"/>
        <v>45560</v>
      </c>
      <c r="AW50" s="142" t="str">
        <f t="shared" si="110"/>
        <v>B</v>
      </c>
      <c r="AX50" s="143">
        <f t="shared" si="111"/>
        <v>823147.59129999997</v>
      </c>
      <c r="AY50" s="143">
        <f t="shared" si="112"/>
        <v>1091710.2527000001</v>
      </c>
      <c r="AZ50" s="143">
        <f t="shared" si="113"/>
        <v>-121.9085</v>
      </c>
      <c r="BA50" s="143">
        <f t="shared" si="114"/>
        <v>2.8633449030436715</v>
      </c>
      <c r="BB50" s="143">
        <f t="shared" si="115"/>
        <v>2.6080576894589421E-2</v>
      </c>
      <c r="BC50" s="144">
        <f t="shared" si="116"/>
        <v>1.0454999999999899</v>
      </c>
    </row>
    <row r="51" spans="28:55" ht="15">
      <c r="AB51" s="131">
        <v>45560</v>
      </c>
      <c r="AC51" s="146" t="s">
        <v>67</v>
      </c>
      <c r="AD51" s="133" t="s">
        <v>123</v>
      </c>
      <c r="AE51" s="132">
        <v>823149.98950000003</v>
      </c>
      <c r="AF51" s="132">
        <v>1091705.0823249999</v>
      </c>
      <c r="AG51" s="134">
        <v>-121.782675</v>
      </c>
      <c r="AL51" s="135">
        <f t="shared" si="105"/>
        <v>-2.8361289461731416</v>
      </c>
      <c r="AM51" s="136">
        <f t="shared" si="106"/>
        <v>1.4302408468121164E-2</v>
      </c>
      <c r="AN51" s="137">
        <f t="shared" si="107"/>
        <v>1.171324999999996</v>
      </c>
      <c r="AO51" s="138">
        <f t="shared" si="108"/>
        <v>-122.95399999999999</v>
      </c>
      <c r="AQ51" s="145"/>
      <c r="AV51" s="131">
        <f t="shared" si="109"/>
        <v>45560</v>
      </c>
      <c r="AW51" s="142" t="str">
        <f t="shared" si="110"/>
        <v>D</v>
      </c>
      <c r="AX51" s="143">
        <f t="shared" si="111"/>
        <v>823149.98950000003</v>
      </c>
      <c r="AY51" s="143">
        <f t="shared" si="112"/>
        <v>1091705.0823249999</v>
      </c>
      <c r="AZ51" s="143">
        <f t="shared" si="113"/>
        <v>-121.782675</v>
      </c>
      <c r="BA51" s="143">
        <f t="shared" si="114"/>
        <v>-2.8361289461731416</v>
      </c>
      <c r="BB51" s="143">
        <f t="shared" si="115"/>
        <v>1.4302408468121164E-2</v>
      </c>
      <c r="BC51" s="144">
        <f t="shared" si="116"/>
        <v>1.171324999999996</v>
      </c>
    </row>
    <row r="52" spans="28:55" ht="15">
      <c r="AB52" s="131">
        <v>45560</v>
      </c>
      <c r="AC52" s="146" t="s">
        <v>66</v>
      </c>
      <c r="AD52" s="133" t="s">
        <v>124</v>
      </c>
      <c r="AE52" s="132">
        <v>823147.56519999995</v>
      </c>
      <c r="AF52" s="132">
        <v>1091710.4099000001</v>
      </c>
      <c r="AG52" s="134">
        <v>-122.3544</v>
      </c>
      <c r="AL52" s="135">
        <f t="shared" si="105"/>
        <v>3.0168453930044774</v>
      </c>
      <c r="AM52" s="136">
        <f t="shared" si="106"/>
        <v>6.8866667949195118E-2</v>
      </c>
      <c r="AN52" s="137">
        <f t="shared" si="107"/>
        <v>0.59959999999999525</v>
      </c>
      <c r="AO52" s="138">
        <f t="shared" si="108"/>
        <v>-122.95399999999999</v>
      </c>
      <c r="AQ52" s="145"/>
      <c r="AV52" s="131">
        <f t="shared" si="109"/>
        <v>45560</v>
      </c>
      <c r="AW52" s="142" t="str">
        <f t="shared" si="110"/>
        <v>C</v>
      </c>
      <c r="AX52" s="143">
        <f t="shared" si="111"/>
        <v>823147.56519999995</v>
      </c>
      <c r="AY52" s="143">
        <f t="shared" si="112"/>
        <v>1091710.4099000001</v>
      </c>
      <c r="AZ52" s="143">
        <f t="shared" si="113"/>
        <v>-122.3544</v>
      </c>
      <c r="BA52" s="143">
        <f t="shared" si="114"/>
        <v>3.0168453930044774</v>
      </c>
      <c r="BB52" s="143">
        <f t="shared" si="115"/>
        <v>6.8866667949195118E-2</v>
      </c>
      <c r="BC52" s="144">
        <f t="shared" si="116"/>
        <v>0.59959999999999525</v>
      </c>
    </row>
    <row r="53" spans="28:55" ht="15">
      <c r="AB53" s="131">
        <v>45562</v>
      </c>
      <c r="AC53" s="146" t="s">
        <v>64</v>
      </c>
      <c r="AD53" s="133" t="s">
        <v>134</v>
      </c>
      <c r="AE53" s="132">
        <v>823147.64910000004</v>
      </c>
      <c r="AF53" s="132">
        <v>1091710.085</v>
      </c>
      <c r="AG53" s="134">
        <v>-121.5702</v>
      </c>
      <c r="AI53" s="170"/>
      <c r="AL53" s="135">
        <f t="shared" ref="AL53:AL56" si="117">IF(ISNUMBER(AE53),COS(ATAN2(AF53-AO$4,AE53-AO$3)-(AO$5/200*PI()))*SQRT((AE53-AO$3)^2+(AF53-AO$4)^2),"-")</f>
        <v>2.6869303699146867</v>
      </c>
      <c r="AM53" s="136">
        <f t="shared" ref="AM53:AM56" si="118">IF(ISNUMBER(AE53),SIN(ATAN2(AF53-AO$4,AE53-AO$3)-(AO$5/200*PI()))*SQRT((AE53-AO$3)^2+(AF53-AO$4)^2),"-")</f>
        <v>7.5861846443840393E-3</v>
      </c>
      <c r="AN53" s="137">
        <f t="shared" ref="AN53:AN56" si="119">IF(ISNUMBER(AL53),AG53-AO53,"-")</f>
        <v>1.3837999999999937</v>
      </c>
      <c r="AO53" s="138">
        <f t="shared" ref="AO53:AO56" si="120">IF(ISNUMBER(AF53),((AL53-$AO$7)*AO$9)+AO$8,"-")</f>
        <v>-122.95399999999999</v>
      </c>
      <c r="AQ53" s="145"/>
      <c r="AV53" s="131">
        <f t="shared" ref="AV53:AV56" si="121">AB53</f>
        <v>45562</v>
      </c>
      <c r="AW53" s="142" t="str">
        <f t="shared" ref="AW53:AW56" si="122">AC53</f>
        <v>A</v>
      </c>
      <c r="AX53" s="143">
        <f t="shared" ref="AX53:AX56" si="123">AE53</f>
        <v>823147.64910000004</v>
      </c>
      <c r="AY53" s="143">
        <f t="shared" ref="AY53:AY56" si="124">AF53</f>
        <v>1091710.085</v>
      </c>
      <c r="AZ53" s="143">
        <f t="shared" ref="AZ53:AZ56" si="125">AG53</f>
        <v>-121.5702</v>
      </c>
      <c r="BA53" s="143">
        <f t="shared" ref="BA53:BA56" si="126">AL53+$AY$1</f>
        <v>2.6869303699146867</v>
      </c>
      <c r="BB53" s="143">
        <f t="shared" ref="BB53:BB56" si="127">AM53</f>
        <v>7.5861846443840393E-3</v>
      </c>
      <c r="BC53" s="144">
        <f t="shared" ref="BC53:BC56" si="128">AN53</f>
        <v>1.3837999999999937</v>
      </c>
    </row>
    <row r="54" spans="28:55" ht="15">
      <c r="AB54" s="131">
        <v>45562</v>
      </c>
      <c r="AC54" s="146" t="s">
        <v>65</v>
      </c>
      <c r="AD54" s="133" t="s">
        <v>135</v>
      </c>
      <c r="AE54" s="132">
        <v>823147.59180000005</v>
      </c>
      <c r="AF54" s="132">
        <v>1091710.253</v>
      </c>
      <c r="AG54" s="134">
        <v>-121.90830000000001</v>
      </c>
      <c r="AI54" s="170"/>
      <c r="AL54" s="135">
        <f t="shared" si="117"/>
        <v>2.8634054667794171</v>
      </c>
      <c r="AM54" s="136">
        <f t="shared" si="118"/>
        <v>2.6660518348096143E-2</v>
      </c>
      <c r="AN54" s="137">
        <f t="shared" si="119"/>
        <v>1.0456999999999823</v>
      </c>
      <c r="AO54" s="138">
        <f t="shared" si="120"/>
        <v>-122.95399999999999</v>
      </c>
      <c r="AQ54" s="145"/>
      <c r="AV54" s="131">
        <f t="shared" si="121"/>
        <v>45562</v>
      </c>
      <c r="AW54" s="142" t="str">
        <f t="shared" si="122"/>
        <v>B</v>
      </c>
      <c r="AX54" s="143">
        <f t="shared" si="123"/>
        <v>823147.59180000005</v>
      </c>
      <c r="AY54" s="143">
        <f t="shared" si="124"/>
        <v>1091710.253</v>
      </c>
      <c r="AZ54" s="143">
        <f t="shared" si="125"/>
        <v>-121.90830000000001</v>
      </c>
      <c r="BA54" s="143">
        <f t="shared" si="126"/>
        <v>2.8634054667794171</v>
      </c>
      <c r="BB54" s="143">
        <f t="shared" si="127"/>
        <v>2.6660518348096143E-2</v>
      </c>
      <c r="BC54" s="144">
        <f t="shared" si="128"/>
        <v>1.0456999999999823</v>
      </c>
    </row>
    <row r="55" spans="28:55" ht="15">
      <c r="AB55" s="131">
        <v>45562</v>
      </c>
      <c r="AC55" s="146" t="s">
        <v>67</v>
      </c>
      <c r="AD55" s="133" t="s">
        <v>136</v>
      </c>
      <c r="AE55" s="132">
        <v>823149.98959999997</v>
      </c>
      <c r="AF55" s="132">
        <v>1091705.0822000001</v>
      </c>
      <c r="AG55" s="134">
        <v>-121.7826</v>
      </c>
      <c r="AI55" s="170"/>
      <c r="AL55" s="135">
        <f t="shared" si="117"/>
        <v>-2.8362844975218371</v>
      </c>
      <c r="AM55" s="136">
        <f t="shared" si="118"/>
        <v>1.4340206803295346E-2</v>
      </c>
      <c r="AN55" s="137">
        <f t="shared" si="119"/>
        <v>1.1713999999999913</v>
      </c>
      <c r="AO55" s="138">
        <f t="shared" si="120"/>
        <v>-122.95399999999999</v>
      </c>
      <c r="AQ55" s="145"/>
      <c r="AV55" s="131">
        <f t="shared" si="121"/>
        <v>45562</v>
      </c>
      <c r="AW55" s="142" t="str">
        <f t="shared" si="122"/>
        <v>D</v>
      </c>
      <c r="AX55" s="143">
        <f t="shared" si="123"/>
        <v>823149.98959999997</v>
      </c>
      <c r="AY55" s="143">
        <f t="shared" si="124"/>
        <v>1091705.0822000001</v>
      </c>
      <c r="AZ55" s="143">
        <f t="shared" si="125"/>
        <v>-121.7826</v>
      </c>
      <c r="BA55" s="143">
        <f t="shared" si="126"/>
        <v>-2.8362844975218371</v>
      </c>
      <c r="BB55" s="143">
        <f t="shared" si="127"/>
        <v>1.4340206803295346E-2</v>
      </c>
      <c r="BC55" s="144">
        <f t="shared" si="128"/>
        <v>1.1713999999999913</v>
      </c>
    </row>
    <row r="56" spans="28:55" ht="15">
      <c r="AB56" s="131">
        <v>45562</v>
      </c>
      <c r="AC56" s="146" t="s">
        <v>66</v>
      </c>
      <c r="AD56" s="133" t="s">
        <v>137</v>
      </c>
      <c r="AE56" s="132">
        <v>823147.56570000004</v>
      </c>
      <c r="AF56" s="132">
        <v>1091710.4099999999</v>
      </c>
      <c r="AG56" s="134">
        <v>-122.3545</v>
      </c>
      <c r="AI56" s="170"/>
      <c r="AL56" s="135">
        <f t="shared" si="117"/>
        <v>3.0167246978955364</v>
      </c>
      <c r="AM56" s="136">
        <f t="shared" si="118"/>
        <v>6.9362079635230833E-2</v>
      </c>
      <c r="AN56" s="137">
        <f t="shared" si="119"/>
        <v>0.59949999999999193</v>
      </c>
      <c r="AO56" s="138">
        <f t="shared" si="120"/>
        <v>-122.95399999999999</v>
      </c>
      <c r="AQ56" s="145"/>
      <c r="AV56" s="131">
        <f t="shared" si="121"/>
        <v>45562</v>
      </c>
      <c r="AW56" s="142" t="str">
        <f t="shared" si="122"/>
        <v>C</v>
      </c>
      <c r="AX56" s="143">
        <f t="shared" si="123"/>
        <v>823147.56570000004</v>
      </c>
      <c r="AY56" s="143">
        <f t="shared" si="124"/>
        <v>1091710.4099999999</v>
      </c>
      <c r="AZ56" s="143">
        <f t="shared" si="125"/>
        <v>-122.3545</v>
      </c>
      <c r="BA56" s="143">
        <f t="shared" si="126"/>
        <v>3.0167246978955364</v>
      </c>
      <c r="BB56" s="143">
        <f t="shared" si="127"/>
        <v>6.9362079635230833E-2</v>
      </c>
      <c r="BC56" s="144">
        <f t="shared" si="128"/>
        <v>0.59949999999999193</v>
      </c>
    </row>
    <row r="57" spans="28:55" ht="15">
      <c r="AB57" s="131">
        <v>45565</v>
      </c>
      <c r="AC57" s="146" t="s">
        <v>64</v>
      </c>
      <c r="AD57" s="133" t="s">
        <v>138</v>
      </c>
      <c r="AE57" s="132">
        <v>823147.64859999996</v>
      </c>
      <c r="AF57" s="132">
        <v>1091710.0845000001</v>
      </c>
      <c r="AG57" s="134">
        <v>-121.57040000000001</v>
      </c>
      <c r="AL57" s="135">
        <f t="shared" ref="AL57:AL60" si="129">IF(ISNUMBER(AE57),COS(ATAN2(AF57-AO$4,AE57-AO$3)-(AO$5/200*PI()))*SQRT((AE57-AO$3)^2+(AF57-AO$4)^2),"-")</f>
        <v>2.6866885475452666</v>
      </c>
      <c r="AM57" s="136">
        <f t="shared" ref="AM57:AM60" si="130">IF(ISNUMBER(AE57),SIN(ATAN2(AF57-AO$4,AE57-AO$3)-(AO$5/200*PI()))*SQRT((AE57-AO$3)^2+(AF57-AO$4)^2),"-")</f>
        <v>6.9217135218141278E-3</v>
      </c>
      <c r="AN57" s="137">
        <f t="shared" ref="AN57:AN60" si="131">IF(ISNUMBER(AL57),AG57-AO57,"-")</f>
        <v>1.3835999999999871</v>
      </c>
      <c r="AO57" s="138">
        <f t="shared" ref="AO57:AO60" si="132">IF(ISNUMBER(AF57),((AL57-$AO$7)*AO$9)+AO$8,"-")</f>
        <v>-122.95399999999999</v>
      </c>
      <c r="AQ57" s="145"/>
      <c r="AV57" s="131">
        <f t="shared" ref="AV57:AV60" si="133">AB57</f>
        <v>45565</v>
      </c>
      <c r="AW57" s="142" t="str">
        <f t="shared" ref="AW57:AW60" si="134">AC57</f>
        <v>A</v>
      </c>
      <c r="AX57" s="143">
        <f t="shared" ref="AX57:AX60" si="135">AE57</f>
        <v>823147.64859999996</v>
      </c>
      <c r="AY57" s="143">
        <f t="shared" ref="AY57:AY60" si="136">AF57</f>
        <v>1091710.0845000001</v>
      </c>
      <c r="AZ57" s="143">
        <f t="shared" ref="AZ57:AZ60" si="137">AG57</f>
        <v>-121.57040000000001</v>
      </c>
      <c r="BA57" s="143">
        <f t="shared" ref="BA57:BA60" si="138">AL57+$AY$1</f>
        <v>2.6866885475452666</v>
      </c>
      <c r="BB57" s="143">
        <f t="shared" ref="BB57:BB60" si="139">AM57</f>
        <v>6.9217135218141278E-3</v>
      </c>
      <c r="BC57" s="144">
        <f t="shared" ref="BC57:BC60" si="140">AN57</f>
        <v>1.3835999999999871</v>
      </c>
    </row>
    <row r="58" spans="28:55" ht="15">
      <c r="AB58" s="131">
        <v>45565</v>
      </c>
      <c r="AC58" s="146" t="s">
        <v>65</v>
      </c>
      <c r="AD58" s="133" t="s">
        <v>139</v>
      </c>
      <c r="AE58" s="132">
        <v>823147.59180000005</v>
      </c>
      <c r="AF58" s="132">
        <v>1091710.2524000001</v>
      </c>
      <c r="AG58" s="134">
        <v>-121.908</v>
      </c>
      <c r="AL58" s="135">
        <f t="shared" si="129"/>
        <v>2.8628616906673825</v>
      </c>
      <c r="AM58" s="136">
        <f t="shared" si="130"/>
        <v>2.6406929242492095E-2</v>
      </c>
      <c r="AN58" s="137">
        <f t="shared" si="131"/>
        <v>1.0459999999999923</v>
      </c>
      <c r="AO58" s="138">
        <f t="shared" si="132"/>
        <v>-122.95399999999999</v>
      </c>
      <c r="AQ58" s="145"/>
      <c r="AV58" s="131">
        <f t="shared" si="133"/>
        <v>45565</v>
      </c>
      <c r="AW58" s="142" t="str">
        <f t="shared" si="134"/>
        <v>B</v>
      </c>
      <c r="AX58" s="143">
        <f t="shared" si="135"/>
        <v>823147.59180000005</v>
      </c>
      <c r="AY58" s="143">
        <f t="shared" si="136"/>
        <v>1091710.2524000001</v>
      </c>
      <c r="AZ58" s="143">
        <f t="shared" si="137"/>
        <v>-121.908</v>
      </c>
      <c r="BA58" s="143">
        <f t="shared" si="138"/>
        <v>2.8628616906673825</v>
      </c>
      <c r="BB58" s="143">
        <f t="shared" si="139"/>
        <v>2.6406929242492095E-2</v>
      </c>
      <c r="BC58" s="144">
        <f t="shared" si="140"/>
        <v>1.0459999999999923</v>
      </c>
    </row>
    <row r="59" spans="28:55" ht="15">
      <c r="AB59" s="131">
        <v>45565</v>
      </c>
      <c r="AC59" s="146" t="s">
        <v>67</v>
      </c>
      <c r="AD59" s="133" t="s">
        <v>140</v>
      </c>
      <c r="AE59" s="132">
        <v>823149.98910000001</v>
      </c>
      <c r="AF59" s="132">
        <v>1091705.0819000001</v>
      </c>
      <c r="AG59" s="134">
        <v>-121.78270000000001</v>
      </c>
      <c r="AL59" s="135">
        <f t="shared" si="129"/>
        <v>-2.836345061306786</v>
      </c>
      <c r="AM59" s="136">
        <f t="shared" si="130"/>
        <v>1.3760265455296614E-2</v>
      </c>
      <c r="AN59" s="137">
        <f t="shared" si="131"/>
        <v>1.171299999999988</v>
      </c>
      <c r="AO59" s="138">
        <f t="shared" si="132"/>
        <v>-122.95399999999999</v>
      </c>
      <c r="AQ59" s="145"/>
      <c r="AV59" s="131">
        <f t="shared" si="133"/>
        <v>45565</v>
      </c>
      <c r="AW59" s="142" t="str">
        <f t="shared" si="134"/>
        <v>D</v>
      </c>
      <c r="AX59" s="143">
        <f t="shared" si="135"/>
        <v>823149.98910000001</v>
      </c>
      <c r="AY59" s="143">
        <f t="shared" si="136"/>
        <v>1091705.0819000001</v>
      </c>
      <c r="AZ59" s="143">
        <f t="shared" si="137"/>
        <v>-121.78270000000001</v>
      </c>
      <c r="BA59" s="143">
        <f t="shared" si="138"/>
        <v>-2.836345061306786</v>
      </c>
      <c r="BB59" s="143">
        <f t="shared" si="139"/>
        <v>1.3760265455296614E-2</v>
      </c>
      <c r="BC59" s="144">
        <f t="shared" si="140"/>
        <v>1.171299999999988</v>
      </c>
    </row>
    <row r="60" spans="28:55" ht="15">
      <c r="AB60" s="131">
        <v>45565</v>
      </c>
      <c r="AC60" s="146" t="s">
        <v>66</v>
      </c>
      <c r="AD60" s="133" t="s">
        <v>141</v>
      </c>
      <c r="AE60" s="132">
        <v>823147.56530000002</v>
      </c>
      <c r="AF60" s="132">
        <v>1091710.4097</v>
      </c>
      <c r="AG60" s="134">
        <v>-122.35470000000001</v>
      </c>
      <c r="AL60" s="135">
        <f t="shared" si="129"/>
        <v>3.0166218692760549</v>
      </c>
      <c r="AM60" s="136">
        <f t="shared" si="130"/>
        <v>6.8872767604068116E-2</v>
      </c>
      <c r="AN60" s="137">
        <f t="shared" si="131"/>
        <v>0.59929999999998529</v>
      </c>
      <c r="AO60" s="138">
        <f t="shared" si="132"/>
        <v>-122.95399999999999</v>
      </c>
      <c r="AQ60" s="145"/>
      <c r="AV60" s="131">
        <f t="shared" si="133"/>
        <v>45565</v>
      </c>
      <c r="AW60" s="142" t="str">
        <f t="shared" si="134"/>
        <v>C</v>
      </c>
      <c r="AX60" s="143">
        <f t="shared" si="135"/>
        <v>823147.56530000002</v>
      </c>
      <c r="AY60" s="143">
        <f t="shared" si="136"/>
        <v>1091710.4097</v>
      </c>
      <c r="AZ60" s="143">
        <f t="shared" si="137"/>
        <v>-122.35470000000001</v>
      </c>
      <c r="BA60" s="143">
        <f t="shared" si="138"/>
        <v>3.0166218692760549</v>
      </c>
      <c r="BB60" s="143">
        <f t="shared" si="139"/>
        <v>6.8872767604068116E-2</v>
      </c>
      <c r="BC60" s="144">
        <f t="shared" si="140"/>
        <v>0.59929999999998529</v>
      </c>
    </row>
    <row r="61" spans="28:55" ht="15">
      <c r="AB61" s="131">
        <v>45567</v>
      </c>
      <c r="AC61" s="132" t="s">
        <v>64</v>
      </c>
      <c r="AD61" s="133" t="s">
        <v>142</v>
      </c>
      <c r="AE61" s="132">
        <v>823147.64919999999</v>
      </c>
      <c r="AF61" s="132">
        <v>1091710.0848999999</v>
      </c>
      <c r="AG61" s="134">
        <v>-121.5702</v>
      </c>
      <c r="AL61" s="135">
        <f t="shared" ref="AL61:AL64" si="141">IF(ISNUMBER(AE61),COS(ATAN2(AF61-AO$4,AE61-AO$3)-(AO$5/200*PI()))*SQRT((AE61-AO$3)^2+(AF61-AO$4)^2),"-")</f>
        <v>2.6867974756578099</v>
      </c>
      <c r="AM61" s="136">
        <f t="shared" ref="AM61:AM64" si="142">IF(ISNUMBER(AE61),SIN(ATAN2(AF61-AO$4,AE61-AO$3)-(AO$5/200*PI()))*SQRT((AE61-AO$3)^2+(AF61-AO$4)^2),"-")</f>
        <v>7.6345490774866699E-3</v>
      </c>
      <c r="AN61" s="137">
        <f t="shared" ref="AN61:AN64" si="143">IF(ISNUMBER(AL61),AG61-AO61,"-")</f>
        <v>1.3837999999999937</v>
      </c>
      <c r="AO61" s="138">
        <f t="shared" ref="AO61:AO64" si="144">IF(ISNUMBER(AF61),((AL61-$AO$7)*AO$9)+AO$8,"-")</f>
        <v>-122.95399999999999</v>
      </c>
      <c r="AQ61" s="145"/>
      <c r="AV61" s="131">
        <f t="shared" ref="AV61:AV64" si="145">AB61</f>
        <v>45567</v>
      </c>
      <c r="AW61" s="142" t="str">
        <f t="shared" ref="AW61:AW64" si="146">AC61</f>
        <v>A</v>
      </c>
      <c r="AX61" s="143">
        <f t="shared" ref="AX61:AX64" si="147">AE61</f>
        <v>823147.64919999999</v>
      </c>
      <c r="AY61" s="143">
        <f t="shared" ref="AY61:AY64" si="148">AF61</f>
        <v>1091710.0848999999</v>
      </c>
      <c r="AZ61" s="143">
        <f t="shared" ref="AZ61:AZ64" si="149">AG61</f>
        <v>-121.5702</v>
      </c>
      <c r="BA61" s="143">
        <f t="shared" ref="BA61:BA64" si="150">AL61+$AY$1</f>
        <v>2.6867974756578099</v>
      </c>
      <c r="BB61" s="143">
        <f t="shared" ref="BB61:BB64" si="151">AM61</f>
        <v>7.6345490774866699E-3</v>
      </c>
      <c r="BC61" s="144">
        <f t="shared" ref="BC61:BC64" si="152">AN61</f>
        <v>1.3837999999999937</v>
      </c>
    </row>
    <row r="62" spans="28:55" ht="15">
      <c r="AB62" s="131">
        <v>45567</v>
      </c>
      <c r="AC62" s="132" t="s">
        <v>65</v>
      </c>
      <c r="AD62" s="133" t="s">
        <v>143</v>
      </c>
      <c r="AE62" s="132">
        <v>823147.59180000005</v>
      </c>
      <c r="AF62" s="132">
        <v>1091710.2522</v>
      </c>
      <c r="AG62" s="134">
        <v>-121.9081</v>
      </c>
      <c r="AL62" s="135">
        <f t="shared" si="141"/>
        <v>2.862680431822695</v>
      </c>
      <c r="AM62" s="136">
        <f t="shared" si="142"/>
        <v>2.6322399475022424E-2</v>
      </c>
      <c r="AN62" s="137">
        <f t="shared" si="143"/>
        <v>1.0458999999999889</v>
      </c>
      <c r="AO62" s="138">
        <f t="shared" si="144"/>
        <v>-122.95399999999999</v>
      </c>
      <c r="AQ62" s="145"/>
      <c r="AV62" s="131">
        <f t="shared" si="145"/>
        <v>45567</v>
      </c>
      <c r="AW62" s="142" t="str">
        <f t="shared" si="146"/>
        <v>B</v>
      </c>
      <c r="AX62" s="143">
        <f t="shared" si="147"/>
        <v>823147.59180000005</v>
      </c>
      <c r="AY62" s="143">
        <f t="shared" si="148"/>
        <v>1091710.2522</v>
      </c>
      <c r="AZ62" s="143">
        <f t="shared" si="149"/>
        <v>-121.9081</v>
      </c>
      <c r="BA62" s="143">
        <f t="shared" si="150"/>
        <v>2.862680431822695</v>
      </c>
      <c r="BB62" s="143">
        <f t="shared" si="151"/>
        <v>2.6322399475022424E-2</v>
      </c>
      <c r="BC62" s="144">
        <f t="shared" si="152"/>
        <v>1.0458999999999889</v>
      </c>
    </row>
    <row r="63" spans="28:55" ht="15">
      <c r="AB63" s="131">
        <v>45567</v>
      </c>
      <c r="AC63" s="132" t="s">
        <v>67</v>
      </c>
      <c r="AD63" s="133" t="s">
        <v>144</v>
      </c>
      <c r="AE63" s="132">
        <v>823149.98979999998</v>
      </c>
      <c r="AF63" s="132">
        <v>1091705.0821</v>
      </c>
      <c r="AG63" s="134">
        <v>-121.7825</v>
      </c>
      <c r="AL63" s="135">
        <f t="shared" si="141"/>
        <v>-2.8364596566624489</v>
      </c>
      <c r="AM63" s="136">
        <f t="shared" si="142"/>
        <v>1.4479200658740188E-2</v>
      </c>
      <c r="AN63" s="137">
        <f t="shared" si="143"/>
        <v>1.1714999999999947</v>
      </c>
      <c r="AO63" s="138">
        <f t="shared" si="144"/>
        <v>-122.95399999999999</v>
      </c>
      <c r="AQ63" s="145"/>
      <c r="AV63" s="131">
        <f t="shared" si="145"/>
        <v>45567</v>
      </c>
      <c r="AW63" s="142" t="str">
        <f t="shared" si="146"/>
        <v>D</v>
      </c>
      <c r="AX63" s="143">
        <f t="shared" si="147"/>
        <v>823149.98979999998</v>
      </c>
      <c r="AY63" s="143">
        <f t="shared" si="148"/>
        <v>1091705.0821</v>
      </c>
      <c r="AZ63" s="143">
        <f t="shared" si="149"/>
        <v>-121.7825</v>
      </c>
      <c r="BA63" s="143">
        <f t="shared" si="150"/>
        <v>-2.8364596566624489</v>
      </c>
      <c r="BB63" s="143">
        <f t="shared" si="151"/>
        <v>1.4479200658740188E-2</v>
      </c>
      <c r="BC63" s="144">
        <f t="shared" si="152"/>
        <v>1.1714999999999947</v>
      </c>
    </row>
    <row r="64" spans="28:55" ht="15">
      <c r="AB64" s="131">
        <v>45567</v>
      </c>
      <c r="AC64" s="132" t="s">
        <v>66</v>
      </c>
      <c r="AD64" s="133" t="s">
        <v>145</v>
      </c>
      <c r="AE64" s="132">
        <v>823147.56579999998</v>
      </c>
      <c r="AF64" s="132">
        <v>1091710.4099000001</v>
      </c>
      <c r="AG64" s="134">
        <v>-122.3545</v>
      </c>
      <c r="AL64" s="135">
        <f t="shared" si="141"/>
        <v>3.0165918038496726</v>
      </c>
      <c r="AM64" s="136">
        <f t="shared" si="142"/>
        <v>6.9410444166738902E-2</v>
      </c>
      <c r="AN64" s="137">
        <f t="shared" si="143"/>
        <v>0.59949999999999193</v>
      </c>
      <c r="AO64" s="138">
        <f t="shared" si="144"/>
        <v>-122.95399999999999</v>
      </c>
      <c r="AQ64" s="145"/>
      <c r="AV64" s="131">
        <f t="shared" si="145"/>
        <v>45567</v>
      </c>
      <c r="AW64" s="142" t="str">
        <f t="shared" si="146"/>
        <v>C</v>
      </c>
      <c r="AX64" s="143">
        <f t="shared" si="147"/>
        <v>823147.56579999998</v>
      </c>
      <c r="AY64" s="143">
        <f t="shared" si="148"/>
        <v>1091710.4099000001</v>
      </c>
      <c r="AZ64" s="143">
        <f t="shared" si="149"/>
        <v>-122.3545</v>
      </c>
      <c r="BA64" s="143">
        <f t="shared" si="150"/>
        <v>3.0165918038496726</v>
      </c>
      <c r="BB64" s="143">
        <f t="shared" si="151"/>
        <v>6.9410444166738902E-2</v>
      </c>
      <c r="BC64" s="144">
        <f t="shared" si="152"/>
        <v>0.59949999999999193</v>
      </c>
    </row>
    <row r="65" spans="28:55" ht="15">
      <c r="AB65" s="131">
        <v>45569</v>
      </c>
      <c r="AC65" s="132" t="s">
        <v>64</v>
      </c>
      <c r="AD65" s="133">
        <v>1</v>
      </c>
      <c r="AE65" s="132">
        <v>823147.64930000005</v>
      </c>
      <c r="AF65" s="132">
        <v>1091710.0854</v>
      </c>
      <c r="AG65" s="134">
        <v>-121.5705</v>
      </c>
      <c r="AL65" s="135">
        <f t="shared" ref="AL65:AL68" si="153">IF(ISNUMBER(AE65),COS(ATAN2(AF65-AO$4,AE65-AO$3)-(AO$5/200*PI()))*SQRT((AE65-AO$3)^2+(AF65-AO$4)^2),"-")</f>
        <v>2.6872083576747792</v>
      </c>
      <c r="AM65" s="136">
        <f t="shared" ref="AM65:AM68" si="154">IF(ISNUMBER(AE65),SIN(ATAN2(AF65-AO$4,AE65-AO$3)-(AO$5/200*PI()))*SQRT((AE65-AO$3)^2+(AF65-AO$4)^2),"-")</f>
        <v>7.9365028201007631E-3</v>
      </c>
      <c r="AN65" s="137">
        <f t="shared" ref="AN65:AN68" si="155">IF(ISNUMBER(AL65),AG65-AO65,"-")</f>
        <v>1.383499999999998</v>
      </c>
      <c r="AO65" s="138">
        <f t="shared" ref="AO65:AO68" si="156">IF(ISNUMBER(AF65),((AL65-$AO$7)*AO$9)+AO$8,"-")</f>
        <v>-122.95399999999999</v>
      </c>
      <c r="AQ65" s="145"/>
      <c r="AV65" s="131">
        <f t="shared" ref="AV65:AV68" si="157">AB65</f>
        <v>45569</v>
      </c>
      <c r="AW65" s="142" t="str">
        <f t="shared" ref="AW65:AW68" si="158">AC65</f>
        <v>A</v>
      </c>
      <c r="AX65" s="143">
        <f t="shared" ref="AX65:AX68" si="159">AE65</f>
        <v>823147.64930000005</v>
      </c>
      <c r="AY65" s="143">
        <f t="shared" ref="AY65:AY68" si="160">AF65</f>
        <v>1091710.0854</v>
      </c>
      <c r="AZ65" s="143">
        <f t="shared" ref="AZ65:AZ68" si="161">AG65</f>
        <v>-121.5705</v>
      </c>
      <c r="BA65" s="143">
        <f t="shared" ref="BA65:BA68" si="162">AL65+$AY$1</f>
        <v>2.6872083576747792</v>
      </c>
      <c r="BB65" s="143">
        <f t="shared" ref="BB65:BB68" si="163">AM65</f>
        <v>7.9365028201007631E-3</v>
      </c>
      <c r="BC65" s="144">
        <f t="shared" ref="BC65:BC68" si="164">AN65</f>
        <v>1.383499999999998</v>
      </c>
    </row>
    <row r="66" spans="28:55" ht="15">
      <c r="AB66" s="131">
        <v>45569</v>
      </c>
      <c r="AC66" s="132" t="s">
        <v>65</v>
      </c>
      <c r="AD66" s="133">
        <v>2</v>
      </c>
      <c r="AE66" s="132">
        <v>823147.59169999999</v>
      </c>
      <c r="AF66" s="132">
        <v>1091710.2520999999</v>
      </c>
      <c r="AG66" s="134">
        <v>-121.9085</v>
      </c>
      <c r="AL66" s="135">
        <f t="shared" si="153"/>
        <v>2.8626320672840868</v>
      </c>
      <c r="AM66" s="136">
        <f t="shared" si="154"/>
        <v>2.6189505168941991E-2</v>
      </c>
      <c r="AN66" s="137">
        <f t="shared" si="155"/>
        <v>1.0454999999999899</v>
      </c>
      <c r="AO66" s="138">
        <f t="shared" si="156"/>
        <v>-122.95399999999999</v>
      </c>
      <c r="AQ66" s="145"/>
      <c r="AV66" s="131">
        <f t="shared" si="157"/>
        <v>45569</v>
      </c>
      <c r="AW66" s="142" t="str">
        <f t="shared" si="158"/>
        <v>B</v>
      </c>
      <c r="AX66" s="143">
        <f t="shared" si="159"/>
        <v>823147.59169999999</v>
      </c>
      <c r="AY66" s="143">
        <f t="shared" si="160"/>
        <v>1091710.2520999999</v>
      </c>
      <c r="AZ66" s="143">
        <f t="shared" si="161"/>
        <v>-121.9085</v>
      </c>
      <c r="BA66" s="143">
        <f t="shared" si="162"/>
        <v>2.8626320672840868</v>
      </c>
      <c r="BB66" s="143">
        <f t="shared" si="163"/>
        <v>2.6189505168941991E-2</v>
      </c>
      <c r="BC66" s="144">
        <f t="shared" si="164"/>
        <v>1.0454999999999899</v>
      </c>
    </row>
    <row r="67" spans="28:55" ht="15">
      <c r="AB67" s="131">
        <v>45569</v>
      </c>
      <c r="AC67" s="132" t="s">
        <v>67</v>
      </c>
      <c r="AD67" s="133">
        <v>3</v>
      </c>
      <c r="AE67" s="132">
        <v>823149.98970000003</v>
      </c>
      <c r="AF67" s="132">
        <v>1091705.0826999999</v>
      </c>
      <c r="AG67" s="134">
        <v>-121.78270000000001</v>
      </c>
      <c r="AL67" s="135">
        <f t="shared" si="153"/>
        <v>-2.8358736157158817</v>
      </c>
      <c r="AM67" s="136">
        <f t="shared" si="154"/>
        <v>1.464216044750564E-2</v>
      </c>
      <c r="AN67" s="137">
        <f t="shared" si="155"/>
        <v>1.171299999999988</v>
      </c>
      <c r="AO67" s="138">
        <f t="shared" si="156"/>
        <v>-122.95399999999999</v>
      </c>
      <c r="AQ67" s="145"/>
      <c r="AV67" s="131">
        <f t="shared" si="157"/>
        <v>45569</v>
      </c>
      <c r="AW67" s="142" t="str">
        <f t="shared" si="158"/>
        <v>D</v>
      </c>
      <c r="AX67" s="143">
        <f t="shared" si="159"/>
        <v>823149.98970000003</v>
      </c>
      <c r="AY67" s="143">
        <f t="shared" si="160"/>
        <v>1091705.0826999999</v>
      </c>
      <c r="AZ67" s="143">
        <f t="shared" si="161"/>
        <v>-121.78270000000001</v>
      </c>
      <c r="BA67" s="143">
        <f t="shared" si="162"/>
        <v>-2.8358736157158817</v>
      </c>
      <c r="BB67" s="143">
        <f t="shared" si="163"/>
        <v>1.464216044750564E-2</v>
      </c>
      <c r="BC67" s="144">
        <f t="shared" si="164"/>
        <v>1.171299999999988</v>
      </c>
    </row>
    <row r="68" spans="28:55" ht="15">
      <c r="AB68" s="131">
        <v>45569</v>
      </c>
      <c r="AC68" s="132" t="s">
        <v>66</v>
      </c>
      <c r="AD68" s="133">
        <v>4</v>
      </c>
      <c r="AE68" s="132">
        <v>823147.56599999999</v>
      </c>
      <c r="AF68" s="132">
        <v>1091710.4109</v>
      </c>
      <c r="AG68" s="134">
        <v>-122.35469999999999</v>
      </c>
      <c r="AL68" s="135">
        <f t="shared" si="153"/>
        <v>3.0174135677218006</v>
      </c>
      <c r="AM68" s="136">
        <f t="shared" si="154"/>
        <v>7.0014351448057455E-2</v>
      </c>
      <c r="AN68" s="137">
        <f t="shared" si="155"/>
        <v>0.5992999999999995</v>
      </c>
      <c r="AO68" s="138">
        <f t="shared" si="156"/>
        <v>-122.95399999999999</v>
      </c>
      <c r="AQ68" s="145"/>
      <c r="AV68" s="131">
        <f t="shared" si="157"/>
        <v>45569</v>
      </c>
      <c r="AW68" s="142" t="str">
        <f t="shared" si="158"/>
        <v>C</v>
      </c>
      <c r="AX68" s="143">
        <f t="shared" si="159"/>
        <v>823147.56599999999</v>
      </c>
      <c r="AY68" s="143">
        <f t="shared" si="160"/>
        <v>1091710.4109</v>
      </c>
      <c r="AZ68" s="143">
        <f t="shared" si="161"/>
        <v>-122.35469999999999</v>
      </c>
      <c r="BA68" s="143">
        <f t="shared" si="162"/>
        <v>3.0174135677218006</v>
      </c>
      <c r="BB68" s="143">
        <f t="shared" si="163"/>
        <v>7.0014351448057455E-2</v>
      </c>
      <c r="BC68" s="144">
        <f t="shared" si="164"/>
        <v>0.5992999999999995</v>
      </c>
    </row>
    <row r="69" spans="28:55" ht="15">
      <c r="AB69" s="131">
        <v>45572</v>
      </c>
      <c r="AC69" s="132" t="s">
        <v>64</v>
      </c>
      <c r="AD69" s="133" t="s">
        <v>147</v>
      </c>
      <c r="AE69" s="132">
        <v>823147.64930000005</v>
      </c>
      <c r="AF69" s="132">
        <v>1091710.0855</v>
      </c>
      <c r="AG69" s="134">
        <v>-121.5702</v>
      </c>
      <c r="AL69" s="135">
        <f t="shared" ref="AL69:AL72" si="165">IF(ISNUMBER(AE69),COS(ATAN2(AF69-AO$4,AE69-AO$3)-(AO$5/200*PI()))*SQRT((AE69-AO$3)^2+(AF69-AO$4)^2),"-")</f>
        <v>2.6872989870971224</v>
      </c>
      <c r="AM69" s="136">
        <f t="shared" ref="AM69:AM72" si="166">IF(ISNUMBER(AE69),SIN(ATAN2(AF69-AO$4,AE69-AO$3)-(AO$5/200*PI()))*SQRT((AE69-AO$3)^2+(AF69-AO$4)^2),"-")</f>
        <v>7.9787677038376907E-3</v>
      </c>
      <c r="AN69" s="137">
        <f t="shared" ref="AN69:AN72" si="167">IF(ISNUMBER(AL69),AG69-AO69,"-")</f>
        <v>1.3837999999999937</v>
      </c>
      <c r="AO69" s="138">
        <f t="shared" ref="AO69:AO72" si="168">IF(ISNUMBER(AF69),((AL69-$AO$7)*AO$9)+AO$8,"-")</f>
        <v>-122.95399999999999</v>
      </c>
      <c r="AQ69" s="145"/>
      <c r="AV69" s="131">
        <f t="shared" ref="AV69:AV72" si="169">AB69</f>
        <v>45572</v>
      </c>
      <c r="AW69" s="142" t="str">
        <f t="shared" ref="AW69:AW72" si="170">AC69</f>
        <v>A</v>
      </c>
      <c r="AX69" s="143">
        <f t="shared" ref="AX69:AX72" si="171">AE69</f>
        <v>823147.64930000005</v>
      </c>
      <c r="AY69" s="143">
        <f t="shared" ref="AY69:AY72" si="172">AF69</f>
        <v>1091710.0855</v>
      </c>
      <c r="AZ69" s="143">
        <f t="shared" ref="AZ69:AZ72" si="173">AG69</f>
        <v>-121.5702</v>
      </c>
      <c r="BA69" s="143">
        <f t="shared" ref="BA69:BA72" si="174">AL69+$AY$1</f>
        <v>2.6872989870971224</v>
      </c>
      <c r="BB69" s="143">
        <f t="shared" ref="BB69:BB72" si="175">AM69</f>
        <v>7.9787677038376907E-3</v>
      </c>
      <c r="BC69" s="144">
        <f t="shared" ref="BC69:BC72" si="176">AN69</f>
        <v>1.3837999999999937</v>
      </c>
    </row>
    <row r="70" spans="28:55" ht="15">
      <c r="AB70" s="131">
        <v>45572</v>
      </c>
      <c r="AC70" s="132" t="s">
        <v>65</v>
      </c>
      <c r="AD70" s="133" t="s">
        <v>148</v>
      </c>
      <c r="AE70" s="132">
        <v>823147.59169999999</v>
      </c>
      <c r="AF70" s="132">
        <v>1091710.2524000001</v>
      </c>
      <c r="AG70" s="134">
        <v>-121.9085</v>
      </c>
      <c r="AL70" s="135">
        <f t="shared" si="165"/>
        <v>2.8629039555511175</v>
      </c>
      <c r="AM70" s="136">
        <f t="shared" si="166"/>
        <v>2.6316299820150279E-2</v>
      </c>
      <c r="AN70" s="137">
        <f t="shared" si="167"/>
        <v>1.0454999999999899</v>
      </c>
      <c r="AO70" s="138">
        <f t="shared" si="168"/>
        <v>-122.95399999999999</v>
      </c>
      <c r="AQ70" s="145"/>
      <c r="AV70" s="131">
        <f t="shared" si="169"/>
        <v>45572</v>
      </c>
      <c r="AW70" s="142" t="str">
        <f t="shared" si="170"/>
        <v>B</v>
      </c>
      <c r="AX70" s="143">
        <f t="shared" si="171"/>
        <v>823147.59169999999</v>
      </c>
      <c r="AY70" s="143">
        <f t="shared" si="172"/>
        <v>1091710.2524000001</v>
      </c>
      <c r="AZ70" s="143">
        <f t="shared" si="173"/>
        <v>-121.9085</v>
      </c>
      <c r="BA70" s="143">
        <f t="shared" si="174"/>
        <v>2.8629039555511175</v>
      </c>
      <c r="BB70" s="143">
        <f t="shared" si="175"/>
        <v>2.6316299820150279E-2</v>
      </c>
      <c r="BC70" s="144">
        <f t="shared" si="176"/>
        <v>1.0454999999999899</v>
      </c>
    </row>
    <row r="71" spans="28:55" ht="15">
      <c r="AB71" s="131">
        <v>45572</v>
      </c>
      <c r="AC71" s="146" t="s">
        <v>66</v>
      </c>
      <c r="AD71" s="133" t="s">
        <v>149</v>
      </c>
      <c r="AE71" s="132">
        <v>823147.56579999998</v>
      </c>
      <c r="AF71" s="132">
        <v>1091710.4099999999</v>
      </c>
      <c r="AG71" s="134">
        <v>-122.3546</v>
      </c>
      <c r="AL71" s="135">
        <f t="shared" si="165"/>
        <v>3.0166824330610034</v>
      </c>
      <c r="AM71" s="136">
        <f t="shared" si="166"/>
        <v>6.9452708952066955E-2</v>
      </c>
      <c r="AN71" s="137">
        <f t="shared" si="167"/>
        <v>0.59939999999998861</v>
      </c>
      <c r="AO71" s="138">
        <f t="shared" si="168"/>
        <v>-122.95399999999999</v>
      </c>
      <c r="AQ71" s="145"/>
      <c r="AV71" s="131">
        <f t="shared" si="169"/>
        <v>45572</v>
      </c>
      <c r="AW71" s="142" t="str">
        <f t="shared" si="170"/>
        <v>C</v>
      </c>
      <c r="AX71" s="143">
        <f t="shared" si="171"/>
        <v>823147.56579999998</v>
      </c>
      <c r="AY71" s="143">
        <f t="shared" si="172"/>
        <v>1091710.4099999999</v>
      </c>
      <c r="AZ71" s="143">
        <f t="shared" si="173"/>
        <v>-122.3546</v>
      </c>
      <c r="BA71" s="143">
        <f t="shared" si="174"/>
        <v>3.0166824330610034</v>
      </c>
      <c r="BB71" s="143">
        <f t="shared" si="175"/>
        <v>6.9452708952066955E-2</v>
      </c>
      <c r="BC71" s="144">
        <f t="shared" si="176"/>
        <v>0.59939999999998861</v>
      </c>
    </row>
    <row r="72" spans="28:55" ht="15">
      <c r="AB72" s="131">
        <v>45572</v>
      </c>
      <c r="AC72" s="146" t="s">
        <v>67</v>
      </c>
      <c r="AD72" s="133" t="s">
        <v>150</v>
      </c>
      <c r="AE72" s="132">
        <v>823149.98979999998</v>
      </c>
      <c r="AF72" s="132">
        <v>1091705.0825</v>
      </c>
      <c r="AG72" s="134">
        <v>-121.7825</v>
      </c>
      <c r="AL72" s="135">
        <f t="shared" si="165"/>
        <v>-2.8360971391840879</v>
      </c>
      <c r="AM72" s="136">
        <f t="shared" si="166"/>
        <v>1.4648260095277331E-2</v>
      </c>
      <c r="AN72" s="137">
        <f t="shared" si="167"/>
        <v>1.1714999999999947</v>
      </c>
      <c r="AO72" s="138">
        <f t="shared" si="168"/>
        <v>-122.95399999999999</v>
      </c>
      <c r="AQ72" s="145"/>
      <c r="AV72" s="131">
        <f t="shared" si="169"/>
        <v>45572</v>
      </c>
      <c r="AW72" s="142" t="str">
        <f t="shared" si="170"/>
        <v>D</v>
      </c>
      <c r="AX72" s="143">
        <f t="shared" si="171"/>
        <v>823149.98979999998</v>
      </c>
      <c r="AY72" s="143">
        <f t="shared" si="172"/>
        <v>1091705.0825</v>
      </c>
      <c r="AZ72" s="143">
        <f t="shared" si="173"/>
        <v>-121.7825</v>
      </c>
      <c r="BA72" s="143">
        <f t="shared" si="174"/>
        <v>-2.8360971391840879</v>
      </c>
      <c r="BB72" s="143">
        <f t="shared" si="175"/>
        <v>1.4648260095277331E-2</v>
      </c>
      <c r="BC72" s="144">
        <f t="shared" si="176"/>
        <v>1.1714999999999947</v>
      </c>
    </row>
    <row r="73" spans="28:55" ht="15">
      <c r="AB73" s="131">
        <v>45579</v>
      </c>
      <c r="AC73" s="132" t="s">
        <v>64</v>
      </c>
      <c r="AD73" s="133" t="s">
        <v>160</v>
      </c>
      <c r="AE73" s="132">
        <v>823147.6496</v>
      </c>
      <c r="AF73" s="132">
        <v>1091710.085</v>
      </c>
      <c r="AG73" s="134">
        <v>-121.5706</v>
      </c>
      <c r="AI73" s="171"/>
      <c r="AL73" s="135">
        <f t="shared" ref="AL73:AL76" si="177">IF(ISNUMBER(AE73),COS(ATAN2(AF73-AO$4,AE73-AO$3)-(AO$5/200*PI()))*SQRT((AE73-AO$3)^2+(AF73-AO$4)^2),"-")</f>
        <v>2.686719045643617</v>
      </c>
      <c r="AM73" s="136">
        <f t="shared" ref="AM73:AM76" si="178">IF(ISNUMBER(AE73),SIN(ATAN2(AF73-AO$4,AE73-AO$3)-(AO$5/200*PI()))*SQRT((AE73-AO$3)^2+(AF73-AO$4)^2),"-")</f>
        <v>8.0393314395831132E-3</v>
      </c>
      <c r="AN73" s="137">
        <f t="shared" ref="AN73:AN76" si="179">IF(ISNUMBER(AL73),AG73-AO73,"-")</f>
        <v>1.3833999999999946</v>
      </c>
      <c r="AO73" s="138">
        <f t="shared" ref="AO73:AO76" si="180">IF(ISNUMBER(AF73),((AL73-$AO$7)*AO$9)+AO$8,"-")</f>
        <v>-122.95399999999999</v>
      </c>
      <c r="AQ73" s="145"/>
      <c r="AV73" s="131">
        <f t="shared" ref="AV73:AV76" si="181">AB73</f>
        <v>45579</v>
      </c>
      <c r="AW73" s="142" t="str">
        <f t="shared" ref="AW73:AW76" si="182">AC73</f>
        <v>A</v>
      </c>
      <c r="AX73" s="143">
        <f t="shared" ref="AX73:AX76" si="183">AE73</f>
        <v>823147.6496</v>
      </c>
      <c r="AY73" s="143">
        <f t="shared" ref="AY73:AY76" si="184">AF73</f>
        <v>1091710.085</v>
      </c>
      <c r="AZ73" s="143">
        <f t="shared" ref="AZ73:AZ76" si="185">AG73</f>
        <v>-121.5706</v>
      </c>
      <c r="BA73" s="143">
        <f t="shared" ref="BA73:BA76" si="186">AL73+$AY$1</f>
        <v>2.686719045643617</v>
      </c>
      <c r="BB73" s="143">
        <f t="shared" ref="BB73:BB76" si="187">AM73</f>
        <v>8.0393314395831132E-3</v>
      </c>
      <c r="BC73" s="144">
        <f t="shared" ref="BC73:BC76" si="188">AN73</f>
        <v>1.3833999999999946</v>
      </c>
    </row>
    <row r="74" spans="28:55" ht="15">
      <c r="AB74" s="131">
        <v>45579</v>
      </c>
      <c r="AC74" s="132" t="s">
        <v>65</v>
      </c>
      <c r="AD74" s="133" t="s">
        <v>161</v>
      </c>
      <c r="AE74" s="132">
        <v>823147.59210000001</v>
      </c>
      <c r="AF74" s="132">
        <v>1091710.2527000001</v>
      </c>
      <c r="AG74" s="134">
        <v>-121.9084</v>
      </c>
      <c r="AI74" s="171"/>
      <c r="AL74" s="135">
        <f t="shared" si="177"/>
        <v>2.8630067841705986</v>
      </c>
      <c r="AM74" s="136">
        <f t="shared" si="178"/>
        <v>2.6805611851311986E-2</v>
      </c>
      <c r="AN74" s="137">
        <f t="shared" si="179"/>
        <v>1.0455999999999932</v>
      </c>
      <c r="AO74" s="138">
        <f t="shared" si="180"/>
        <v>-122.95399999999999</v>
      </c>
      <c r="AQ74" s="145"/>
      <c r="AV74" s="131">
        <f t="shared" si="181"/>
        <v>45579</v>
      </c>
      <c r="AW74" s="142" t="str">
        <f t="shared" si="182"/>
        <v>B</v>
      </c>
      <c r="AX74" s="143">
        <f t="shared" si="183"/>
        <v>823147.59210000001</v>
      </c>
      <c r="AY74" s="143">
        <f t="shared" si="184"/>
        <v>1091710.2527000001</v>
      </c>
      <c r="AZ74" s="143">
        <f t="shared" si="185"/>
        <v>-121.9084</v>
      </c>
      <c r="BA74" s="143">
        <f t="shared" si="186"/>
        <v>2.8630067841705986</v>
      </c>
      <c r="BB74" s="143">
        <f t="shared" si="187"/>
        <v>2.6805611851311986E-2</v>
      </c>
      <c r="BC74" s="144">
        <f t="shared" si="188"/>
        <v>1.0455999999999932</v>
      </c>
    </row>
    <row r="75" spans="28:55" ht="15">
      <c r="AB75" s="131">
        <v>45579</v>
      </c>
      <c r="AC75" s="146" t="s">
        <v>66</v>
      </c>
      <c r="AD75" s="133" t="s">
        <v>162</v>
      </c>
      <c r="AE75" s="132">
        <v>823147.56610000005</v>
      </c>
      <c r="AF75" s="132">
        <v>1091710.4101</v>
      </c>
      <c r="AG75" s="134">
        <v>-122.3548</v>
      </c>
      <c r="AI75" s="171"/>
      <c r="AL75" s="135">
        <f t="shared" si="177"/>
        <v>3.016646267881343</v>
      </c>
      <c r="AM75" s="136">
        <f t="shared" si="178"/>
        <v>6.9766861997326679E-2</v>
      </c>
      <c r="AN75" s="137">
        <f t="shared" si="179"/>
        <v>0.59919999999999618</v>
      </c>
      <c r="AO75" s="138">
        <f t="shared" si="180"/>
        <v>-122.95399999999999</v>
      </c>
      <c r="AQ75" s="145"/>
      <c r="AV75" s="131">
        <f t="shared" si="181"/>
        <v>45579</v>
      </c>
      <c r="AW75" s="142" t="str">
        <f t="shared" si="182"/>
        <v>C</v>
      </c>
      <c r="AX75" s="143">
        <f t="shared" si="183"/>
        <v>823147.56610000005</v>
      </c>
      <c r="AY75" s="143">
        <f t="shared" si="184"/>
        <v>1091710.4101</v>
      </c>
      <c r="AZ75" s="143">
        <f t="shared" si="185"/>
        <v>-122.3548</v>
      </c>
      <c r="BA75" s="143">
        <f t="shared" si="186"/>
        <v>3.016646267881343</v>
      </c>
      <c r="BB75" s="143">
        <f t="shared" si="187"/>
        <v>6.9766861997326679E-2</v>
      </c>
      <c r="BC75" s="144">
        <f t="shared" si="188"/>
        <v>0.59919999999999618</v>
      </c>
    </row>
    <row r="76" spans="28:55" ht="15">
      <c r="AB76" s="131">
        <v>45579</v>
      </c>
      <c r="AC76" s="146" t="s">
        <v>67</v>
      </c>
      <c r="AD76" s="133" t="s">
        <v>163</v>
      </c>
      <c r="AE76" s="132">
        <v>823149.99</v>
      </c>
      <c r="AF76" s="132">
        <v>1091705.0822999999</v>
      </c>
      <c r="AG76" s="134">
        <v>-121.78270000000001</v>
      </c>
      <c r="AI76" s="171"/>
      <c r="AL76" s="135">
        <f t="shared" si="177"/>
        <v>-2.836362927747043</v>
      </c>
      <c r="AM76" s="136">
        <f t="shared" si="178"/>
        <v>1.4744989066986527E-2</v>
      </c>
      <c r="AN76" s="137">
        <f t="shared" si="179"/>
        <v>1.171299999999988</v>
      </c>
      <c r="AO76" s="138">
        <f t="shared" si="180"/>
        <v>-122.95399999999999</v>
      </c>
      <c r="AQ76" s="145"/>
      <c r="AV76" s="131">
        <f t="shared" si="181"/>
        <v>45579</v>
      </c>
      <c r="AW76" s="142" t="str">
        <f t="shared" si="182"/>
        <v>D</v>
      </c>
      <c r="AX76" s="143">
        <f t="shared" si="183"/>
        <v>823149.99</v>
      </c>
      <c r="AY76" s="143">
        <f t="shared" si="184"/>
        <v>1091705.0822999999</v>
      </c>
      <c r="AZ76" s="143">
        <f t="shared" si="185"/>
        <v>-121.78270000000001</v>
      </c>
      <c r="BA76" s="143">
        <f t="shared" si="186"/>
        <v>-2.836362927747043</v>
      </c>
      <c r="BB76" s="143">
        <f t="shared" si="187"/>
        <v>1.4744989066986527E-2</v>
      </c>
      <c r="BC76" s="144">
        <f t="shared" si="188"/>
        <v>1.171299999999988</v>
      </c>
    </row>
    <row r="77" spans="28:55" ht="15">
      <c r="AB77" s="131">
        <v>45586</v>
      </c>
      <c r="AC77" s="132" t="s">
        <v>64</v>
      </c>
      <c r="AD77" s="133" t="s">
        <v>142</v>
      </c>
      <c r="AE77" s="132">
        <v>823147.64919999999</v>
      </c>
      <c r="AF77" s="132">
        <v>1091710.0852999999</v>
      </c>
      <c r="AG77" s="134">
        <v>-121.5706</v>
      </c>
      <c r="AL77" s="135">
        <f t="shared" ref="AL77:AL80" si="189">IF(ISNUMBER(AE77),COS(ATAN2(AF77-AO$4,AE77-AO$3)-(AO$5/200*PI()))*SQRT((AE77-AO$3)^2+(AF77-AO$4)^2),"-")</f>
        <v>2.6871599931361709</v>
      </c>
      <c r="AM77" s="136">
        <f t="shared" ref="AM77:AM80" si="190">IF(ISNUMBER(AE77),SIN(ATAN2(AF77-AO$4,AE77-AO$3)-(AO$5/200*PI()))*SQRT((AE77-AO$3)^2+(AF77-AO$4)^2),"-")</f>
        <v>7.8036085140232364E-3</v>
      </c>
      <c r="AN77" s="137">
        <f t="shared" ref="AN77:AN80" si="191">IF(ISNUMBER(AL77),AG77-AO77,"-")</f>
        <v>1.3833999999999946</v>
      </c>
      <c r="AO77" s="138">
        <f t="shared" ref="AO77:AO80" si="192">IF(ISNUMBER(AF77),((AL77-$AO$7)*AO$9)+AO$8,"-")</f>
        <v>-122.95399999999999</v>
      </c>
      <c r="AQ77" s="145"/>
      <c r="AV77" s="131">
        <f t="shared" ref="AV77:AV80" si="193">AB77</f>
        <v>45586</v>
      </c>
      <c r="AW77" s="142" t="str">
        <f t="shared" ref="AW77:AW80" si="194">AC77</f>
        <v>A</v>
      </c>
      <c r="AX77" s="143">
        <f t="shared" ref="AX77:AX80" si="195">AE77</f>
        <v>823147.64919999999</v>
      </c>
      <c r="AY77" s="143">
        <f t="shared" ref="AY77:AY80" si="196">AF77</f>
        <v>1091710.0852999999</v>
      </c>
      <c r="AZ77" s="143">
        <f t="shared" ref="AZ77:AZ80" si="197">AG77</f>
        <v>-121.5706</v>
      </c>
      <c r="BA77" s="143">
        <f t="shared" ref="BA77:BA80" si="198">AL77+$AY$1</f>
        <v>2.6871599931361709</v>
      </c>
      <c r="BB77" s="143">
        <f t="shared" ref="BB77:BB80" si="199">AM77</f>
        <v>7.8036085140232364E-3</v>
      </c>
      <c r="BC77" s="144">
        <f t="shared" ref="BC77:BC80" si="200">AN77</f>
        <v>1.3833999999999946</v>
      </c>
    </row>
    <row r="78" spans="28:55" ht="15">
      <c r="AB78" s="131">
        <v>45586</v>
      </c>
      <c r="AC78" s="132" t="s">
        <v>65</v>
      </c>
      <c r="AD78" s="133" t="s">
        <v>143</v>
      </c>
      <c r="AE78" s="132">
        <v>823147.59180000005</v>
      </c>
      <c r="AF78" s="132">
        <v>1091710.2526</v>
      </c>
      <c r="AG78" s="134">
        <v>-121.9089</v>
      </c>
      <c r="AL78" s="135">
        <f t="shared" si="189"/>
        <v>2.8630429493010561</v>
      </c>
      <c r="AM78" s="136">
        <f t="shared" si="190"/>
        <v>2.6491458911558737E-2</v>
      </c>
      <c r="AN78" s="137">
        <f t="shared" si="191"/>
        <v>1.0450999999999908</v>
      </c>
      <c r="AO78" s="138">
        <f t="shared" si="192"/>
        <v>-122.95399999999999</v>
      </c>
      <c r="AQ78" s="145"/>
      <c r="AV78" s="131">
        <f t="shared" si="193"/>
        <v>45586</v>
      </c>
      <c r="AW78" s="142" t="str">
        <f t="shared" si="194"/>
        <v>B</v>
      </c>
      <c r="AX78" s="143">
        <f t="shared" si="195"/>
        <v>823147.59180000005</v>
      </c>
      <c r="AY78" s="143">
        <f t="shared" si="196"/>
        <v>1091710.2526</v>
      </c>
      <c r="AZ78" s="143">
        <f t="shared" si="197"/>
        <v>-121.9089</v>
      </c>
      <c r="BA78" s="143">
        <f t="shared" si="198"/>
        <v>2.8630429493010561</v>
      </c>
      <c r="BB78" s="143">
        <f t="shared" si="199"/>
        <v>2.6491458911558737E-2</v>
      </c>
      <c r="BC78" s="144">
        <f t="shared" si="200"/>
        <v>1.0450999999999908</v>
      </c>
    </row>
    <row r="79" spans="28:55" ht="15">
      <c r="AB79" s="131">
        <v>45586</v>
      </c>
      <c r="AC79" s="146" t="s">
        <v>66</v>
      </c>
      <c r="AD79" s="133" t="s">
        <v>144</v>
      </c>
      <c r="AE79" s="132">
        <v>823147.56590000005</v>
      </c>
      <c r="AF79" s="132">
        <v>1091710.4101</v>
      </c>
      <c r="AG79" s="134">
        <v>-122.355</v>
      </c>
      <c r="AL79" s="135">
        <f t="shared" si="189"/>
        <v>3.0167307975996112</v>
      </c>
      <c r="AM79" s="136">
        <f t="shared" si="190"/>
        <v>6.9585603258145612E-2</v>
      </c>
      <c r="AN79" s="137">
        <f t="shared" si="191"/>
        <v>0.59899999999998954</v>
      </c>
      <c r="AO79" s="138">
        <f t="shared" si="192"/>
        <v>-122.95399999999999</v>
      </c>
      <c r="AQ79" s="145"/>
      <c r="AV79" s="131">
        <f t="shared" si="193"/>
        <v>45586</v>
      </c>
      <c r="AW79" s="142" t="str">
        <f t="shared" si="194"/>
        <v>C</v>
      </c>
      <c r="AX79" s="143">
        <f t="shared" si="195"/>
        <v>823147.56590000005</v>
      </c>
      <c r="AY79" s="143">
        <f t="shared" si="196"/>
        <v>1091710.4101</v>
      </c>
      <c r="AZ79" s="143">
        <f t="shared" si="197"/>
        <v>-122.355</v>
      </c>
      <c r="BA79" s="143">
        <f t="shared" si="198"/>
        <v>3.0167307975996112</v>
      </c>
      <c r="BB79" s="143">
        <f t="shared" si="199"/>
        <v>6.9585603258145612E-2</v>
      </c>
      <c r="BC79" s="144">
        <f t="shared" si="200"/>
        <v>0.59899999999998954</v>
      </c>
    </row>
    <row r="80" spans="28:55" ht="15">
      <c r="AB80" s="131">
        <v>45586</v>
      </c>
      <c r="AC80" s="146" t="s">
        <v>67</v>
      </c>
      <c r="AD80" s="133" t="s">
        <v>145</v>
      </c>
      <c r="AE80" s="132">
        <v>823149.98979999998</v>
      </c>
      <c r="AF80" s="132">
        <v>1091705.0825</v>
      </c>
      <c r="AG80" s="134">
        <v>-121.78270000000001</v>
      </c>
      <c r="AL80" s="135">
        <f t="shared" si="189"/>
        <v>-2.8360971391840879</v>
      </c>
      <c r="AM80" s="136">
        <f t="shared" si="190"/>
        <v>1.4648260095277331E-2</v>
      </c>
      <c r="AN80" s="137">
        <f t="shared" si="191"/>
        <v>1.171299999999988</v>
      </c>
      <c r="AO80" s="138">
        <f t="shared" si="192"/>
        <v>-122.95399999999999</v>
      </c>
      <c r="AQ80" s="145"/>
      <c r="AV80" s="131">
        <f t="shared" si="193"/>
        <v>45586</v>
      </c>
      <c r="AW80" s="142" t="str">
        <f t="shared" si="194"/>
        <v>D</v>
      </c>
      <c r="AX80" s="143">
        <f t="shared" si="195"/>
        <v>823149.98979999998</v>
      </c>
      <c r="AY80" s="143">
        <f t="shared" si="196"/>
        <v>1091705.0825</v>
      </c>
      <c r="AZ80" s="143">
        <f t="shared" si="197"/>
        <v>-121.78270000000001</v>
      </c>
      <c r="BA80" s="143">
        <f t="shared" si="198"/>
        <v>-2.8360971391840879</v>
      </c>
      <c r="BB80" s="143">
        <f t="shared" si="199"/>
        <v>1.4648260095277331E-2</v>
      </c>
      <c r="BC80" s="144">
        <f t="shared" si="200"/>
        <v>1.171299999999988</v>
      </c>
    </row>
    <row r="81" spans="28:55" ht="15">
      <c r="AB81" s="131">
        <v>45593</v>
      </c>
      <c r="AC81" s="132" t="s">
        <v>64</v>
      </c>
      <c r="AD81" s="133" t="s">
        <v>164</v>
      </c>
      <c r="AE81" s="132">
        <v>823147.64919999999</v>
      </c>
      <c r="AF81" s="132">
        <v>1091710.0851499999</v>
      </c>
      <c r="AG81" s="134">
        <v>-121.5706</v>
      </c>
      <c r="AL81" s="135">
        <f t="shared" ref="AL81:AL84" si="201">IF(ISNUMBER(AE81),COS(ATAN2(AF81-AO$4,AE81-AO$3)-(AO$5/200*PI()))*SQRT((AE81-AO$3)^2+(AF81-AO$4)^2),"-")</f>
        <v>2.6870240491081625</v>
      </c>
      <c r="AM81" s="136">
        <f t="shared" ref="AM81:AM84" si="202">IF(ISNUMBER(AE81),SIN(ATAN2(AF81-AO$4,AE81-AO$3)-(AO$5/200*PI()))*SQRT((AE81-AO$3)^2+(AF81-AO$4)^2),"-")</f>
        <v>7.740211237622475E-3</v>
      </c>
      <c r="AN81" s="137">
        <f t="shared" ref="AN81:AN84" si="203">IF(ISNUMBER(AL81),AG81-AO81,"-")</f>
        <v>1.3833999999999946</v>
      </c>
      <c r="AO81" s="138">
        <f t="shared" ref="AO81:AO84" si="204">IF(ISNUMBER(AF81),((AL81-$AO$7)*AO$9)+AO$8,"-")</f>
        <v>-122.95399999999999</v>
      </c>
      <c r="AQ81" s="145"/>
      <c r="AV81" s="131">
        <f t="shared" ref="AV81:AV84" si="205">AB81</f>
        <v>45593</v>
      </c>
      <c r="AW81" s="142" t="str">
        <f t="shared" ref="AW81:AW84" si="206">AC81</f>
        <v>A</v>
      </c>
      <c r="AX81" s="143">
        <f t="shared" ref="AX81:AX84" si="207">AE81</f>
        <v>823147.64919999999</v>
      </c>
      <c r="AY81" s="143">
        <f t="shared" ref="AY81:AY84" si="208">AF81</f>
        <v>1091710.0851499999</v>
      </c>
      <c r="AZ81" s="143">
        <f t="shared" ref="AZ81:AZ84" si="209">AG81</f>
        <v>-121.5706</v>
      </c>
      <c r="BA81" s="143">
        <f t="shared" ref="BA81:BA84" si="210">AL81+$AY$1</f>
        <v>2.6870240491081625</v>
      </c>
      <c r="BB81" s="143">
        <f t="shared" ref="BB81:BB84" si="211">AM81</f>
        <v>7.740211237622475E-3</v>
      </c>
      <c r="BC81" s="144">
        <f t="shared" ref="BC81:BC84" si="212">AN81</f>
        <v>1.3833999999999946</v>
      </c>
    </row>
    <row r="82" spans="28:55" ht="15">
      <c r="AB82" s="131">
        <v>45593</v>
      </c>
      <c r="AC82" s="132" t="s">
        <v>65</v>
      </c>
      <c r="AD82" s="133" t="s">
        <v>165</v>
      </c>
      <c r="AE82" s="132">
        <v>823147.59155000001</v>
      </c>
      <c r="AF82" s="132">
        <v>1091710.2515</v>
      </c>
      <c r="AG82" s="134">
        <v>-121.90915000000001</v>
      </c>
      <c r="AL82" s="135">
        <f t="shared" si="201"/>
        <v>2.8621516884484524</v>
      </c>
      <c r="AM82" s="136">
        <f t="shared" si="202"/>
        <v>2.5799972035332561E-2</v>
      </c>
      <c r="AN82" s="137">
        <f t="shared" si="203"/>
        <v>1.0448499999999825</v>
      </c>
      <c r="AO82" s="138">
        <f t="shared" si="204"/>
        <v>-122.95399999999999</v>
      </c>
      <c r="AQ82" s="145"/>
      <c r="AV82" s="131">
        <f t="shared" si="205"/>
        <v>45593</v>
      </c>
      <c r="AW82" s="142" t="str">
        <f t="shared" si="206"/>
        <v>B</v>
      </c>
      <c r="AX82" s="143">
        <f t="shared" si="207"/>
        <v>823147.59155000001</v>
      </c>
      <c r="AY82" s="143">
        <f t="shared" si="208"/>
        <v>1091710.2515</v>
      </c>
      <c r="AZ82" s="143">
        <f t="shared" si="209"/>
        <v>-121.90915000000001</v>
      </c>
      <c r="BA82" s="143">
        <f t="shared" si="210"/>
        <v>2.8621516884484524</v>
      </c>
      <c r="BB82" s="143">
        <f t="shared" si="211"/>
        <v>2.5799972035332561E-2</v>
      </c>
      <c r="BC82" s="144">
        <f t="shared" si="212"/>
        <v>1.0448499999999825</v>
      </c>
    </row>
    <row r="83" spans="28:55" ht="15">
      <c r="AB83" s="131">
        <v>45593</v>
      </c>
      <c r="AC83" s="146" t="s">
        <v>66</v>
      </c>
      <c r="AD83" s="159" t="s">
        <v>166</v>
      </c>
      <c r="AE83" s="132">
        <v>823147.56605000002</v>
      </c>
      <c r="AF83" s="132">
        <v>1091710.4098499999</v>
      </c>
      <c r="AG83" s="134">
        <v>-122.35505000000001</v>
      </c>
      <c r="AI83" s="147"/>
      <c r="AL83" s="135">
        <f t="shared" si="201"/>
        <v>3.0164408268728584</v>
      </c>
      <c r="AM83" s="136">
        <f t="shared" si="202"/>
        <v>6.9615885126019947E-2</v>
      </c>
      <c r="AN83" s="137">
        <f t="shared" si="203"/>
        <v>0.59894999999998788</v>
      </c>
      <c r="AO83" s="138">
        <f t="shared" si="204"/>
        <v>-122.95399999999999</v>
      </c>
      <c r="AQ83" s="145"/>
      <c r="AV83" s="131">
        <f t="shared" si="205"/>
        <v>45593</v>
      </c>
      <c r="AW83" s="142" t="str">
        <f t="shared" si="206"/>
        <v>C</v>
      </c>
      <c r="AX83" s="143">
        <f t="shared" si="207"/>
        <v>823147.56605000002</v>
      </c>
      <c r="AY83" s="143">
        <f t="shared" si="208"/>
        <v>1091710.4098499999</v>
      </c>
      <c r="AZ83" s="143">
        <f t="shared" si="209"/>
        <v>-122.35505000000001</v>
      </c>
      <c r="BA83" s="143">
        <f t="shared" si="210"/>
        <v>3.0164408268728584</v>
      </c>
      <c r="BB83" s="143">
        <f t="shared" si="211"/>
        <v>6.9615885126019947E-2</v>
      </c>
      <c r="BC83" s="144">
        <f t="shared" si="212"/>
        <v>0.59894999999998788</v>
      </c>
    </row>
    <row r="84" spans="28:55" ht="15">
      <c r="AB84" s="131">
        <v>45593</v>
      </c>
      <c r="AC84" s="146" t="s">
        <v>67</v>
      </c>
      <c r="AD84" s="133" t="s">
        <v>167</v>
      </c>
      <c r="AE84" s="132">
        <v>823149.98944999999</v>
      </c>
      <c r="AF84" s="132">
        <v>1091705.08225</v>
      </c>
      <c r="AG84" s="134">
        <v>-121.78290000000001</v>
      </c>
      <c r="AI84" s="147"/>
      <c r="AL84" s="135">
        <f t="shared" si="201"/>
        <v>-2.8361757856397709</v>
      </c>
      <c r="AM84" s="136">
        <f t="shared" si="202"/>
        <v>1.4225395167951954E-2</v>
      </c>
      <c r="AN84" s="137">
        <f t="shared" si="203"/>
        <v>1.1710999999999814</v>
      </c>
      <c r="AO84" s="138">
        <f t="shared" si="204"/>
        <v>-122.95399999999999</v>
      </c>
      <c r="AQ84" s="145"/>
      <c r="AV84" s="131">
        <f t="shared" si="205"/>
        <v>45593</v>
      </c>
      <c r="AW84" s="142" t="str">
        <f t="shared" si="206"/>
        <v>D</v>
      </c>
      <c r="AX84" s="143">
        <f t="shared" si="207"/>
        <v>823149.98944999999</v>
      </c>
      <c r="AY84" s="143">
        <f t="shared" si="208"/>
        <v>1091705.08225</v>
      </c>
      <c r="AZ84" s="143">
        <f t="shared" si="209"/>
        <v>-121.78290000000001</v>
      </c>
      <c r="BA84" s="143">
        <f t="shared" si="210"/>
        <v>-2.8361757856397709</v>
      </c>
      <c r="BB84" s="143">
        <f t="shared" si="211"/>
        <v>1.4225395167951954E-2</v>
      </c>
      <c r="BC84" s="144">
        <f t="shared" si="212"/>
        <v>1.1710999999999814</v>
      </c>
    </row>
    <row r="85" spans="28:55" ht="15">
      <c r="AB85" s="131">
        <v>45601</v>
      </c>
      <c r="AC85" s="132" t="s">
        <v>64</v>
      </c>
      <c r="AD85" s="159" t="s">
        <v>168</v>
      </c>
      <c r="AE85" s="132">
        <v>823147.64989999996</v>
      </c>
      <c r="AF85" s="132">
        <v>1091710.0855</v>
      </c>
      <c r="AG85" s="134">
        <v>-121.5706</v>
      </c>
      <c r="AI85" s="147"/>
      <c r="AL85" s="135">
        <f t="shared" ref="AL85:AL88" si="213">IF(ISNUMBER(AE85),COS(ATAN2(AF85-AO$4,AE85-AO$3)-(AO$5/200*PI()))*SQRT((AE85-AO$3)^2+(AF85-AO$4)^2),"-")</f>
        <v>2.6870453979915205</v>
      </c>
      <c r="AM85" s="136">
        <f t="shared" ref="AM85:AM88" si="214">IF(ISNUMBER(AE85),SIN(ATAN2(AF85-AO$4,AE85-AO$3)-(AO$5/200*PI()))*SQRT((AE85-AO$3)^2+(AF85-AO$4)^2),"-")</f>
        <v>8.5225438158728923E-3</v>
      </c>
      <c r="AN85" s="137">
        <f t="shared" ref="AN85:AN88" si="215">IF(ISNUMBER(AL85),AG85-AO85,"-")</f>
        <v>1.3833999999999946</v>
      </c>
      <c r="AO85" s="138">
        <f t="shared" ref="AO85:AO88" si="216">IF(ISNUMBER(AF85),((AL85-$AO$7)*AO$9)+AO$8,"-")</f>
        <v>-122.95399999999999</v>
      </c>
      <c r="AQ85" s="145"/>
      <c r="AV85" s="131">
        <f t="shared" ref="AV85:AV88" si="217">AB85</f>
        <v>45601</v>
      </c>
      <c r="AW85" s="142" t="str">
        <f t="shared" ref="AW85:AW88" si="218">AC85</f>
        <v>A</v>
      </c>
      <c r="AX85" s="143">
        <f t="shared" ref="AX85:AX88" si="219">AE85</f>
        <v>823147.64989999996</v>
      </c>
      <c r="AY85" s="143">
        <f t="shared" ref="AY85:AY88" si="220">AF85</f>
        <v>1091710.0855</v>
      </c>
      <c r="AZ85" s="143">
        <f t="shared" ref="AZ85:AZ88" si="221">AG85</f>
        <v>-121.5706</v>
      </c>
      <c r="BA85" s="143">
        <f t="shared" ref="BA85:BA88" si="222">AL85+$AY$1</f>
        <v>2.6870453979915205</v>
      </c>
      <c r="BB85" s="143">
        <f t="shared" ref="BB85:BB88" si="223">AM85</f>
        <v>8.5225438158728923E-3</v>
      </c>
      <c r="BC85" s="144">
        <f t="shared" ref="BC85:BC88" si="224">AN85</f>
        <v>1.3833999999999946</v>
      </c>
    </row>
    <row r="86" spans="28:55" ht="15">
      <c r="AB86" s="131">
        <v>45601</v>
      </c>
      <c r="AC86" s="146" t="s">
        <v>66</v>
      </c>
      <c r="AD86" s="159" t="s">
        <v>169</v>
      </c>
      <c r="AE86" s="132">
        <v>823147.56649999996</v>
      </c>
      <c r="AF86" s="132">
        <v>1091710.4101</v>
      </c>
      <c r="AG86" s="134">
        <v>-122.35509999999999</v>
      </c>
      <c r="AI86" s="147"/>
      <c r="AL86" s="135">
        <f t="shared" si="213"/>
        <v>3.0164772084940092</v>
      </c>
      <c r="AM86" s="136">
        <f t="shared" si="214"/>
        <v>7.0129379370182238E-2</v>
      </c>
      <c r="AN86" s="137">
        <f t="shared" si="215"/>
        <v>0.59890000000000043</v>
      </c>
      <c r="AO86" s="138">
        <f t="shared" si="216"/>
        <v>-122.95399999999999</v>
      </c>
      <c r="AQ86" s="145"/>
      <c r="AV86" s="131">
        <f t="shared" si="217"/>
        <v>45601</v>
      </c>
      <c r="AW86" s="142" t="str">
        <f t="shared" si="218"/>
        <v>C</v>
      </c>
      <c r="AX86" s="143">
        <f t="shared" si="219"/>
        <v>823147.56649999996</v>
      </c>
      <c r="AY86" s="143">
        <f t="shared" si="220"/>
        <v>1091710.4101</v>
      </c>
      <c r="AZ86" s="143">
        <f t="shared" si="221"/>
        <v>-122.35509999999999</v>
      </c>
      <c r="BA86" s="143">
        <f t="shared" si="222"/>
        <v>3.0164772084940092</v>
      </c>
      <c r="BB86" s="143">
        <f t="shared" si="223"/>
        <v>7.0129379370182238E-2</v>
      </c>
      <c r="BC86" s="144">
        <f t="shared" si="224"/>
        <v>0.59890000000000043</v>
      </c>
    </row>
    <row r="87" spans="28:55" ht="15">
      <c r="AB87" s="131">
        <v>45601</v>
      </c>
      <c r="AC87" s="132" t="s">
        <v>65</v>
      </c>
      <c r="AD87" s="159" t="s">
        <v>170</v>
      </c>
      <c r="AE87" s="132">
        <v>823147.59160000004</v>
      </c>
      <c r="AF87" s="132">
        <v>1091710.2510500001</v>
      </c>
      <c r="AG87" s="134">
        <v>-121.9093</v>
      </c>
      <c r="AI87" s="147"/>
      <c r="AL87" s="135">
        <f t="shared" si="213"/>
        <v>2.8617227239225587</v>
      </c>
      <c r="AM87" s="136">
        <f t="shared" si="214"/>
        <v>2.5655094917302147E-2</v>
      </c>
      <c r="AN87" s="137">
        <f t="shared" si="215"/>
        <v>1.0446999999999917</v>
      </c>
      <c r="AO87" s="138">
        <f t="shared" si="216"/>
        <v>-122.95399999999999</v>
      </c>
      <c r="AQ87" s="145"/>
      <c r="AV87" s="131">
        <f t="shared" si="217"/>
        <v>45601</v>
      </c>
      <c r="AW87" s="142" t="str">
        <f t="shared" si="218"/>
        <v>B</v>
      </c>
      <c r="AX87" s="143">
        <f t="shared" si="219"/>
        <v>823147.59160000004</v>
      </c>
      <c r="AY87" s="143">
        <f t="shared" si="220"/>
        <v>1091710.2510500001</v>
      </c>
      <c r="AZ87" s="143">
        <f t="shared" si="221"/>
        <v>-121.9093</v>
      </c>
      <c r="BA87" s="143">
        <f t="shared" si="222"/>
        <v>2.8617227239225587</v>
      </c>
      <c r="BB87" s="143">
        <f t="shared" si="223"/>
        <v>2.5655094917302147E-2</v>
      </c>
      <c r="BC87" s="144">
        <f t="shared" si="224"/>
        <v>1.0446999999999917</v>
      </c>
    </row>
    <row r="88" spans="28:55" ht="15">
      <c r="AB88" s="131">
        <v>45601</v>
      </c>
      <c r="AC88" s="146" t="s">
        <v>67</v>
      </c>
      <c r="AD88" s="159" t="s">
        <v>171</v>
      </c>
      <c r="AE88" s="132">
        <v>823149.98880000005</v>
      </c>
      <c r="AF88" s="132">
        <v>1091705.0824</v>
      </c>
      <c r="AG88" s="134">
        <v>-121.7831</v>
      </c>
      <c r="AI88" s="147"/>
      <c r="AL88" s="135">
        <f t="shared" si="213"/>
        <v>-2.835765120064293</v>
      </c>
      <c r="AM88" s="136">
        <f t="shared" si="214"/>
        <v>1.3699701621145423E-2</v>
      </c>
      <c r="AN88" s="137">
        <f t="shared" si="215"/>
        <v>1.1708999999999889</v>
      </c>
      <c r="AO88" s="138">
        <f t="shared" si="216"/>
        <v>-122.95399999999999</v>
      </c>
      <c r="AQ88" s="145"/>
      <c r="AV88" s="131">
        <f t="shared" si="217"/>
        <v>45601</v>
      </c>
      <c r="AW88" s="142" t="str">
        <f t="shared" si="218"/>
        <v>D</v>
      </c>
      <c r="AX88" s="143">
        <f t="shared" si="219"/>
        <v>823149.98880000005</v>
      </c>
      <c r="AY88" s="143">
        <f t="shared" si="220"/>
        <v>1091705.0824</v>
      </c>
      <c r="AZ88" s="143">
        <f t="shared" si="221"/>
        <v>-121.7831</v>
      </c>
      <c r="BA88" s="143">
        <f t="shared" si="222"/>
        <v>-2.835765120064293</v>
      </c>
      <c r="BB88" s="143">
        <f t="shared" si="223"/>
        <v>1.3699701621145423E-2</v>
      </c>
      <c r="BC88" s="144">
        <f t="shared" si="224"/>
        <v>1.1708999999999889</v>
      </c>
    </row>
    <row r="89" spans="28:55" ht="15">
      <c r="AB89" s="131">
        <v>45609</v>
      </c>
      <c r="AC89" s="132" t="s">
        <v>64</v>
      </c>
      <c r="AD89" s="133" t="s">
        <v>172</v>
      </c>
      <c r="AE89" s="132">
        <v>823147.6496</v>
      </c>
      <c r="AF89" s="132">
        <v>1091710.0856000001</v>
      </c>
      <c r="AG89" s="134">
        <v>-121.57040000000001</v>
      </c>
      <c r="AI89" s="147"/>
      <c r="AL89" s="135">
        <f t="shared" ref="AL89:AL92" si="225">IF(ISNUMBER(AE89),COS(ATAN2(AF89-AO$4,AE89-AO$3)-(AO$5/200*PI()))*SQRT((AE89-AO$3)^2+(AF89-AO$4)^2),"-")</f>
        <v>2.6872628219666654</v>
      </c>
      <c r="AM89" s="136">
        <f t="shared" ref="AM89:AM92" si="226">IF(ISNUMBER(AE89),SIN(ATAN2(AF89-AO$4,AE89-AO$3)-(AO$5/200*PI()))*SQRT((AE89-AO$3)^2+(AF89-AO$4)^2),"-")</f>
        <v>8.2929206435902909E-3</v>
      </c>
      <c r="AN89" s="137">
        <f t="shared" ref="AN89:AN92" si="227">IF(ISNUMBER(AL89),AG89-AO89,"-")</f>
        <v>1.3835999999999871</v>
      </c>
      <c r="AO89" s="138">
        <f t="shared" ref="AO89:AO92" si="228">IF(ISNUMBER(AF89),((AL89-$AO$7)*AO$9)+AO$8,"-")</f>
        <v>-122.95399999999999</v>
      </c>
      <c r="AQ89" s="145"/>
      <c r="AV89" s="131">
        <f t="shared" ref="AV89:AV92" si="229">AB89</f>
        <v>45609</v>
      </c>
      <c r="AW89" s="142" t="str">
        <f t="shared" ref="AW89:AW92" si="230">AC89</f>
        <v>A</v>
      </c>
      <c r="AX89" s="143">
        <f t="shared" ref="AX89:AX92" si="231">AE89</f>
        <v>823147.6496</v>
      </c>
      <c r="AY89" s="143">
        <f t="shared" ref="AY89:AY92" si="232">AF89</f>
        <v>1091710.0856000001</v>
      </c>
      <c r="AZ89" s="143">
        <f t="shared" ref="AZ89:AZ92" si="233">AG89</f>
        <v>-121.57040000000001</v>
      </c>
      <c r="BA89" s="143">
        <f t="shared" ref="BA89:BA92" si="234">AL89+$AY$1</f>
        <v>2.6872628219666654</v>
      </c>
      <c r="BB89" s="143">
        <f t="shared" ref="BB89:BB92" si="235">AM89</f>
        <v>8.2929206435902909E-3</v>
      </c>
      <c r="BC89" s="144">
        <f t="shared" ref="BC89:BC92" si="236">AN89</f>
        <v>1.3835999999999871</v>
      </c>
    </row>
    <row r="90" spans="28:55" ht="15">
      <c r="AB90" s="131">
        <v>45609</v>
      </c>
      <c r="AC90" s="132" t="s">
        <v>65</v>
      </c>
      <c r="AD90" s="159" t="s">
        <v>173</v>
      </c>
      <c r="AE90" s="132">
        <v>823147.59129999997</v>
      </c>
      <c r="AF90" s="132">
        <v>1091710.2508</v>
      </c>
      <c r="AG90" s="134">
        <v>-121.9093</v>
      </c>
      <c r="AI90" s="147"/>
      <c r="AL90" s="135">
        <f t="shared" si="225"/>
        <v>2.8616229450742106</v>
      </c>
      <c r="AM90" s="136">
        <f t="shared" si="226"/>
        <v>2.5277544595641799E-2</v>
      </c>
      <c r="AN90" s="137">
        <f t="shared" si="227"/>
        <v>1.0446999999999917</v>
      </c>
      <c r="AO90" s="138">
        <f t="shared" si="228"/>
        <v>-122.95399999999999</v>
      </c>
      <c r="AQ90" s="145"/>
      <c r="AV90" s="131">
        <f t="shared" si="229"/>
        <v>45609</v>
      </c>
      <c r="AW90" s="142" t="str">
        <f t="shared" si="230"/>
        <v>B</v>
      </c>
      <c r="AX90" s="143">
        <f t="shared" si="231"/>
        <v>823147.59129999997</v>
      </c>
      <c r="AY90" s="143">
        <f t="shared" si="232"/>
        <v>1091710.2508</v>
      </c>
      <c r="AZ90" s="143">
        <f t="shared" si="233"/>
        <v>-121.9093</v>
      </c>
      <c r="BA90" s="143">
        <f t="shared" si="234"/>
        <v>2.8616229450742106</v>
      </c>
      <c r="BB90" s="143">
        <f t="shared" si="235"/>
        <v>2.5277544595641799E-2</v>
      </c>
      <c r="BC90" s="144">
        <f t="shared" si="236"/>
        <v>1.0446999999999917</v>
      </c>
    </row>
    <row r="91" spans="28:55" ht="15">
      <c r="AB91" s="131">
        <v>45609</v>
      </c>
      <c r="AC91" s="146" t="s">
        <v>66</v>
      </c>
      <c r="AD91" s="159" t="s">
        <v>174</v>
      </c>
      <c r="AE91" s="132">
        <v>823147.56610000005</v>
      </c>
      <c r="AF91" s="132">
        <v>1091710.4095999999</v>
      </c>
      <c r="AG91" s="134">
        <v>-122.355</v>
      </c>
      <c r="AI91" s="147"/>
      <c r="AL91" s="135">
        <f t="shared" si="225"/>
        <v>3.0161931209806387</v>
      </c>
      <c r="AM91" s="136">
        <f t="shared" si="226"/>
        <v>6.9555537677055523E-2</v>
      </c>
      <c r="AN91" s="137">
        <f t="shared" si="227"/>
        <v>0.59899999999998954</v>
      </c>
      <c r="AO91" s="138">
        <f t="shared" si="228"/>
        <v>-122.95399999999999</v>
      </c>
      <c r="AQ91" s="145"/>
      <c r="AV91" s="131">
        <f t="shared" si="229"/>
        <v>45609</v>
      </c>
      <c r="AW91" s="142" t="str">
        <f t="shared" si="230"/>
        <v>C</v>
      </c>
      <c r="AX91" s="143">
        <f t="shared" si="231"/>
        <v>823147.56610000005</v>
      </c>
      <c r="AY91" s="143">
        <f t="shared" si="232"/>
        <v>1091710.4095999999</v>
      </c>
      <c r="AZ91" s="143">
        <f t="shared" si="233"/>
        <v>-122.355</v>
      </c>
      <c r="BA91" s="143">
        <f t="shared" si="234"/>
        <v>3.0161931209806387</v>
      </c>
      <c r="BB91" s="143">
        <f t="shared" si="235"/>
        <v>6.9555537677055523E-2</v>
      </c>
      <c r="BC91" s="144">
        <f t="shared" si="236"/>
        <v>0.59899999999998954</v>
      </c>
    </row>
    <row r="92" spans="28:55" ht="15">
      <c r="AB92" s="131">
        <v>45609</v>
      </c>
      <c r="AC92" s="146" t="s">
        <v>67</v>
      </c>
      <c r="AD92" s="159" t="s">
        <v>175</v>
      </c>
      <c r="AE92" s="132">
        <v>823149.9889</v>
      </c>
      <c r="AF92" s="132">
        <v>1091705.0822000001</v>
      </c>
      <c r="AG92" s="134">
        <v>-121.78279999999999</v>
      </c>
      <c r="AI92" s="147"/>
      <c r="AL92" s="135">
        <f t="shared" si="225"/>
        <v>-2.8359886435324997</v>
      </c>
      <c r="AM92" s="136">
        <f t="shared" si="226"/>
        <v>1.3705801268916991E-2</v>
      </c>
      <c r="AN92" s="137">
        <f t="shared" si="227"/>
        <v>1.1711999999999989</v>
      </c>
      <c r="AO92" s="138">
        <f t="shared" si="228"/>
        <v>-122.95399999999999</v>
      </c>
      <c r="AQ92" s="145"/>
      <c r="AV92" s="131">
        <f t="shared" si="229"/>
        <v>45609</v>
      </c>
      <c r="AW92" s="142" t="str">
        <f t="shared" si="230"/>
        <v>D</v>
      </c>
      <c r="AX92" s="143">
        <f t="shared" si="231"/>
        <v>823149.9889</v>
      </c>
      <c r="AY92" s="143">
        <f t="shared" si="232"/>
        <v>1091705.0822000001</v>
      </c>
      <c r="AZ92" s="143">
        <f t="shared" si="233"/>
        <v>-121.78279999999999</v>
      </c>
      <c r="BA92" s="143">
        <f t="shared" si="234"/>
        <v>-2.8359886435324997</v>
      </c>
      <c r="BB92" s="143">
        <f t="shared" si="235"/>
        <v>1.3705801268916991E-2</v>
      </c>
      <c r="BC92" s="144">
        <f t="shared" si="236"/>
        <v>1.1711999999999989</v>
      </c>
    </row>
    <row r="93" spans="28:55" ht="15">
      <c r="AB93" s="131">
        <v>45622</v>
      </c>
      <c r="AC93" s="132" t="s">
        <v>64</v>
      </c>
      <c r="AD93" s="159" t="s">
        <v>168</v>
      </c>
      <c r="AE93" s="132">
        <v>823147.64910000004</v>
      </c>
      <c r="AF93" s="132">
        <v>1091710.0845999999</v>
      </c>
      <c r="AG93" s="134">
        <v>-121.57129999999999</v>
      </c>
      <c r="AI93" s="147"/>
      <c r="AL93" s="135">
        <f t="shared" ref="AL93:AL96" si="237">IF(ISNUMBER(AE93),COS(ATAN2(AF93-AO$4,AE93-AO$3)-(AO$5/200*PI()))*SQRT((AE93-AO$3)^2+(AF93-AO$4)^2),"-")</f>
        <v>2.6865678524363252</v>
      </c>
      <c r="AM93" s="136">
        <f t="shared" ref="AM93:AM96" si="238">IF(ISNUMBER(AE93),SIN(ATAN2(AF93-AO$4,AE93-AO$3)-(AO$5/200*PI()))*SQRT((AE93-AO$3)^2+(AF93-AO$4)^2),"-")</f>
        <v>7.4171252078477799E-3</v>
      </c>
      <c r="AN93" s="137">
        <f t="shared" ref="AN93:AN96" si="239">IF(ISNUMBER(AL93),AG93-AO93,"-")</f>
        <v>1.3826999999999998</v>
      </c>
      <c r="AO93" s="138">
        <f t="shared" ref="AO93:AO96" si="240">IF(ISNUMBER(AF93),((AL93-$AO$7)*AO$9)+AO$8,"-")</f>
        <v>-122.95399999999999</v>
      </c>
      <c r="AQ93" s="145"/>
      <c r="AV93" s="131">
        <f t="shared" ref="AV93:AV96" si="241">AB93</f>
        <v>45622</v>
      </c>
      <c r="AW93" s="142" t="str">
        <f t="shared" ref="AW93:AW96" si="242">AC93</f>
        <v>A</v>
      </c>
      <c r="AX93" s="143">
        <f t="shared" ref="AX93:AX96" si="243">AE93</f>
        <v>823147.64910000004</v>
      </c>
      <c r="AY93" s="143">
        <f t="shared" ref="AY93:AY96" si="244">AF93</f>
        <v>1091710.0845999999</v>
      </c>
      <c r="AZ93" s="143">
        <f t="shared" ref="AZ93:AZ96" si="245">AG93</f>
        <v>-121.57129999999999</v>
      </c>
      <c r="BA93" s="143">
        <f t="shared" ref="BA93:BA96" si="246">AL93+$AY$1</f>
        <v>2.6865678524363252</v>
      </c>
      <c r="BB93" s="143">
        <f t="shared" ref="BB93:BB96" si="247">AM93</f>
        <v>7.4171252078477799E-3</v>
      </c>
      <c r="BC93" s="144">
        <f t="shared" ref="BC93:BC96" si="248">AN93</f>
        <v>1.3826999999999998</v>
      </c>
    </row>
    <row r="94" spans="28:55" ht="15">
      <c r="AB94" s="131">
        <v>45622</v>
      </c>
      <c r="AC94" s="132" t="s">
        <v>65</v>
      </c>
      <c r="AD94" s="133" t="s">
        <v>169</v>
      </c>
      <c r="AE94" s="132">
        <v>823147.59259999997</v>
      </c>
      <c r="AF94" s="132">
        <v>1091710.2524000001</v>
      </c>
      <c r="AG94" s="134">
        <v>-121.9091</v>
      </c>
      <c r="AI94" s="147"/>
      <c r="AL94" s="135">
        <f t="shared" si="237"/>
        <v>2.8625235718435125</v>
      </c>
      <c r="AM94" s="136">
        <f t="shared" si="238"/>
        <v>2.7131964093707921E-2</v>
      </c>
      <c r="AN94" s="137">
        <f t="shared" si="239"/>
        <v>1.0448999999999984</v>
      </c>
      <c r="AO94" s="138">
        <f t="shared" si="240"/>
        <v>-122.95399999999999</v>
      </c>
      <c r="AQ94" s="145"/>
      <c r="AV94" s="131">
        <f t="shared" si="241"/>
        <v>45622</v>
      </c>
      <c r="AW94" s="142" t="str">
        <f t="shared" si="242"/>
        <v>B</v>
      </c>
      <c r="AX94" s="143">
        <f t="shared" si="243"/>
        <v>823147.59259999997</v>
      </c>
      <c r="AY94" s="143">
        <f t="shared" si="244"/>
        <v>1091710.2524000001</v>
      </c>
      <c r="AZ94" s="143">
        <f t="shared" si="245"/>
        <v>-121.9091</v>
      </c>
      <c r="BA94" s="143">
        <f t="shared" si="246"/>
        <v>2.8625235718435125</v>
      </c>
      <c r="BB94" s="143">
        <f t="shared" si="247"/>
        <v>2.7131964093707921E-2</v>
      </c>
      <c r="BC94" s="144">
        <f t="shared" si="248"/>
        <v>1.0448999999999984</v>
      </c>
    </row>
    <row r="95" spans="28:55" ht="15">
      <c r="AB95" s="131">
        <v>45622</v>
      </c>
      <c r="AC95" s="146" t="s">
        <v>66</v>
      </c>
      <c r="AD95" s="159" t="s">
        <v>170</v>
      </c>
      <c r="AE95" s="132">
        <v>823147.56629999995</v>
      </c>
      <c r="AF95" s="132">
        <v>1091710.4095000001</v>
      </c>
      <c r="AG95" s="134">
        <v>-122.3556</v>
      </c>
      <c r="AI95" s="147"/>
      <c r="AL95" s="135">
        <f t="shared" si="237"/>
        <v>3.0160179621002423</v>
      </c>
      <c r="AM95" s="136">
        <f t="shared" si="238"/>
        <v>6.969453152539877E-2</v>
      </c>
      <c r="AN95" s="137">
        <f t="shared" si="239"/>
        <v>0.59839999999999804</v>
      </c>
      <c r="AO95" s="138">
        <f t="shared" si="240"/>
        <v>-122.95399999999999</v>
      </c>
      <c r="AQ95" s="145"/>
      <c r="AV95" s="131">
        <f t="shared" si="241"/>
        <v>45622</v>
      </c>
      <c r="AW95" s="142" t="str">
        <f t="shared" si="242"/>
        <v>C</v>
      </c>
      <c r="AX95" s="143">
        <f t="shared" si="243"/>
        <v>823147.56629999995</v>
      </c>
      <c r="AY95" s="143">
        <f t="shared" si="244"/>
        <v>1091710.4095000001</v>
      </c>
      <c r="AZ95" s="143">
        <f t="shared" si="245"/>
        <v>-122.3556</v>
      </c>
      <c r="BA95" s="143">
        <f t="shared" si="246"/>
        <v>3.0160179621002423</v>
      </c>
      <c r="BB95" s="143">
        <f t="shared" si="247"/>
        <v>6.969453152539877E-2</v>
      </c>
      <c r="BC95" s="144">
        <f t="shared" si="248"/>
        <v>0.59839999999999804</v>
      </c>
    </row>
    <row r="96" spans="28:55" ht="15">
      <c r="AB96" s="131">
        <v>45622</v>
      </c>
      <c r="AC96" s="146" t="s">
        <v>67</v>
      </c>
      <c r="AD96" s="159" t="s">
        <v>171</v>
      </c>
      <c r="AE96" s="132">
        <v>823149.98970000003</v>
      </c>
      <c r="AF96" s="132">
        <v>1091705.0826000001</v>
      </c>
      <c r="AG96" s="134">
        <v>-121.783</v>
      </c>
      <c r="AI96" s="147"/>
      <c r="AL96" s="135">
        <f t="shared" si="237"/>
        <v>-2.8359642449272116</v>
      </c>
      <c r="AM96" s="136">
        <f t="shared" si="238"/>
        <v>1.4599895662175955E-2</v>
      </c>
      <c r="AN96" s="137">
        <f t="shared" si="239"/>
        <v>1.1709999999999923</v>
      </c>
      <c r="AO96" s="138">
        <f t="shared" si="240"/>
        <v>-122.95399999999999</v>
      </c>
      <c r="AQ96" s="145"/>
      <c r="AV96" s="131">
        <f t="shared" si="241"/>
        <v>45622</v>
      </c>
      <c r="AW96" s="142" t="str">
        <f t="shared" si="242"/>
        <v>D</v>
      </c>
      <c r="AX96" s="143">
        <f t="shared" si="243"/>
        <v>823149.98970000003</v>
      </c>
      <c r="AY96" s="143">
        <f t="shared" si="244"/>
        <v>1091705.0826000001</v>
      </c>
      <c r="AZ96" s="143">
        <f t="shared" si="245"/>
        <v>-121.783</v>
      </c>
      <c r="BA96" s="143">
        <f t="shared" si="246"/>
        <v>-2.8359642449272116</v>
      </c>
      <c r="BB96" s="143">
        <f t="shared" si="247"/>
        <v>1.4599895662175955E-2</v>
      </c>
      <c r="BC96" s="144">
        <f t="shared" si="248"/>
        <v>1.1709999999999923</v>
      </c>
    </row>
    <row r="97" spans="1:55" ht="15">
      <c r="AB97" s="131">
        <v>45644</v>
      </c>
      <c r="AC97" s="132" t="s">
        <v>64</v>
      </c>
      <c r="AD97" s="159" t="s">
        <v>172</v>
      </c>
      <c r="AE97" s="132">
        <v>823147.64980000001</v>
      </c>
      <c r="AF97" s="132">
        <v>1091710.0848000001</v>
      </c>
      <c r="AG97" s="134">
        <v>-121.5712</v>
      </c>
      <c r="AI97" s="147"/>
      <c r="AL97" s="135">
        <f t="shared" ref="AL97:AL100" si="249">IF(ISNUMBER(AE97),COS(ATAN2(AF97-AO$4,AE97-AO$3)-(AO$5/200*PI()))*SQRT((AE97-AO$3)^2+(AF97-AO$4)^2),"-")</f>
        <v>2.6864532572916748</v>
      </c>
      <c r="AM97" s="136">
        <f t="shared" ref="AM97:AM100" si="250">IF(ISNUMBER(AE97),SIN(ATAN2(AF97-AO$4,AE97-AO$3)-(AO$5/200*PI()))*SQRT((AE97-AO$3)^2+(AF97-AO$4)^2),"-")</f>
        <v>8.1360605096970993E-3</v>
      </c>
      <c r="AN97" s="137">
        <f t="shared" ref="AN97:AN100" si="251">IF(ISNUMBER(AL97),AG97-AO97,"-")</f>
        <v>1.3827999999999889</v>
      </c>
      <c r="AO97" s="138">
        <f t="shared" ref="AO97:AO100" si="252">IF(ISNUMBER(AF97),((AL97-$AO$7)*AO$9)+AO$8,"-")</f>
        <v>-122.95399999999999</v>
      </c>
      <c r="AQ97" s="145"/>
      <c r="AV97" s="131">
        <f t="shared" ref="AV97:AV100" si="253">AB97</f>
        <v>45644</v>
      </c>
      <c r="AW97" s="142" t="str">
        <f t="shared" ref="AW97:AW100" si="254">AC97</f>
        <v>A</v>
      </c>
      <c r="AX97" s="143">
        <f t="shared" ref="AX97:AX100" si="255">AE97</f>
        <v>823147.64980000001</v>
      </c>
      <c r="AY97" s="143">
        <f t="shared" ref="AY97:AY100" si="256">AF97</f>
        <v>1091710.0848000001</v>
      </c>
      <c r="AZ97" s="143">
        <f t="shared" ref="AZ97:AZ100" si="257">AG97</f>
        <v>-121.5712</v>
      </c>
      <c r="BA97" s="143">
        <f t="shared" ref="BA97:BA100" si="258">AL97+$AY$1</f>
        <v>2.6864532572916748</v>
      </c>
      <c r="BB97" s="143">
        <f t="shared" ref="BB97:BB100" si="259">AM97</f>
        <v>8.1360605096970993E-3</v>
      </c>
      <c r="BC97" s="144">
        <f t="shared" ref="BC97:BC100" si="260">AN97</f>
        <v>1.3827999999999889</v>
      </c>
    </row>
    <row r="98" spans="1:55" ht="15">
      <c r="AB98" s="131">
        <v>45644</v>
      </c>
      <c r="AC98" s="146" t="s">
        <v>66</v>
      </c>
      <c r="AD98" s="148" t="s">
        <v>173</v>
      </c>
      <c r="AE98" s="132">
        <v>823147.5675</v>
      </c>
      <c r="AF98" s="132">
        <v>1091710.4077000001</v>
      </c>
      <c r="AG98" s="134">
        <v>-122.35599999999999</v>
      </c>
      <c r="AI98" s="147"/>
      <c r="AL98" s="135">
        <f t="shared" si="249"/>
        <v>3.0138794552435155</v>
      </c>
      <c r="AM98" s="136">
        <f t="shared" si="250"/>
        <v>7.0021316545270454E-2</v>
      </c>
      <c r="AN98" s="137">
        <f t="shared" si="251"/>
        <v>0.59799999999999898</v>
      </c>
      <c r="AO98" s="138">
        <f t="shared" si="252"/>
        <v>-122.95399999999999</v>
      </c>
      <c r="AQ98" s="145"/>
      <c r="AV98" s="131">
        <f t="shared" si="253"/>
        <v>45644</v>
      </c>
      <c r="AW98" s="142" t="str">
        <f t="shared" si="254"/>
        <v>C</v>
      </c>
      <c r="AX98" s="143">
        <f t="shared" si="255"/>
        <v>823147.5675</v>
      </c>
      <c r="AY98" s="143">
        <f t="shared" si="256"/>
        <v>1091710.4077000001</v>
      </c>
      <c r="AZ98" s="143">
        <f t="shared" si="257"/>
        <v>-122.35599999999999</v>
      </c>
      <c r="BA98" s="143">
        <f t="shared" si="258"/>
        <v>3.0138794552435155</v>
      </c>
      <c r="BB98" s="143">
        <f t="shared" si="259"/>
        <v>7.0021316545270454E-2</v>
      </c>
      <c r="BC98" s="144">
        <f t="shared" si="260"/>
        <v>0.59799999999999898</v>
      </c>
    </row>
    <row r="99" spans="1:55" ht="15">
      <c r="AB99" s="131">
        <v>45644</v>
      </c>
      <c r="AC99" s="146" t="s">
        <v>67</v>
      </c>
      <c r="AD99" s="148" t="s">
        <v>174</v>
      </c>
      <c r="AE99" s="132">
        <v>823149.98950000003</v>
      </c>
      <c r="AF99" s="132">
        <v>1091705.0825</v>
      </c>
      <c r="AG99" s="134">
        <v>-121.7829</v>
      </c>
      <c r="AI99" s="147"/>
      <c r="AL99" s="135">
        <f t="shared" si="249"/>
        <v>-2.8359703446312872</v>
      </c>
      <c r="AM99" s="136">
        <f t="shared" si="250"/>
        <v>1.4376372039259577E-2</v>
      </c>
      <c r="AN99" s="137">
        <f t="shared" si="251"/>
        <v>1.1710999999999956</v>
      </c>
      <c r="AO99" s="138">
        <f t="shared" si="252"/>
        <v>-122.95399999999999</v>
      </c>
      <c r="AQ99" s="145"/>
      <c r="AV99" s="131">
        <f t="shared" si="253"/>
        <v>45644</v>
      </c>
      <c r="AW99" s="142" t="str">
        <f t="shared" si="254"/>
        <v>D</v>
      </c>
      <c r="AX99" s="143">
        <f t="shared" si="255"/>
        <v>823149.98950000003</v>
      </c>
      <c r="AY99" s="143">
        <f t="shared" si="256"/>
        <v>1091705.0825</v>
      </c>
      <c r="AZ99" s="143">
        <f t="shared" si="257"/>
        <v>-121.7829</v>
      </c>
      <c r="BA99" s="143">
        <f t="shared" si="258"/>
        <v>-2.8359703446312872</v>
      </c>
      <c r="BB99" s="143">
        <f t="shared" si="259"/>
        <v>1.4376372039259577E-2</v>
      </c>
      <c r="BC99" s="144">
        <f t="shared" si="260"/>
        <v>1.1710999999999956</v>
      </c>
    </row>
    <row r="100" spans="1:55" ht="15">
      <c r="AB100" s="131">
        <v>45644</v>
      </c>
      <c r="AC100" s="132" t="s">
        <v>65</v>
      </c>
      <c r="AD100" s="148" t="s">
        <v>178</v>
      </c>
      <c r="AE100" s="132">
        <v>823147.59219999996</v>
      </c>
      <c r="AF100" s="132">
        <v>1091710.2512000001</v>
      </c>
      <c r="AG100" s="134">
        <v>-121.9096</v>
      </c>
      <c r="AI100" s="147"/>
      <c r="AL100" s="135">
        <f t="shared" si="249"/>
        <v>2.8616050788449656</v>
      </c>
      <c r="AM100" s="136">
        <f t="shared" si="250"/>
        <v>2.626226830573828E-2</v>
      </c>
      <c r="AN100" s="137">
        <f t="shared" si="251"/>
        <v>1.044399999999996</v>
      </c>
      <c r="AO100" s="138">
        <f t="shared" si="252"/>
        <v>-122.95399999999999</v>
      </c>
      <c r="AQ100" s="145"/>
      <c r="AV100" s="131">
        <f t="shared" si="253"/>
        <v>45644</v>
      </c>
      <c r="AW100" s="142" t="str">
        <f t="shared" si="254"/>
        <v>B</v>
      </c>
      <c r="AX100" s="143">
        <f t="shared" si="255"/>
        <v>823147.59219999996</v>
      </c>
      <c r="AY100" s="143">
        <f t="shared" si="256"/>
        <v>1091710.2512000001</v>
      </c>
      <c r="AZ100" s="143">
        <f t="shared" si="257"/>
        <v>-121.9096</v>
      </c>
      <c r="BA100" s="143">
        <f t="shared" si="258"/>
        <v>2.8616050788449656</v>
      </c>
      <c r="BB100" s="143">
        <f t="shared" si="259"/>
        <v>2.626226830573828E-2</v>
      </c>
      <c r="BC100" s="144">
        <f t="shared" si="260"/>
        <v>1.044399999999996</v>
      </c>
    </row>
    <row r="101" spans="1:55" ht="15">
      <c r="AB101" s="131">
        <v>45663</v>
      </c>
      <c r="AC101" s="132" t="s">
        <v>64</v>
      </c>
      <c r="AD101" s="148" t="s">
        <v>116</v>
      </c>
      <c r="AE101" s="132">
        <v>823147.64930000005</v>
      </c>
      <c r="AF101" s="132">
        <v>1091710.0844000001</v>
      </c>
      <c r="AG101" s="134">
        <v>-121.57170000000001</v>
      </c>
      <c r="AI101" s="147"/>
      <c r="AL101" s="135">
        <f t="shared" ref="AL101:AL104" si="261">IF(ISNUMBER(AE101),COS(ATAN2(AF101-AO$4,AE101-AO$3)-(AO$5/200*PI()))*SQRT((AE101-AO$3)^2+(AF101-AO$4)^2),"-")</f>
        <v>2.6863020640843831</v>
      </c>
      <c r="AM101" s="136">
        <f t="shared" ref="AM101:AM104" si="262">IF(ISNUMBER(AE101),SIN(ATAN2(AF101-AO$4,AE101-AO$3)-(AO$5/200*PI()))*SQRT((AE101-AO$3)^2+(AF101-AO$4)^2),"-")</f>
        <v>7.5138542779634807E-3</v>
      </c>
      <c r="AN101" s="137">
        <f t="shared" ref="AN101:AN104" si="263">IF(ISNUMBER(AL101),AG101-AO101,"-")</f>
        <v>1.3822999999999865</v>
      </c>
      <c r="AO101" s="138">
        <f t="shared" ref="AO101:AO104" si="264">IF(ISNUMBER(AF101),((AL101-$AO$7)*AO$9)+AO$8,"-")</f>
        <v>-122.95399999999999</v>
      </c>
      <c r="AQ101" s="145"/>
      <c r="AV101" s="131">
        <f t="shared" ref="AV101:AV104" si="265">AB101</f>
        <v>45663</v>
      </c>
      <c r="AW101" s="142" t="str">
        <f t="shared" ref="AW101:AW104" si="266">AC101</f>
        <v>A</v>
      </c>
      <c r="AX101" s="143">
        <f t="shared" ref="AX101:AX104" si="267">AE101</f>
        <v>823147.64930000005</v>
      </c>
      <c r="AY101" s="143">
        <f t="shared" ref="AY101:AY104" si="268">AF101</f>
        <v>1091710.0844000001</v>
      </c>
      <c r="AZ101" s="143">
        <f t="shared" ref="AZ101:AZ104" si="269">AG101</f>
        <v>-121.57170000000001</v>
      </c>
      <c r="BA101" s="143">
        <f t="shared" ref="BA101:BA104" si="270">AL101+$AY$1</f>
        <v>2.6863020640843831</v>
      </c>
      <c r="BB101" s="143">
        <f t="shared" ref="BB101:BB104" si="271">AM101</f>
        <v>7.5138542779634807E-3</v>
      </c>
      <c r="BC101" s="144">
        <f t="shared" ref="BC101:BC104" si="272">AN101</f>
        <v>1.3822999999999865</v>
      </c>
    </row>
    <row r="102" spans="1:55" ht="15">
      <c r="AB102" s="131">
        <v>45663</v>
      </c>
      <c r="AC102" s="132" t="s">
        <v>65</v>
      </c>
      <c r="AD102" s="148" t="s">
        <v>117</v>
      </c>
      <c r="AE102" s="132">
        <v>823147.59239999996</v>
      </c>
      <c r="AF102" s="132">
        <v>1091710.2520000001</v>
      </c>
      <c r="AG102" s="134">
        <v>-121.9096</v>
      </c>
      <c r="AI102" s="147"/>
      <c r="AL102" s="135">
        <f t="shared" si="261"/>
        <v>2.8622455840834191</v>
      </c>
      <c r="AM102" s="136">
        <f t="shared" si="262"/>
        <v>2.6781645917990819E-2</v>
      </c>
      <c r="AN102" s="137">
        <f t="shared" si="263"/>
        <v>1.044399999999996</v>
      </c>
      <c r="AO102" s="138">
        <f t="shared" si="264"/>
        <v>-122.95399999999999</v>
      </c>
      <c r="AQ102" s="145"/>
      <c r="AV102" s="131">
        <f t="shared" si="265"/>
        <v>45663</v>
      </c>
      <c r="AW102" s="142" t="str">
        <f t="shared" si="266"/>
        <v>B</v>
      </c>
      <c r="AX102" s="143">
        <f t="shared" si="267"/>
        <v>823147.59239999996</v>
      </c>
      <c r="AY102" s="143">
        <f t="shared" si="268"/>
        <v>1091710.2520000001</v>
      </c>
      <c r="AZ102" s="143">
        <f t="shared" si="269"/>
        <v>-121.9096</v>
      </c>
      <c r="BA102" s="143">
        <f t="shared" si="270"/>
        <v>2.8622455840834191</v>
      </c>
      <c r="BB102" s="143">
        <f t="shared" si="271"/>
        <v>2.6781645917990819E-2</v>
      </c>
      <c r="BC102" s="144">
        <f t="shared" si="272"/>
        <v>1.044399999999996</v>
      </c>
    </row>
    <row r="103" spans="1:55" ht="15">
      <c r="AB103" s="131">
        <v>45663</v>
      </c>
      <c r="AC103" s="146" t="s">
        <v>67</v>
      </c>
      <c r="AD103" s="148" t="s">
        <v>118</v>
      </c>
      <c r="AE103" s="132">
        <v>823149.98875000002</v>
      </c>
      <c r="AF103" s="132">
        <v>1091705.0824</v>
      </c>
      <c r="AG103" s="134">
        <v>-121.7833</v>
      </c>
      <c r="AI103" s="147"/>
      <c r="AL103" s="135">
        <f t="shared" si="261"/>
        <v>-2.8357439876224255</v>
      </c>
      <c r="AM103" s="136">
        <f t="shared" si="262"/>
        <v>1.3654386909973396E-2</v>
      </c>
      <c r="AN103" s="137">
        <f t="shared" si="263"/>
        <v>1.1706999999999965</v>
      </c>
      <c r="AO103" s="138">
        <f t="shared" si="264"/>
        <v>-122.95399999999999</v>
      </c>
      <c r="AQ103" s="145"/>
      <c r="AV103" s="131">
        <f t="shared" si="265"/>
        <v>45663</v>
      </c>
      <c r="AW103" s="142" t="str">
        <f t="shared" si="266"/>
        <v>D</v>
      </c>
      <c r="AX103" s="143">
        <f t="shared" si="267"/>
        <v>823149.98875000002</v>
      </c>
      <c r="AY103" s="143">
        <f t="shared" si="268"/>
        <v>1091705.0824</v>
      </c>
      <c r="AZ103" s="143">
        <f t="shared" si="269"/>
        <v>-121.7833</v>
      </c>
      <c r="BA103" s="143">
        <f t="shared" si="270"/>
        <v>-2.8357439876224255</v>
      </c>
      <c r="BB103" s="143">
        <f t="shared" si="271"/>
        <v>1.3654386909973396E-2</v>
      </c>
      <c r="BC103" s="144">
        <f t="shared" si="272"/>
        <v>1.1706999999999965</v>
      </c>
    </row>
    <row r="104" spans="1:55" ht="15">
      <c r="AB104" s="131">
        <v>45663</v>
      </c>
      <c r="AC104" s="146" t="s">
        <v>66</v>
      </c>
      <c r="AD104" s="148" t="s">
        <v>119</v>
      </c>
      <c r="AE104" s="132">
        <v>823147.56810000003</v>
      </c>
      <c r="AF104" s="132">
        <v>1091710.4056000002</v>
      </c>
      <c r="AG104" s="134">
        <v>-122.3569</v>
      </c>
      <c r="AI104" s="147"/>
      <c r="AL104" s="135">
        <f t="shared" si="261"/>
        <v>3.0117226494855753</v>
      </c>
      <c r="AM104" s="136">
        <f t="shared" si="262"/>
        <v>6.9677530794800824E-2</v>
      </c>
      <c r="AN104" s="137">
        <f t="shared" si="263"/>
        <v>0.59709999999999752</v>
      </c>
      <c r="AO104" s="138">
        <f t="shared" si="264"/>
        <v>-122.95399999999999</v>
      </c>
      <c r="AQ104" s="145"/>
      <c r="AV104" s="131">
        <f t="shared" si="265"/>
        <v>45663</v>
      </c>
      <c r="AW104" s="142" t="str">
        <f t="shared" si="266"/>
        <v>C</v>
      </c>
      <c r="AX104" s="143">
        <f t="shared" si="267"/>
        <v>823147.56810000003</v>
      </c>
      <c r="AY104" s="143">
        <f t="shared" si="268"/>
        <v>1091710.4056000002</v>
      </c>
      <c r="AZ104" s="143">
        <f t="shared" si="269"/>
        <v>-122.3569</v>
      </c>
      <c r="BA104" s="143">
        <f t="shared" si="270"/>
        <v>3.0117226494855753</v>
      </c>
      <c r="BB104" s="143">
        <f t="shared" si="271"/>
        <v>6.9677530794800824E-2</v>
      </c>
      <c r="BC104" s="144">
        <f t="shared" si="272"/>
        <v>0.59709999999999752</v>
      </c>
    </row>
    <row r="105" spans="1:55" ht="15">
      <c r="AB105" s="131">
        <v>45666</v>
      </c>
      <c r="AC105" s="132" t="s">
        <v>64</v>
      </c>
      <c r="AD105" s="148" t="s">
        <v>121</v>
      </c>
      <c r="AE105" s="132">
        <v>823147.64969999995</v>
      </c>
      <c r="AF105" s="132">
        <v>1091710.0845000001</v>
      </c>
      <c r="AG105" s="134">
        <v>-121.5716</v>
      </c>
      <c r="AI105" s="147"/>
      <c r="AL105" s="135">
        <f t="shared" ref="AL105:AL108" si="273">IF(ISNUMBER(AE105),COS(ATAN2(AF105-AO$4,AE105-AO$3)-(AO$5/200*PI()))*SQRT((AE105-AO$3)^2+(AF105-AO$4)^2),"-")</f>
        <v>2.686223634119393</v>
      </c>
      <c r="AM105" s="136">
        <f t="shared" ref="AM105:AM108" si="274">IF(ISNUMBER(AE105),SIN(ATAN2(AF105-AO$4,AE105-AO$3)-(AO$5/200*PI()))*SQRT((AE105-AO$3)^2+(AF105-AO$4)^2),"-")</f>
        <v>7.9186365345524281E-3</v>
      </c>
      <c r="AN105" s="137">
        <f t="shared" ref="AN105:AN108" si="275">IF(ISNUMBER(AL105),AG105-AO105,"-")</f>
        <v>1.3823999999999899</v>
      </c>
      <c r="AO105" s="138">
        <f t="shared" ref="AO105:AO108" si="276">IF(ISNUMBER(AF105),((AL105-$AO$7)*AO$9)+AO$8,"-")</f>
        <v>-122.95399999999999</v>
      </c>
      <c r="AQ105" s="145"/>
      <c r="AV105" s="131">
        <f t="shared" ref="AV105:AV108" si="277">AB105</f>
        <v>45666</v>
      </c>
      <c r="AW105" s="142" t="str">
        <f t="shared" ref="AW105:AW108" si="278">AC105</f>
        <v>A</v>
      </c>
      <c r="AX105" s="143">
        <f t="shared" ref="AX105:AX108" si="279">AE105</f>
        <v>823147.64969999995</v>
      </c>
      <c r="AY105" s="143">
        <f t="shared" ref="AY105:AY108" si="280">AF105</f>
        <v>1091710.0845000001</v>
      </c>
      <c r="AZ105" s="143">
        <f t="shared" ref="AZ105:AZ108" si="281">AG105</f>
        <v>-121.5716</v>
      </c>
      <c r="BA105" s="143">
        <f t="shared" ref="BA105:BA108" si="282">AL105+$AY$1</f>
        <v>2.686223634119393</v>
      </c>
      <c r="BB105" s="143">
        <f t="shared" ref="BB105:BB108" si="283">AM105</f>
        <v>7.9186365345524281E-3</v>
      </c>
      <c r="BC105" s="144">
        <f t="shared" ref="BC105:BC108" si="284">AN105</f>
        <v>1.3823999999999899</v>
      </c>
    </row>
    <row r="106" spans="1:55" ht="15">
      <c r="AB106" s="131">
        <v>45666</v>
      </c>
      <c r="AC106" s="132" t="s">
        <v>65</v>
      </c>
      <c r="AD106" s="148" t="s">
        <v>122</v>
      </c>
      <c r="AE106" s="132">
        <v>823147.59230000002</v>
      </c>
      <c r="AF106" s="132">
        <v>1091710.2511</v>
      </c>
      <c r="AG106" s="134">
        <v>-121.9096</v>
      </c>
      <c r="AI106" s="147"/>
      <c r="AL106" s="135">
        <f t="shared" si="273"/>
        <v>2.8614721845388864</v>
      </c>
      <c r="AM106" s="136">
        <f t="shared" si="274"/>
        <v>2.6310632844345476E-2</v>
      </c>
      <c r="AN106" s="137">
        <f t="shared" si="275"/>
        <v>1.044399999999996</v>
      </c>
      <c r="AO106" s="138">
        <f t="shared" si="276"/>
        <v>-122.95399999999999</v>
      </c>
      <c r="AQ106" s="145"/>
      <c r="AV106" s="131">
        <f t="shared" si="277"/>
        <v>45666</v>
      </c>
      <c r="AW106" s="142" t="str">
        <f t="shared" si="278"/>
        <v>B</v>
      </c>
      <c r="AX106" s="143">
        <f t="shared" si="279"/>
        <v>823147.59230000002</v>
      </c>
      <c r="AY106" s="143">
        <f t="shared" si="280"/>
        <v>1091710.2511</v>
      </c>
      <c r="AZ106" s="143">
        <f t="shared" si="281"/>
        <v>-121.9096</v>
      </c>
      <c r="BA106" s="143">
        <f t="shared" si="282"/>
        <v>2.8614721845388864</v>
      </c>
      <c r="BB106" s="143">
        <f t="shared" si="283"/>
        <v>2.6310632844345476E-2</v>
      </c>
      <c r="BC106" s="144">
        <f t="shared" si="284"/>
        <v>1.044399999999996</v>
      </c>
    </row>
    <row r="107" spans="1:55" ht="15">
      <c r="AB107" s="131">
        <v>45666</v>
      </c>
      <c r="AC107" s="146" t="s">
        <v>67</v>
      </c>
      <c r="AD107" s="148" t="s">
        <v>123</v>
      </c>
      <c r="AE107" s="132">
        <v>823149.98869999999</v>
      </c>
      <c r="AF107" s="132">
        <v>1091705.0824</v>
      </c>
      <c r="AG107" s="134">
        <v>-121.78319999999999</v>
      </c>
      <c r="AI107" s="147"/>
      <c r="AL107" s="135">
        <f t="shared" si="273"/>
        <v>-2.8357228551805576</v>
      </c>
      <c r="AM107" s="136">
        <f t="shared" si="274"/>
        <v>1.3609072198802748E-2</v>
      </c>
      <c r="AN107" s="137">
        <f t="shared" si="275"/>
        <v>1.1707999999999998</v>
      </c>
      <c r="AO107" s="138">
        <f t="shared" si="276"/>
        <v>-122.95399999999999</v>
      </c>
      <c r="AQ107" s="145"/>
      <c r="AV107" s="131">
        <f t="shared" si="277"/>
        <v>45666</v>
      </c>
      <c r="AW107" s="142" t="str">
        <f t="shared" si="278"/>
        <v>D</v>
      </c>
      <c r="AX107" s="143">
        <f t="shared" si="279"/>
        <v>823149.98869999999</v>
      </c>
      <c r="AY107" s="143">
        <f t="shared" si="280"/>
        <v>1091705.0824</v>
      </c>
      <c r="AZ107" s="143">
        <f t="shared" si="281"/>
        <v>-121.78319999999999</v>
      </c>
      <c r="BA107" s="143">
        <f t="shared" si="282"/>
        <v>-2.8357228551805576</v>
      </c>
      <c r="BB107" s="143">
        <f t="shared" si="283"/>
        <v>1.3609072198802748E-2</v>
      </c>
      <c r="BC107" s="144">
        <f t="shared" si="284"/>
        <v>1.1707999999999998</v>
      </c>
    </row>
    <row r="108" spans="1:55" ht="15">
      <c r="AB108" s="131">
        <v>45666</v>
      </c>
      <c r="AC108" s="146" t="s">
        <v>66</v>
      </c>
      <c r="AD108" s="148" t="s">
        <v>124</v>
      </c>
      <c r="AE108" s="132">
        <v>823147.56839999999</v>
      </c>
      <c r="AF108" s="132">
        <v>1091710.4055999999</v>
      </c>
      <c r="AG108" s="134">
        <v>-122.35680000000001</v>
      </c>
      <c r="AI108" s="147"/>
      <c r="AL108" s="135">
        <f t="shared" si="273"/>
        <v>3.0115958547217621</v>
      </c>
      <c r="AM108" s="136">
        <f t="shared" si="274"/>
        <v>6.9949418752413492E-2</v>
      </c>
      <c r="AN108" s="137">
        <f t="shared" si="275"/>
        <v>0.59719999999998663</v>
      </c>
      <c r="AO108" s="138">
        <f t="shared" si="276"/>
        <v>-122.95399999999999</v>
      </c>
      <c r="AQ108" s="145"/>
      <c r="AV108" s="131">
        <f t="shared" si="277"/>
        <v>45666</v>
      </c>
      <c r="AW108" s="142" t="str">
        <f t="shared" si="278"/>
        <v>C</v>
      </c>
      <c r="AX108" s="143">
        <f t="shared" si="279"/>
        <v>823147.56839999999</v>
      </c>
      <c r="AY108" s="143">
        <f t="shared" si="280"/>
        <v>1091710.4055999999</v>
      </c>
      <c r="AZ108" s="143">
        <f t="shared" si="281"/>
        <v>-122.35680000000001</v>
      </c>
      <c r="BA108" s="143">
        <f t="shared" si="282"/>
        <v>3.0115958547217621</v>
      </c>
      <c r="BB108" s="143">
        <f t="shared" si="283"/>
        <v>6.9949418752413492E-2</v>
      </c>
      <c r="BC108" s="144">
        <f t="shared" si="284"/>
        <v>0.59719999999998663</v>
      </c>
    </row>
    <row r="109" spans="1:55" ht="15">
      <c r="A109" s="171"/>
      <c r="B109" s="171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32">
        <v>45670</v>
      </c>
      <c r="AC109" s="132" t="s">
        <v>64</v>
      </c>
      <c r="AD109" s="132" t="s">
        <v>116</v>
      </c>
      <c r="AE109" s="132">
        <v>823147.64939999999</v>
      </c>
      <c r="AF109" s="132">
        <v>1091710.0841999999</v>
      </c>
      <c r="AG109" s="134">
        <v>-121.57169999999999</v>
      </c>
      <c r="AI109" s="147"/>
      <c r="AL109" s="135">
        <f t="shared" ref="AL109:AL112" si="285">IF(ISNUMBER(AE109),COS(ATAN2(AF109-AO$4,AE109-AO$3)-(AO$5/200*PI()))*SQRT((AE109-AO$3)^2+(AF109-AO$4)^2),"-")</f>
        <v>2.6860785404051635</v>
      </c>
      <c r="AM109" s="136">
        <f t="shared" ref="AM109:AM112" si="286">IF(ISNUMBER(AE109),SIN(ATAN2(AF109-AO$4,AE109-AO$3)-(AO$5/200*PI()))*SQRT((AE109-AO$3)^2+(AF109-AO$4)^2),"-")</f>
        <v>7.5199538273284083E-3</v>
      </c>
      <c r="AN109" s="137">
        <f t="shared" ref="AN109:AN112" si="287">IF(ISNUMBER(AL109),AG109-AO109,"-")</f>
        <v>1.3823000000000008</v>
      </c>
      <c r="AO109" s="138">
        <f t="shared" ref="AO109:AO112" si="288">IF(ISNUMBER(AF109),((AL109-$AO$7)*AO$9)+AO$8,"-")</f>
        <v>-122.95399999999999</v>
      </c>
      <c r="AQ109" s="145"/>
      <c r="AV109" s="131">
        <f t="shared" ref="AV109:AV112" si="289">AB109</f>
        <v>45670</v>
      </c>
      <c r="AW109" s="142" t="str">
        <f t="shared" ref="AW109:AW112" si="290">AC109</f>
        <v>A</v>
      </c>
      <c r="AX109" s="143">
        <f t="shared" ref="AX109:AX112" si="291">AE109</f>
        <v>823147.64939999999</v>
      </c>
      <c r="AY109" s="143">
        <f t="shared" ref="AY109:AY112" si="292">AF109</f>
        <v>1091710.0841999999</v>
      </c>
      <c r="AZ109" s="143">
        <f t="shared" ref="AZ109:AZ112" si="293">AG109</f>
        <v>-121.57169999999999</v>
      </c>
      <c r="BA109" s="143">
        <f t="shared" ref="BA109:BA112" si="294">AL109+$AY$1</f>
        <v>2.6860785404051635</v>
      </c>
      <c r="BB109" s="143">
        <f t="shared" ref="BB109:BB112" si="295">AM109</f>
        <v>7.5199538273284083E-3</v>
      </c>
      <c r="BC109" s="144">
        <f t="shared" ref="BC109:BC112" si="296">AN109</f>
        <v>1.3823000000000008</v>
      </c>
    </row>
    <row r="110" spans="1:55" ht="15">
      <c r="A110" s="171"/>
      <c r="B110" s="171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32">
        <v>45670</v>
      </c>
      <c r="AC110" s="132" t="s">
        <v>65</v>
      </c>
      <c r="AD110" s="132" t="s">
        <v>117</v>
      </c>
      <c r="AE110" s="132">
        <v>823147.59219999996</v>
      </c>
      <c r="AF110" s="132">
        <v>1091710.2509999999</v>
      </c>
      <c r="AG110" s="134">
        <v>-121.90979999999999</v>
      </c>
      <c r="AI110" s="147"/>
      <c r="AL110" s="135">
        <f t="shared" si="285"/>
        <v>2.8614238200002786</v>
      </c>
      <c r="AM110" s="136">
        <f t="shared" si="286"/>
        <v>2.6177738538267523E-2</v>
      </c>
      <c r="AN110" s="137">
        <f t="shared" si="287"/>
        <v>1.0442000000000036</v>
      </c>
      <c r="AO110" s="138">
        <f t="shared" si="288"/>
        <v>-122.95399999999999</v>
      </c>
      <c r="AQ110" s="145"/>
      <c r="AV110" s="131">
        <f t="shared" si="289"/>
        <v>45670</v>
      </c>
      <c r="AW110" s="142" t="str">
        <f t="shared" si="290"/>
        <v>B</v>
      </c>
      <c r="AX110" s="143">
        <f t="shared" si="291"/>
        <v>823147.59219999996</v>
      </c>
      <c r="AY110" s="143">
        <f t="shared" si="292"/>
        <v>1091710.2509999999</v>
      </c>
      <c r="AZ110" s="143">
        <f t="shared" si="293"/>
        <v>-121.90979999999999</v>
      </c>
      <c r="BA110" s="143">
        <f t="shared" si="294"/>
        <v>2.8614238200002786</v>
      </c>
      <c r="BB110" s="143">
        <f t="shared" si="295"/>
        <v>2.6177738538267523E-2</v>
      </c>
      <c r="BC110" s="144">
        <f t="shared" si="296"/>
        <v>1.0442000000000036</v>
      </c>
    </row>
    <row r="111" spans="1:55" ht="15">
      <c r="A111" s="171"/>
      <c r="B111" s="171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32">
        <v>45670</v>
      </c>
      <c r="AC111" s="146" t="s">
        <v>67</v>
      </c>
      <c r="AD111" s="142" t="s">
        <v>118</v>
      </c>
      <c r="AE111" s="132">
        <v>823149.98860000004</v>
      </c>
      <c r="AF111" s="132">
        <v>1091705.0825</v>
      </c>
      <c r="AG111" s="132">
        <v>-121.78319999999999</v>
      </c>
      <c r="AL111" s="135">
        <f t="shared" si="285"/>
        <v>-2.8355899609236817</v>
      </c>
      <c r="AM111" s="136">
        <f t="shared" si="286"/>
        <v>1.3560707765700997E-2</v>
      </c>
      <c r="AN111" s="137">
        <f t="shared" si="287"/>
        <v>1.1707999999999998</v>
      </c>
      <c r="AO111" s="138">
        <f t="shared" si="288"/>
        <v>-122.95399999999999</v>
      </c>
      <c r="AQ111" s="145"/>
      <c r="AV111" s="131">
        <f t="shared" si="289"/>
        <v>45670</v>
      </c>
      <c r="AW111" s="142" t="str">
        <f t="shared" si="290"/>
        <v>D</v>
      </c>
      <c r="AX111" s="143">
        <f t="shared" si="291"/>
        <v>823149.98860000004</v>
      </c>
      <c r="AY111" s="143">
        <f t="shared" si="292"/>
        <v>1091705.0825</v>
      </c>
      <c r="AZ111" s="143">
        <f t="shared" si="293"/>
        <v>-121.78319999999999</v>
      </c>
      <c r="BA111" s="143">
        <f t="shared" si="294"/>
        <v>-2.8355899609236817</v>
      </c>
      <c r="BB111" s="143">
        <f t="shared" si="295"/>
        <v>1.3560707765700997E-2</v>
      </c>
      <c r="BC111" s="144">
        <f t="shared" si="296"/>
        <v>1.1707999999999998</v>
      </c>
    </row>
    <row r="112" spans="1:55" ht="15">
      <c r="A112" s="171"/>
      <c r="B112" s="171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32">
        <v>45670</v>
      </c>
      <c r="AC112" s="146" t="s">
        <v>66</v>
      </c>
      <c r="AD112" s="142" t="s">
        <v>119</v>
      </c>
      <c r="AE112" s="132">
        <v>823147.56839999999</v>
      </c>
      <c r="AF112" s="132">
        <v>1091710.4053</v>
      </c>
      <c r="AG112" s="132">
        <v>-122.3569</v>
      </c>
      <c r="AL112" s="135">
        <f t="shared" si="285"/>
        <v>3.0113239666657443</v>
      </c>
      <c r="AM112" s="136">
        <f t="shared" si="286"/>
        <v>6.9822624199612202E-2</v>
      </c>
      <c r="AN112" s="137">
        <f t="shared" si="287"/>
        <v>0.59709999999999752</v>
      </c>
      <c r="AO112" s="138">
        <f t="shared" si="288"/>
        <v>-122.95399999999999</v>
      </c>
      <c r="AQ112" s="145"/>
      <c r="AV112" s="131">
        <f t="shared" si="289"/>
        <v>45670</v>
      </c>
      <c r="AW112" s="142" t="str">
        <f t="shared" si="290"/>
        <v>C</v>
      </c>
      <c r="AX112" s="143">
        <f t="shared" si="291"/>
        <v>823147.56839999999</v>
      </c>
      <c r="AY112" s="143">
        <f t="shared" si="292"/>
        <v>1091710.4053</v>
      </c>
      <c r="AZ112" s="143">
        <f t="shared" si="293"/>
        <v>-122.3569</v>
      </c>
      <c r="BA112" s="143">
        <f t="shared" si="294"/>
        <v>3.0113239666657443</v>
      </c>
      <c r="BB112" s="143">
        <f t="shared" si="295"/>
        <v>6.9822624199612202E-2</v>
      </c>
      <c r="BC112" s="144">
        <f t="shared" si="296"/>
        <v>0.59709999999999752</v>
      </c>
    </row>
    <row r="113" spans="28:55" ht="15">
      <c r="AB113" s="131">
        <v>45674</v>
      </c>
      <c r="AC113" s="132" t="s">
        <v>64</v>
      </c>
      <c r="AD113" s="133" t="s">
        <v>121</v>
      </c>
      <c r="AE113" s="132">
        <v>823147.64969999995</v>
      </c>
      <c r="AF113" s="132">
        <v>1091710.0841000001</v>
      </c>
      <c r="AG113" s="132">
        <v>-121.5719</v>
      </c>
      <c r="AL113" s="135">
        <f t="shared" ref="AL113:AL116" si="297">IF(ISNUMBER(AE113),COS(ATAN2(AF113-AO$4,AE113-AO$3)-(AO$5/200*PI()))*SQRT((AE113-AO$3)^2+(AF113-AO$4)^2),"-")</f>
        <v>2.685861116641032</v>
      </c>
      <c r="AM113" s="136">
        <f t="shared" ref="AM113:AM116" si="298">IF(ISNUMBER(AE113),SIN(ATAN2(AF113-AO$4,AE113-AO$3)-(AO$5/200*PI()))*SQRT((AE113-AO$3)^2+(AF113-AO$4)^2),"-")</f>
        <v>7.7495770980175686E-3</v>
      </c>
      <c r="AN113" s="137">
        <f t="shared" ref="AN113:AN116" si="299">IF(ISNUMBER(AL113),AG113-AO113,"-")</f>
        <v>1.3820999999999941</v>
      </c>
      <c r="AO113" s="138">
        <f t="shared" ref="AO113:AO116" si="300">IF(ISNUMBER(AF113),((AL113-$AO$7)*AO$9)+AO$8,"-")</f>
        <v>-122.95399999999999</v>
      </c>
      <c r="AQ113" s="145"/>
      <c r="AV113" s="131">
        <f t="shared" ref="AV113:AV116" si="301">AB113</f>
        <v>45674</v>
      </c>
      <c r="AW113" s="142" t="str">
        <f t="shared" ref="AW113:AW116" si="302">AC113</f>
        <v>A</v>
      </c>
      <c r="AX113" s="143">
        <f t="shared" ref="AX113:AX116" si="303">AE113</f>
        <v>823147.64969999995</v>
      </c>
      <c r="AY113" s="143">
        <f t="shared" ref="AY113:AY116" si="304">AF113</f>
        <v>1091710.0841000001</v>
      </c>
      <c r="AZ113" s="143">
        <f t="shared" ref="AZ113:AZ116" si="305">AG113</f>
        <v>-121.5719</v>
      </c>
      <c r="BA113" s="143">
        <f t="shared" ref="BA113:BA116" si="306">AL113+$AY$1</f>
        <v>2.685861116641032</v>
      </c>
      <c r="BB113" s="143">
        <f t="shared" ref="BB113:BB116" si="307">AM113</f>
        <v>7.7495770980175686E-3</v>
      </c>
      <c r="BC113" s="144">
        <f t="shared" ref="BC113:BC116" si="308">AN113</f>
        <v>1.3820999999999941</v>
      </c>
    </row>
    <row r="114" spans="28:55" ht="15">
      <c r="AB114" s="131">
        <v>45674</v>
      </c>
      <c r="AC114" s="132" t="s">
        <v>65</v>
      </c>
      <c r="AD114" s="133" t="s">
        <v>122</v>
      </c>
      <c r="AE114" s="132">
        <v>823147.59210000001</v>
      </c>
      <c r="AF114" s="132">
        <v>1091710.2512999999</v>
      </c>
      <c r="AG114" s="132">
        <v>-121.91</v>
      </c>
      <c r="AL114" s="135">
        <f t="shared" si="297"/>
        <v>2.8617379728908285</v>
      </c>
      <c r="AM114" s="136">
        <f t="shared" si="298"/>
        <v>2.6213903774230139E-2</v>
      </c>
      <c r="AN114" s="137">
        <f t="shared" si="299"/>
        <v>1.0439999999999969</v>
      </c>
      <c r="AO114" s="138">
        <f t="shared" si="300"/>
        <v>-122.95399999999999</v>
      </c>
      <c r="AQ114" s="145"/>
      <c r="AV114" s="131">
        <f t="shared" si="301"/>
        <v>45674</v>
      </c>
      <c r="AW114" s="142" t="str">
        <f t="shared" si="302"/>
        <v>B</v>
      </c>
      <c r="AX114" s="143">
        <f t="shared" si="303"/>
        <v>823147.59210000001</v>
      </c>
      <c r="AY114" s="143">
        <f t="shared" si="304"/>
        <v>1091710.2512999999</v>
      </c>
      <c r="AZ114" s="143">
        <f t="shared" si="305"/>
        <v>-121.91</v>
      </c>
      <c r="BA114" s="143">
        <f t="shared" si="306"/>
        <v>2.8617379728908285</v>
      </c>
      <c r="BB114" s="143">
        <f t="shared" si="307"/>
        <v>2.6213903774230139E-2</v>
      </c>
      <c r="BC114" s="144">
        <f t="shared" si="308"/>
        <v>1.0439999999999969</v>
      </c>
    </row>
    <row r="115" spans="28:55" ht="15">
      <c r="AB115" s="131">
        <v>45674</v>
      </c>
      <c r="AC115" s="146" t="s">
        <v>67</v>
      </c>
      <c r="AD115" s="133" t="s">
        <v>123</v>
      </c>
      <c r="AE115" s="132">
        <v>823149.98899999994</v>
      </c>
      <c r="AF115" s="132">
        <v>1091705.0826000001</v>
      </c>
      <c r="AG115" s="132">
        <v>-121.7834</v>
      </c>
      <c r="AL115" s="135">
        <f t="shared" si="297"/>
        <v>-2.8356683908886717</v>
      </c>
      <c r="AM115" s="136">
        <f t="shared" si="298"/>
        <v>1.3965490022290312E-2</v>
      </c>
      <c r="AN115" s="137">
        <f t="shared" si="299"/>
        <v>1.1705999999999932</v>
      </c>
      <c r="AO115" s="138">
        <f t="shared" si="300"/>
        <v>-122.95399999999999</v>
      </c>
      <c r="AQ115" s="145"/>
      <c r="AV115" s="131">
        <f t="shared" si="301"/>
        <v>45674</v>
      </c>
      <c r="AW115" s="142" t="str">
        <f t="shared" si="302"/>
        <v>D</v>
      </c>
      <c r="AX115" s="143">
        <f t="shared" si="303"/>
        <v>823149.98899999994</v>
      </c>
      <c r="AY115" s="143">
        <f t="shared" si="304"/>
        <v>1091705.0826000001</v>
      </c>
      <c r="AZ115" s="143">
        <f t="shared" si="305"/>
        <v>-121.7834</v>
      </c>
      <c r="BA115" s="143">
        <f t="shared" si="306"/>
        <v>-2.8356683908886717</v>
      </c>
      <c r="BB115" s="143">
        <f t="shared" si="307"/>
        <v>1.3965490022290312E-2</v>
      </c>
      <c r="BC115" s="144">
        <f t="shared" si="308"/>
        <v>1.1705999999999932</v>
      </c>
    </row>
    <row r="116" spans="28:55" ht="15">
      <c r="AB116" s="131">
        <v>45674</v>
      </c>
      <c r="AC116" s="146" t="s">
        <v>66</v>
      </c>
      <c r="AD116" s="133" t="s">
        <v>124</v>
      </c>
      <c r="AE116" s="132">
        <v>823147.56850000005</v>
      </c>
      <c r="AF116" s="132">
        <v>1091710.4051999999</v>
      </c>
      <c r="AG116" s="132">
        <v>-122.35720000000001</v>
      </c>
      <c r="AL116" s="135">
        <f t="shared" si="297"/>
        <v>3.0111910723596655</v>
      </c>
      <c r="AM116" s="136">
        <f t="shared" si="298"/>
        <v>6.9870988738219966E-2</v>
      </c>
      <c r="AN116" s="137">
        <f t="shared" si="299"/>
        <v>0.59679999999998756</v>
      </c>
      <c r="AO116" s="138">
        <f t="shared" si="300"/>
        <v>-122.95399999999999</v>
      </c>
      <c r="AQ116" s="145"/>
      <c r="AV116" s="131">
        <f t="shared" si="301"/>
        <v>45674</v>
      </c>
      <c r="AW116" s="142" t="str">
        <f t="shared" si="302"/>
        <v>C</v>
      </c>
      <c r="AX116" s="143">
        <f t="shared" si="303"/>
        <v>823147.56850000005</v>
      </c>
      <c r="AY116" s="143">
        <f t="shared" si="304"/>
        <v>1091710.4051999999</v>
      </c>
      <c r="AZ116" s="143">
        <f t="shared" si="305"/>
        <v>-122.35720000000001</v>
      </c>
      <c r="BA116" s="143">
        <f t="shared" si="306"/>
        <v>3.0111910723596655</v>
      </c>
      <c r="BB116" s="143">
        <f t="shared" si="307"/>
        <v>6.9870988738219966E-2</v>
      </c>
      <c r="BC116" s="144">
        <f t="shared" si="308"/>
        <v>0.59679999999998756</v>
      </c>
    </row>
    <row r="117" spans="28:55" ht="15">
      <c r="AB117" s="131">
        <v>45681</v>
      </c>
      <c r="AC117" s="132" t="s">
        <v>64</v>
      </c>
      <c r="AD117" s="133" t="s">
        <v>121</v>
      </c>
      <c r="AE117" s="132">
        <v>823147.64899999998</v>
      </c>
      <c r="AF117" s="132">
        <v>1091710.0841999999</v>
      </c>
      <c r="AG117" s="132">
        <v>-121.5718</v>
      </c>
      <c r="AL117" s="135">
        <f t="shared" ref="AL117:AL120" si="309">IF(ISNUMBER(AE117),COS(ATAN2(AF117-AO$4,AE117-AO$3)-(AO$5/200*PI()))*SQRT((AE117-AO$3)^2+(AF117-AO$4)^2),"-")</f>
        <v>2.6862475998417001</v>
      </c>
      <c r="AM117" s="136">
        <f t="shared" ref="AM117:AM120" si="310">IF(ISNUMBER(AE117),SIN(ATAN2(AF117-AO$4,AE117-AO$3)-(AO$5/200*PI()))*SQRT((AE117-AO$3)^2+(AF117-AO$4)^2),"-")</f>
        <v>7.1574363489680633E-3</v>
      </c>
      <c r="AN117" s="137">
        <f t="shared" ref="AN117:AN120" si="311">IF(ISNUMBER(AL117),AG117-AO117,"-")</f>
        <v>1.3821999999999974</v>
      </c>
      <c r="AO117" s="138">
        <f t="shared" ref="AO117:AO120" si="312">IF(ISNUMBER(AF117),((AL117-$AO$7)*AO$9)+AO$8,"-")</f>
        <v>-122.95399999999999</v>
      </c>
      <c r="AQ117" s="145"/>
      <c r="AV117" s="131">
        <f t="shared" ref="AV117:AV120" si="313">AB117</f>
        <v>45681</v>
      </c>
      <c r="AW117" s="142" t="str">
        <f t="shared" ref="AW117:AW120" si="314">AC117</f>
        <v>A</v>
      </c>
      <c r="AX117" s="143">
        <f t="shared" ref="AX117:AX120" si="315">AE117</f>
        <v>823147.64899999998</v>
      </c>
      <c r="AY117" s="143">
        <f t="shared" ref="AY117:AY120" si="316">AF117</f>
        <v>1091710.0841999999</v>
      </c>
      <c r="AZ117" s="143">
        <f t="shared" ref="AZ117:AZ120" si="317">AG117</f>
        <v>-121.5718</v>
      </c>
      <c r="BA117" s="143">
        <f t="shared" ref="BA117:BA120" si="318">AL117+$AY$1</f>
        <v>2.6862475998417001</v>
      </c>
      <c r="BB117" s="143">
        <f t="shared" ref="BB117:BB120" si="319">AM117</f>
        <v>7.1574363489680633E-3</v>
      </c>
      <c r="BC117" s="144">
        <f t="shared" ref="BC117:BC120" si="320">AN117</f>
        <v>1.3821999999999974</v>
      </c>
    </row>
    <row r="118" spans="28:55" ht="15">
      <c r="AB118" s="131">
        <v>45681</v>
      </c>
      <c r="AC118" s="132" t="s">
        <v>65</v>
      </c>
      <c r="AD118" s="133" t="s">
        <v>122</v>
      </c>
      <c r="AE118" s="132">
        <v>823147.59270000004</v>
      </c>
      <c r="AF118" s="132">
        <v>1091710.2519</v>
      </c>
      <c r="AG118" s="132">
        <v>-121.90949999999999</v>
      </c>
      <c r="AL118" s="135">
        <f t="shared" si="309"/>
        <v>2.8620281600590722</v>
      </c>
      <c r="AM118" s="136">
        <f t="shared" si="310"/>
        <v>2.7011269195780667E-2</v>
      </c>
      <c r="AN118" s="137">
        <f t="shared" si="311"/>
        <v>1.0444999999999993</v>
      </c>
      <c r="AO118" s="138">
        <f t="shared" si="312"/>
        <v>-122.95399999999999</v>
      </c>
      <c r="AQ118" s="145"/>
      <c r="AV118" s="131">
        <f t="shared" si="313"/>
        <v>45681</v>
      </c>
      <c r="AW118" s="142" t="str">
        <f t="shared" si="314"/>
        <v>B</v>
      </c>
      <c r="AX118" s="143">
        <f t="shared" si="315"/>
        <v>823147.59270000004</v>
      </c>
      <c r="AY118" s="143">
        <f t="shared" si="316"/>
        <v>1091710.2519</v>
      </c>
      <c r="AZ118" s="143">
        <f t="shared" si="317"/>
        <v>-121.90949999999999</v>
      </c>
      <c r="BA118" s="143">
        <f t="shared" si="318"/>
        <v>2.8620281600590722</v>
      </c>
      <c r="BB118" s="143">
        <f t="shared" si="319"/>
        <v>2.7011269195780667E-2</v>
      </c>
      <c r="BC118" s="144">
        <f t="shared" si="320"/>
        <v>1.0444999999999993</v>
      </c>
    </row>
    <row r="119" spans="28:55" ht="15">
      <c r="AB119" s="131">
        <v>45681</v>
      </c>
      <c r="AC119" s="146" t="s">
        <v>67</v>
      </c>
      <c r="AD119" s="133" t="s">
        <v>123</v>
      </c>
      <c r="AE119" s="132">
        <v>823149.98950000003</v>
      </c>
      <c r="AF119" s="132">
        <v>1091705.0828</v>
      </c>
      <c r="AG119" s="132">
        <v>-121.78319999999999</v>
      </c>
      <c r="AL119" s="135">
        <f t="shared" si="309"/>
        <v>-2.8356984565752694</v>
      </c>
      <c r="AM119" s="136">
        <f t="shared" si="310"/>
        <v>1.4503166592059979E-2</v>
      </c>
      <c r="AN119" s="137">
        <f t="shared" si="311"/>
        <v>1.1707999999999998</v>
      </c>
      <c r="AO119" s="138">
        <f t="shared" si="312"/>
        <v>-122.95399999999999</v>
      </c>
      <c r="AQ119" s="145"/>
      <c r="AV119" s="131">
        <f t="shared" si="313"/>
        <v>45681</v>
      </c>
      <c r="AW119" s="142" t="str">
        <f t="shared" si="314"/>
        <v>D</v>
      </c>
      <c r="AX119" s="143">
        <f t="shared" si="315"/>
        <v>823149.98950000003</v>
      </c>
      <c r="AY119" s="143">
        <f t="shared" si="316"/>
        <v>1091705.0828</v>
      </c>
      <c r="AZ119" s="143">
        <f t="shared" si="317"/>
        <v>-121.78319999999999</v>
      </c>
      <c r="BA119" s="143">
        <f t="shared" si="318"/>
        <v>-2.8356984565752694</v>
      </c>
      <c r="BB119" s="143">
        <f t="shared" si="319"/>
        <v>1.4503166592059979E-2</v>
      </c>
      <c r="BC119" s="144">
        <f t="shared" si="320"/>
        <v>1.1707999999999998</v>
      </c>
    </row>
    <row r="120" spans="28:55" ht="15">
      <c r="AB120" s="131">
        <v>45681</v>
      </c>
      <c r="AC120" s="146" t="s">
        <v>66</v>
      </c>
      <c r="AD120" s="133" t="s">
        <v>124</v>
      </c>
      <c r="AE120" s="132">
        <v>823147.56799999997</v>
      </c>
      <c r="AF120" s="132">
        <v>1091710.4049</v>
      </c>
      <c r="AG120" s="132">
        <v>-122.357</v>
      </c>
      <c r="AL120" s="135">
        <f t="shared" si="309"/>
        <v>3.01113050862392</v>
      </c>
      <c r="AM120" s="136">
        <f t="shared" si="310"/>
        <v>6.9291047284714996E-2</v>
      </c>
      <c r="AN120" s="137">
        <f t="shared" si="311"/>
        <v>0.5969999999999942</v>
      </c>
      <c r="AO120" s="138">
        <f t="shared" si="312"/>
        <v>-122.95399999999999</v>
      </c>
      <c r="AQ120" s="145"/>
      <c r="AV120" s="131">
        <f t="shared" si="313"/>
        <v>45681</v>
      </c>
      <c r="AW120" s="142" t="str">
        <f t="shared" si="314"/>
        <v>C</v>
      </c>
      <c r="AX120" s="143">
        <f t="shared" si="315"/>
        <v>823147.56799999997</v>
      </c>
      <c r="AY120" s="143">
        <f t="shared" si="316"/>
        <v>1091710.4049</v>
      </c>
      <c r="AZ120" s="143">
        <f t="shared" si="317"/>
        <v>-122.357</v>
      </c>
      <c r="BA120" s="143">
        <f t="shared" si="318"/>
        <v>3.01113050862392</v>
      </c>
      <c r="BB120" s="143">
        <f t="shared" si="319"/>
        <v>6.9291047284714996E-2</v>
      </c>
      <c r="BC120" s="144">
        <f t="shared" si="320"/>
        <v>0.5969999999999942</v>
      </c>
    </row>
    <row r="121" spans="28:55" ht="15">
      <c r="AB121" s="131">
        <v>45686</v>
      </c>
      <c r="AC121" s="132" t="s">
        <v>64</v>
      </c>
      <c r="AD121" s="133" t="s">
        <v>138</v>
      </c>
      <c r="AE121" s="132">
        <v>823147.64954999997</v>
      </c>
      <c r="AF121" s="132">
        <v>1091710.0843</v>
      </c>
      <c r="AG121" s="132">
        <v>-121.5718</v>
      </c>
      <c r="AL121" s="135">
        <f t="shared" ref="AL121:AL124" si="321">IF(ISNUMBER(AE121),COS(ATAN2(AF121-AO$4,AE121-AO$3)-(AO$5/200*PI()))*SQRT((AE121-AO$3)^2+(AF121-AO$4)^2),"-")</f>
        <v>2.6861057725511066</v>
      </c>
      <c r="AM121" s="136">
        <f t="shared" ref="AM121:AM124" si="322">IF(ISNUMBER(AE121),SIN(ATAN2(AF121-AO$4,AE121-AO$3)-(AO$5/200*PI()))*SQRT((AE121-AO$3)^2+(AF121-AO$4)^2),"-")</f>
        <v>7.6981627390733682E-3</v>
      </c>
      <c r="AN121" s="137">
        <f t="shared" ref="AN121:AN124" si="323">IF(ISNUMBER(AL121),AG121-AO121,"-")</f>
        <v>1.3821999999999974</v>
      </c>
      <c r="AO121" s="138">
        <f t="shared" ref="AO121:AO124" si="324">IF(ISNUMBER(AF121),((AL121-$AO$7)*AO$9)+AO$8,"-")</f>
        <v>-122.95399999999999</v>
      </c>
      <c r="AQ121" s="145"/>
      <c r="AV121" s="131">
        <f t="shared" ref="AV121:AV124" si="325">AB121</f>
        <v>45686</v>
      </c>
      <c r="AW121" s="142" t="str">
        <f t="shared" ref="AW121:AW124" si="326">AC121</f>
        <v>A</v>
      </c>
      <c r="AX121" s="143">
        <f t="shared" ref="AX121:AX124" si="327">AE121</f>
        <v>823147.64954999997</v>
      </c>
      <c r="AY121" s="143">
        <f t="shared" ref="AY121:AY124" si="328">AF121</f>
        <v>1091710.0843</v>
      </c>
      <c r="AZ121" s="143">
        <f t="shared" ref="AZ121:AZ124" si="329">AG121</f>
        <v>-121.5718</v>
      </c>
      <c r="BA121" s="143">
        <f t="shared" ref="BA121:BA124" si="330">AL121+$AY$1</f>
        <v>2.6861057725511066</v>
      </c>
      <c r="BB121" s="143">
        <f t="shared" ref="BB121:BB124" si="331">AM121</f>
        <v>7.6981627390733682E-3</v>
      </c>
      <c r="BC121" s="144">
        <f t="shared" ref="BC121:BC124" si="332">AN121</f>
        <v>1.3821999999999974</v>
      </c>
    </row>
    <row r="122" spans="28:55" ht="15">
      <c r="AB122" s="131">
        <v>45686</v>
      </c>
      <c r="AC122" s="132" t="s">
        <v>65</v>
      </c>
      <c r="AD122" s="133" t="s">
        <v>139</v>
      </c>
      <c r="AE122" s="132">
        <v>823147.59324999992</v>
      </c>
      <c r="AF122" s="132">
        <v>1091710.2522</v>
      </c>
      <c r="AG122" s="132">
        <v>-121.90955</v>
      </c>
      <c r="AL122" s="135">
        <f t="shared" si="321"/>
        <v>2.8620675914513551</v>
      </c>
      <c r="AM122" s="136">
        <f t="shared" si="322"/>
        <v>2.763652514944355E-2</v>
      </c>
      <c r="AN122" s="137">
        <f t="shared" si="323"/>
        <v>1.0444499999999977</v>
      </c>
      <c r="AO122" s="138">
        <f t="shared" si="324"/>
        <v>-122.95399999999999</v>
      </c>
      <c r="AQ122" s="145"/>
      <c r="AV122" s="131">
        <f t="shared" si="325"/>
        <v>45686</v>
      </c>
      <c r="AW122" s="142" t="str">
        <f t="shared" si="326"/>
        <v>B</v>
      </c>
      <c r="AX122" s="143">
        <f t="shared" si="327"/>
        <v>823147.59324999992</v>
      </c>
      <c r="AY122" s="143">
        <f t="shared" si="328"/>
        <v>1091710.2522</v>
      </c>
      <c r="AZ122" s="143">
        <f t="shared" si="329"/>
        <v>-121.90955</v>
      </c>
      <c r="BA122" s="143">
        <f t="shared" si="330"/>
        <v>2.8620675914513551</v>
      </c>
      <c r="BB122" s="143">
        <f t="shared" si="331"/>
        <v>2.763652514944355E-2</v>
      </c>
      <c r="BC122" s="144">
        <f t="shared" si="332"/>
        <v>1.0444499999999977</v>
      </c>
    </row>
    <row r="123" spans="28:55" ht="15">
      <c r="AB123" s="131">
        <v>45686</v>
      </c>
      <c r="AC123" s="146" t="s">
        <v>67</v>
      </c>
      <c r="AD123" s="133" t="s">
        <v>140</v>
      </c>
      <c r="AE123" s="132">
        <v>823149.98944999999</v>
      </c>
      <c r="AF123" s="132">
        <v>1091705.0826999999</v>
      </c>
      <c r="AG123" s="132">
        <v>-121.78325</v>
      </c>
      <c r="AL123" s="135">
        <f t="shared" si="321"/>
        <v>-2.8357679535557452</v>
      </c>
      <c r="AM123" s="136">
        <f t="shared" si="322"/>
        <v>1.4415586997153356E-2</v>
      </c>
      <c r="AN123" s="137">
        <f t="shared" si="323"/>
        <v>1.1707499999999982</v>
      </c>
      <c r="AO123" s="138">
        <f t="shared" si="324"/>
        <v>-122.95399999999999</v>
      </c>
      <c r="AQ123" s="145"/>
      <c r="AV123" s="131">
        <f t="shared" si="325"/>
        <v>45686</v>
      </c>
      <c r="AW123" s="142" t="str">
        <f t="shared" si="326"/>
        <v>D</v>
      </c>
      <c r="AX123" s="143">
        <f t="shared" si="327"/>
        <v>823149.98944999999</v>
      </c>
      <c r="AY123" s="143">
        <f t="shared" si="328"/>
        <v>1091705.0826999999</v>
      </c>
      <c r="AZ123" s="143">
        <f t="shared" si="329"/>
        <v>-121.78325</v>
      </c>
      <c r="BA123" s="143">
        <f t="shared" si="330"/>
        <v>-2.8357679535557452</v>
      </c>
      <c r="BB123" s="143">
        <f t="shared" si="331"/>
        <v>1.4415586997153356E-2</v>
      </c>
      <c r="BC123" s="144">
        <f t="shared" si="332"/>
        <v>1.1707499999999982</v>
      </c>
    </row>
    <row r="124" spans="28:55" ht="15">
      <c r="AB124" s="131">
        <v>45686</v>
      </c>
      <c r="AC124" s="146" t="s">
        <v>66</v>
      </c>
      <c r="AD124" s="133" t="s">
        <v>141</v>
      </c>
      <c r="AE124" s="132">
        <v>823147.56835000007</v>
      </c>
      <c r="AF124" s="132">
        <v>1091710.4046</v>
      </c>
      <c r="AG124" s="132">
        <v>-122.35705</v>
      </c>
      <c r="AL124" s="135">
        <f t="shared" si="321"/>
        <v>3.0107106935240311</v>
      </c>
      <c r="AM124" s="136">
        <f t="shared" si="322"/>
        <v>6.9481455604608902E-2</v>
      </c>
      <c r="AN124" s="137">
        <f t="shared" si="323"/>
        <v>0.59694999999999254</v>
      </c>
      <c r="AO124" s="138">
        <f t="shared" si="324"/>
        <v>-122.95399999999999</v>
      </c>
      <c r="AQ124" s="145"/>
      <c r="AV124" s="131">
        <f t="shared" si="325"/>
        <v>45686</v>
      </c>
      <c r="AW124" s="142" t="str">
        <f t="shared" si="326"/>
        <v>C</v>
      </c>
      <c r="AX124" s="143">
        <f t="shared" si="327"/>
        <v>823147.56835000007</v>
      </c>
      <c r="AY124" s="143">
        <f t="shared" si="328"/>
        <v>1091710.4046</v>
      </c>
      <c r="AZ124" s="143">
        <f t="shared" si="329"/>
        <v>-122.35705</v>
      </c>
      <c r="BA124" s="143">
        <f t="shared" si="330"/>
        <v>3.0107106935240311</v>
      </c>
      <c r="BB124" s="143">
        <f t="shared" si="331"/>
        <v>6.9481455604608902E-2</v>
      </c>
      <c r="BC124" s="144">
        <f t="shared" si="332"/>
        <v>0.59694999999999254</v>
      </c>
    </row>
    <row r="125" spans="28:55" ht="15">
      <c r="AB125" s="131">
        <v>45695</v>
      </c>
      <c r="AC125" s="132" t="s">
        <v>64</v>
      </c>
      <c r="AD125" s="133" t="s">
        <v>185</v>
      </c>
      <c r="AE125" s="132">
        <v>823147.64969999995</v>
      </c>
      <c r="AF125" s="132">
        <v>1091710.0845000001</v>
      </c>
      <c r="AG125" s="132">
        <v>-121.5715</v>
      </c>
      <c r="AL125" s="135">
        <f t="shared" ref="AL125:AL128" si="333">IF(ISNUMBER(AE125),COS(ATAN2(AF125-AO$4,AE125-AO$3)-(AO$5/200*PI()))*SQRT((AE125-AO$3)^2+(AF125-AO$4)^2),"-")</f>
        <v>2.686223634119393</v>
      </c>
      <c r="AM125" s="136">
        <f t="shared" ref="AM125:AM128" si="334">IF(ISNUMBER(AE125),SIN(ATAN2(AF125-AO$4,AE125-AO$3)-(AO$5/200*PI()))*SQRT((AE125-AO$3)^2+(AF125-AO$4)^2),"-")</f>
        <v>7.9186365345524281E-3</v>
      </c>
      <c r="AN125" s="137">
        <f t="shared" ref="AN125:AN128" si="335">IF(ISNUMBER(AL125),AG125-AO125,"-")</f>
        <v>1.3824999999999932</v>
      </c>
      <c r="AO125" s="138">
        <f t="shared" ref="AO125:AO128" si="336">IF(ISNUMBER(AF125),((AL125-$AO$7)*AO$9)+AO$8,"-")</f>
        <v>-122.95399999999999</v>
      </c>
      <c r="AQ125" s="145"/>
      <c r="AV125" s="131">
        <f t="shared" ref="AV125:AV128" si="337">AB125</f>
        <v>45695</v>
      </c>
      <c r="AW125" s="142" t="str">
        <f t="shared" ref="AW125:AW128" si="338">AC125</f>
        <v>A</v>
      </c>
      <c r="AX125" s="143">
        <f t="shared" ref="AX125:AX128" si="339">AE125</f>
        <v>823147.64969999995</v>
      </c>
      <c r="AY125" s="143">
        <f t="shared" ref="AY125:AY128" si="340">AF125</f>
        <v>1091710.0845000001</v>
      </c>
      <c r="AZ125" s="143">
        <f t="shared" ref="AZ125:AZ128" si="341">AG125</f>
        <v>-121.5715</v>
      </c>
      <c r="BA125" s="143">
        <f t="shared" ref="BA125:BA128" si="342">AL125+$AY$1</f>
        <v>2.686223634119393</v>
      </c>
      <c r="BB125" s="143">
        <f t="shared" ref="BB125:BB128" si="343">AM125</f>
        <v>7.9186365345524281E-3</v>
      </c>
      <c r="BC125" s="144">
        <f t="shared" ref="BC125:BC128" si="344">AN125</f>
        <v>1.3824999999999932</v>
      </c>
    </row>
    <row r="126" spans="28:55" ht="15">
      <c r="AB126" s="131">
        <v>45695</v>
      </c>
      <c r="AC126" s="132" t="s">
        <v>65</v>
      </c>
      <c r="AD126" s="133" t="s">
        <v>186</v>
      </c>
      <c r="AE126" s="132">
        <v>823147.59290000005</v>
      </c>
      <c r="AF126" s="132">
        <v>1091710.2512999999</v>
      </c>
      <c r="AG126" s="132">
        <v>-121.90950000000001</v>
      </c>
      <c r="AL126" s="135">
        <f t="shared" si="333"/>
        <v>2.8613998540177565</v>
      </c>
      <c r="AM126" s="136">
        <f t="shared" si="334"/>
        <v>2.6938938730952787E-2</v>
      </c>
      <c r="AN126" s="137">
        <f t="shared" si="335"/>
        <v>1.0444999999999851</v>
      </c>
      <c r="AO126" s="138">
        <f t="shared" si="336"/>
        <v>-122.95399999999999</v>
      </c>
      <c r="AQ126" s="145"/>
      <c r="AV126" s="131">
        <f t="shared" si="337"/>
        <v>45695</v>
      </c>
      <c r="AW126" s="142" t="str">
        <f t="shared" si="338"/>
        <v>B</v>
      </c>
      <c r="AX126" s="143">
        <f t="shared" si="339"/>
        <v>823147.59290000005</v>
      </c>
      <c r="AY126" s="143">
        <f t="shared" si="340"/>
        <v>1091710.2512999999</v>
      </c>
      <c r="AZ126" s="143">
        <f t="shared" si="341"/>
        <v>-121.90950000000001</v>
      </c>
      <c r="BA126" s="143">
        <f t="shared" si="342"/>
        <v>2.8613998540177565</v>
      </c>
      <c r="BB126" s="143">
        <f t="shared" si="343"/>
        <v>2.6938938730952787E-2</v>
      </c>
      <c r="BC126" s="144">
        <f t="shared" si="344"/>
        <v>1.0444999999999851</v>
      </c>
    </row>
    <row r="127" spans="28:55" ht="15">
      <c r="AB127" s="131">
        <v>45695</v>
      </c>
      <c r="AC127" s="146" t="s">
        <v>66</v>
      </c>
      <c r="AD127" s="133" t="s">
        <v>187</v>
      </c>
      <c r="AE127" s="132">
        <v>823147.5686</v>
      </c>
      <c r="AF127" s="132">
        <v>1091710.4044000001</v>
      </c>
      <c r="AG127" s="132">
        <v>-122.3571</v>
      </c>
      <c r="AL127" s="135">
        <f t="shared" si="333"/>
        <v>3.0104237727794239</v>
      </c>
      <c r="AM127" s="136">
        <f t="shared" si="334"/>
        <v>6.9623499280389217E-2</v>
      </c>
      <c r="AN127" s="137">
        <f t="shared" si="335"/>
        <v>0.59689999999999088</v>
      </c>
      <c r="AO127" s="138">
        <f t="shared" si="336"/>
        <v>-122.95399999999999</v>
      </c>
      <c r="AQ127" s="145"/>
      <c r="AV127" s="131">
        <f t="shared" si="337"/>
        <v>45695</v>
      </c>
      <c r="AW127" s="142" t="str">
        <f t="shared" si="338"/>
        <v>C</v>
      </c>
      <c r="AX127" s="143">
        <f t="shared" si="339"/>
        <v>823147.5686</v>
      </c>
      <c r="AY127" s="143">
        <f t="shared" si="340"/>
        <v>1091710.4044000001</v>
      </c>
      <c r="AZ127" s="143">
        <f t="shared" si="341"/>
        <v>-122.3571</v>
      </c>
      <c r="BA127" s="143">
        <f t="shared" si="342"/>
        <v>3.0104237727794239</v>
      </c>
      <c r="BB127" s="143">
        <f t="shared" si="343"/>
        <v>6.9623499280389217E-2</v>
      </c>
      <c r="BC127" s="144">
        <f t="shared" si="344"/>
        <v>0.59689999999999088</v>
      </c>
    </row>
    <row r="128" spans="28:55" ht="15">
      <c r="AB128" s="131">
        <v>45695</v>
      </c>
      <c r="AC128" s="146" t="s">
        <v>67</v>
      </c>
      <c r="AD128" s="133" t="s">
        <v>188</v>
      </c>
      <c r="AE128" s="132">
        <v>823149.99010000005</v>
      </c>
      <c r="AF128" s="132">
        <v>1091705.0828</v>
      </c>
      <c r="AG128" s="134">
        <v>-121.78279999999999</v>
      </c>
      <c r="AL128" s="135">
        <f t="shared" si="333"/>
        <v>-2.8359520457300742</v>
      </c>
      <c r="AM128" s="136">
        <f t="shared" si="334"/>
        <v>1.5046942809601711E-2</v>
      </c>
      <c r="AN128" s="137">
        <f t="shared" si="335"/>
        <v>1.1711999999999989</v>
      </c>
      <c r="AO128" s="138">
        <f t="shared" si="336"/>
        <v>-122.95399999999999</v>
      </c>
      <c r="AQ128" s="145"/>
      <c r="AV128" s="131">
        <f t="shared" si="337"/>
        <v>45695</v>
      </c>
      <c r="AW128" s="142" t="str">
        <f t="shared" si="338"/>
        <v>D</v>
      </c>
      <c r="AX128" s="143">
        <f t="shared" si="339"/>
        <v>823149.99010000005</v>
      </c>
      <c r="AY128" s="143">
        <f t="shared" si="340"/>
        <v>1091705.0828</v>
      </c>
      <c r="AZ128" s="143">
        <f t="shared" si="341"/>
        <v>-121.78279999999999</v>
      </c>
      <c r="BA128" s="143">
        <f t="shared" si="342"/>
        <v>-2.8359520457300742</v>
      </c>
      <c r="BB128" s="143">
        <f t="shared" si="343"/>
        <v>1.5046942809601711E-2</v>
      </c>
      <c r="BC128" s="144">
        <f t="shared" si="344"/>
        <v>1.1711999999999989</v>
      </c>
    </row>
    <row r="129" spans="28:55" ht="15">
      <c r="AB129" s="131">
        <v>45701</v>
      </c>
      <c r="AC129" s="132" t="s">
        <v>64</v>
      </c>
      <c r="AD129" s="133" t="s">
        <v>142</v>
      </c>
      <c r="AE129" s="132">
        <v>823147.64980000001</v>
      </c>
      <c r="AF129" s="132">
        <v>1091710.0844000001</v>
      </c>
      <c r="AG129" s="134">
        <v>-121.57149999999999</v>
      </c>
      <c r="AL129" s="135">
        <f t="shared" ref="AL129:AL132" si="345">IF(ISNUMBER(AE129),COS(ATAN2(AF129-AO$4,AE129-AO$3)-(AO$5/200*PI()))*SQRT((AE129-AO$3)^2+(AF129-AO$4)^2),"-")</f>
        <v>2.6860907398133138</v>
      </c>
      <c r="AM129" s="136">
        <f t="shared" ref="AM129:AM132" si="346">IF(ISNUMBER(AE129),SIN(ATAN2(AF129-AO$4,AE129-AO$3)-(AO$5/200*PI()))*SQRT((AE129-AO$3)^2+(AF129-AO$4)^2),"-")</f>
        <v>7.9670010731607201E-3</v>
      </c>
      <c r="AN129" s="137">
        <f t="shared" ref="AN129:AN132" si="347">IF(ISNUMBER(AL129),AG129-AO129,"-")</f>
        <v>1.3825000000000074</v>
      </c>
      <c r="AO129" s="138">
        <f t="shared" ref="AO129:AO132" si="348">IF(ISNUMBER(AF129),((AL129-$AO$7)*AO$9)+AO$8,"-")</f>
        <v>-122.95399999999999</v>
      </c>
      <c r="AQ129" s="145"/>
      <c r="AV129" s="131">
        <f t="shared" ref="AV129:AV132" si="349">AB129</f>
        <v>45701</v>
      </c>
      <c r="AW129" s="142" t="str">
        <f t="shared" ref="AW129:AW132" si="350">AC129</f>
        <v>A</v>
      </c>
      <c r="AX129" s="143">
        <f t="shared" ref="AX129:AX132" si="351">AE129</f>
        <v>823147.64980000001</v>
      </c>
      <c r="AY129" s="143">
        <f t="shared" ref="AY129:AY132" si="352">AF129</f>
        <v>1091710.0844000001</v>
      </c>
      <c r="AZ129" s="143">
        <f t="shared" ref="AZ129:AZ132" si="353">AG129</f>
        <v>-121.57149999999999</v>
      </c>
      <c r="BA129" s="143">
        <f t="shared" ref="BA129:BA132" si="354">AL129+$AY$1</f>
        <v>2.6860907398133138</v>
      </c>
      <c r="BB129" s="143">
        <f t="shared" ref="BB129:BB132" si="355">AM129</f>
        <v>7.9670010731607201E-3</v>
      </c>
      <c r="BC129" s="144">
        <f t="shared" ref="BC129:BC132" si="356">AN129</f>
        <v>1.3825000000000074</v>
      </c>
    </row>
    <row r="130" spans="28:55" ht="15">
      <c r="AB130" s="131">
        <v>45701</v>
      </c>
      <c r="AC130" s="132" t="s">
        <v>65</v>
      </c>
      <c r="AD130" s="133" t="s">
        <v>189</v>
      </c>
      <c r="AE130" s="132">
        <v>823147.59299999999</v>
      </c>
      <c r="AF130" s="132">
        <v>1091710.2520999999</v>
      </c>
      <c r="AG130" s="134">
        <v>-121.90909999999998</v>
      </c>
      <c r="AL130" s="135">
        <f t="shared" si="345"/>
        <v>2.8620826241399451</v>
      </c>
      <c r="AM130" s="136">
        <f t="shared" si="346"/>
        <v>2.7367686920863044E-2</v>
      </c>
      <c r="AN130" s="137">
        <f t="shared" si="347"/>
        <v>1.0449000000000126</v>
      </c>
      <c r="AO130" s="138">
        <f t="shared" si="348"/>
        <v>-122.95399999999999</v>
      </c>
      <c r="AQ130" s="145"/>
      <c r="AV130" s="131">
        <f t="shared" si="349"/>
        <v>45701</v>
      </c>
      <c r="AW130" s="142" t="str">
        <f t="shared" si="350"/>
        <v>B</v>
      </c>
      <c r="AX130" s="143">
        <f t="shared" si="351"/>
        <v>823147.59299999999</v>
      </c>
      <c r="AY130" s="143">
        <f t="shared" si="352"/>
        <v>1091710.2520999999</v>
      </c>
      <c r="AZ130" s="143">
        <f t="shared" si="353"/>
        <v>-121.90909999999998</v>
      </c>
      <c r="BA130" s="143">
        <f t="shared" si="354"/>
        <v>2.8620826241399451</v>
      </c>
      <c r="BB130" s="143">
        <f t="shared" si="355"/>
        <v>2.7367686920863044E-2</v>
      </c>
      <c r="BC130" s="144">
        <f t="shared" si="356"/>
        <v>1.0449000000000126</v>
      </c>
    </row>
    <row r="131" spans="28:55" ht="15">
      <c r="AB131" s="131">
        <v>45701</v>
      </c>
      <c r="AC131" s="146" t="s">
        <v>66</v>
      </c>
      <c r="AD131" s="133" t="s">
        <v>144</v>
      </c>
      <c r="AE131" s="132">
        <v>823147.56900000002</v>
      </c>
      <c r="AF131" s="132">
        <v>1091710.4046</v>
      </c>
      <c r="AG131" s="134">
        <v>-122.35709999999999</v>
      </c>
      <c r="AL131" s="135">
        <f t="shared" si="345"/>
        <v>3.0104359719765617</v>
      </c>
      <c r="AM131" s="136">
        <f t="shared" si="346"/>
        <v>7.0070546427814115E-2</v>
      </c>
      <c r="AN131" s="137">
        <f t="shared" si="347"/>
        <v>0.59690000000000509</v>
      </c>
      <c r="AO131" s="138">
        <f t="shared" si="348"/>
        <v>-122.95399999999999</v>
      </c>
      <c r="AQ131" s="145"/>
      <c r="AV131" s="131">
        <f t="shared" si="349"/>
        <v>45701</v>
      </c>
      <c r="AW131" s="142" t="str">
        <f t="shared" si="350"/>
        <v>C</v>
      </c>
      <c r="AX131" s="143">
        <f t="shared" si="351"/>
        <v>823147.56900000002</v>
      </c>
      <c r="AY131" s="143">
        <f t="shared" si="352"/>
        <v>1091710.4046</v>
      </c>
      <c r="AZ131" s="143">
        <f t="shared" si="353"/>
        <v>-122.35709999999999</v>
      </c>
      <c r="BA131" s="143">
        <f t="shared" si="354"/>
        <v>3.0104359719765617</v>
      </c>
      <c r="BB131" s="143">
        <f t="shared" si="355"/>
        <v>7.0070546427814115E-2</v>
      </c>
      <c r="BC131" s="144">
        <f t="shared" si="356"/>
        <v>0.59690000000000509</v>
      </c>
    </row>
    <row r="132" spans="28:55" ht="15">
      <c r="AB132" s="131">
        <v>45701</v>
      </c>
      <c r="AC132" s="146" t="s">
        <v>67</v>
      </c>
      <c r="AD132" s="133" t="s">
        <v>145</v>
      </c>
      <c r="AE132" s="132">
        <v>823149.98990000004</v>
      </c>
      <c r="AF132" s="132">
        <v>1091705.0828</v>
      </c>
      <c r="AG132" s="134">
        <v>-121.78299999999999</v>
      </c>
      <c r="AL132" s="135">
        <f t="shared" si="345"/>
        <v>-2.8358675160118056</v>
      </c>
      <c r="AM132" s="136">
        <f t="shared" si="346"/>
        <v>1.4865684070421856E-2</v>
      </c>
      <c r="AN132" s="137">
        <f t="shared" si="347"/>
        <v>1.1710000000000065</v>
      </c>
      <c r="AO132" s="138">
        <f t="shared" si="348"/>
        <v>-122.95399999999999</v>
      </c>
      <c r="AQ132" s="145"/>
      <c r="AV132" s="131">
        <f t="shared" si="349"/>
        <v>45701</v>
      </c>
      <c r="AW132" s="142" t="str">
        <f t="shared" si="350"/>
        <v>D</v>
      </c>
      <c r="AX132" s="143">
        <f t="shared" si="351"/>
        <v>823149.98990000004</v>
      </c>
      <c r="AY132" s="143">
        <f t="shared" si="352"/>
        <v>1091705.0828</v>
      </c>
      <c r="AZ132" s="143">
        <f t="shared" si="353"/>
        <v>-121.78299999999999</v>
      </c>
      <c r="BA132" s="143">
        <f t="shared" si="354"/>
        <v>-2.8358675160118056</v>
      </c>
      <c r="BB132" s="143">
        <f t="shared" si="355"/>
        <v>1.4865684070421856E-2</v>
      </c>
      <c r="BC132" s="144">
        <f t="shared" si="356"/>
        <v>1.1710000000000065</v>
      </c>
    </row>
    <row r="133" spans="28:55" ht="15">
      <c r="AB133" s="131">
        <v>45708</v>
      </c>
      <c r="AC133" s="132" t="s">
        <v>64</v>
      </c>
      <c r="AD133" s="133" t="s">
        <v>190</v>
      </c>
      <c r="AE133" s="132">
        <v>823147.6496</v>
      </c>
      <c r="AF133" s="132">
        <v>1091710.0841000001</v>
      </c>
      <c r="AG133" s="134">
        <v>-121.5716</v>
      </c>
      <c r="AL133" s="135">
        <f t="shared" ref="AL133:AL136" si="357">IF(ISNUMBER(AE133),COS(ATAN2(AF133-AO$4,AE133-AO$3)-(AO$5/200*PI()))*SQRT((AE133-AO$3)^2+(AF133-AO$4)^2),"-")</f>
        <v>2.6859033814755651</v>
      </c>
      <c r="AM133" s="136">
        <f t="shared" ref="AM133:AM136" si="358">IF(ISNUMBER(AE133),SIN(ATAN2(AF133-AO$4,AE133-AO$3)-(AO$5/200*PI()))*SQRT((AE133-AO$3)^2+(AF133-AO$4)^2),"-")</f>
        <v>7.6589477811806481E-3</v>
      </c>
      <c r="AN133" s="137">
        <f t="shared" ref="AN133:AN136" si="359">IF(ISNUMBER(AL133),AG133-AO133,"-")</f>
        <v>1.3823999999999899</v>
      </c>
      <c r="AO133" s="138">
        <f t="shared" ref="AO133:AO136" si="360">IF(ISNUMBER(AF133),((AL133-$AO$7)*AO$9)+AO$8,"-")</f>
        <v>-122.95399999999999</v>
      </c>
      <c r="AQ133" s="145"/>
      <c r="AV133" s="131">
        <f t="shared" ref="AV133:AV136" si="361">AB133</f>
        <v>45708</v>
      </c>
      <c r="AW133" s="142" t="str">
        <f t="shared" ref="AW133:AW136" si="362">AC133</f>
        <v>A</v>
      </c>
      <c r="AX133" s="143">
        <f t="shared" ref="AX133:AX136" si="363">AE133</f>
        <v>823147.6496</v>
      </c>
      <c r="AY133" s="143">
        <f t="shared" ref="AY133:AY136" si="364">AF133</f>
        <v>1091710.0841000001</v>
      </c>
      <c r="AZ133" s="143">
        <f t="shared" ref="AZ133:AZ136" si="365">AG133</f>
        <v>-121.5716</v>
      </c>
      <c r="BA133" s="143">
        <f t="shared" ref="BA133:BA136" si="366">AL133+$AY$1</f>
        <v>2.6859033814755651</v>
      </c>
      <c r="BB133" s="143">
        <f t="shared" ref="BB133:BB136" si="367">AM133</f>
        <v>7.6589477811806481E-3</v>
      </c>
      <c r="BC133" s="144">
        <f t="shared" ref="BC133:BC136" si="368">AN133</f>
        <v>1.3823999999999899</v>
      </c>
    </row>
    <row r="134" spans="28:55" ht="15">
      <c r="AB134" s="131">
        <v>45708</v>
      </c>
      <c r="AC134" s="132" t="s">
        <v>65</v>
      </c>
      <c r="AD134" s="133" t="s">
        <v>191</v>
      </c>
      <c r="AE134" s="132">
        <v>823147.59310000006</v>
      </c>
      <c r="AF134" s="132">
        <v>1091710.2516999999</v>
      </c>
      <c r="AG134" s="134">
        <v>-121.9096</v>
      </c>
      <c r="AL134" s="135">
        <f t="shared" si="357"/>
        <v>2.861677841777849</v>
      </c>
      <c r="AM134" s="136">
        <f t="shared" si="358"/>
        <v>2.7289256906669321E-2</v>
      </c>
      <c r="AN134" s="137">
        <f t="shared" si="359"/>
        <v>1.044399999999996</v>
      </c>
      <c r="AO134" s="138">
        <f t="shared" si="360"/>
        <v>-122.95399999999999</v>
      </c>
      <c r="AQ134" s="145"/>
      <c r="AV134" s="131">
        <f t="shared" si="361"/>
        <v>45708</v>
      </c>
      <c r="AW134" s="142" t="str">
        <f t="shared" si="362"/>
        <v>B</v>
      </c>
      <c r="AX134" s="143">
        <f t="shared" si="363"/>
        <v>823147.59310000006</v>
      </c>
      <c r="AY134" s="143">
        <f t="shared" si="364"/>
        <v>1091710.2516999999</v>
      </c>
      <c r="AZ134" s="143">
        <f t="shared" si="365"/>
        <v>-121.9096</v>
      </c>
      <c r="BA134" s="143">
        <f t="shared" si="366"/>
        <v>2.861677841777849</v>
      </c>
      <c r="BB134" s="143">
        <f t="shared" si="367"/>
        <v>2.7289256906669321E-2</v>
      </c>
      <c r="BC134" s="144">
        <f t="shared" si="368"/>
        <v>1.044399999999996</v>
      </c>
    </row>
    <row r="135" spans="28:55" ht="15">
      <c r="AB135" s="131">
        <v>45708</v>
      </c>
      <c r="AC135" s="146" t="s">
        <v>66</v>
      </c>
      <c r="AD135" s="133" t="s">
        <v>192</v>
      </c>
      <c r="AE135" s="132">
        <v>823147.5686</v>
      </c>
      <c r="AF135" s="132">
        <v>1091710.4040999999</v>
      </c>
      <c r="AG135" s="134">
        <v>-122.3571</v>
      </c>
      <c r="AL135" s="135">
        <f t="shared" si="357"/>
        <v>3.0101518845123931</v>
      </c>
      <c r="AM135" s="136">
        <f t="shared" si="358"/>
        <v>6.9496704629181269E-2</v>
      </c>
      <c r="AN135" s="137">
        <f t="shared" si="359"/>
        <v>0.59689999999999088</v>
      </c>
      <c r="AO135" s="138">
        <f t="shared" si="360"/>
        <v>-122.95399999999999</v>
      </c>
      <c r="AQ135" s="145"/>
      <c r="AV135" s="131">
        <f t="shared" si="361"/>
        <v>45708</v>
      </c>
      <c r="AW135" s="142" t="str">
        <f t="shared" si="362"/>
        <v>C</v>
      </c>
      <c r="AX135" s="143">
        <f t="shared" si="363"/>
        <v>823147.5686</v>
      </c>
      <c r="AY135" s="143">
        <f t="shared" si="364"/>
        <v>1091710.4040999999</v>
      </c>
      <c r="AZ135" s="143">
        <f t="shared" si="365"/>
        <v>-122.3571</v>
      </c>
      <c r="BA135" s="143">
        <f t="shared" si="366"/>
        <v>3.0101518845123931</v>
      </c>
      <c r="BB135" s="143">
        <f t="shared" si="367"/>
        <v>6.9496704629181269E-2</v>
      </c>
      <c r="BC135" s="144">
        <f t="shared" si="368"/>
        <v>0.59689999999999088</v>
      </c>
    </row>
    <row r="136" spans="28:55" ht="15">
      <c r="AB136" s="131">
        <v>45708</v>
      </c>
      <c r="AC136" s="146" t="s">
        <v>67</v>
      </c>
      <c r="AD136" s="133" t="s">
        <v>193</v>
      </c>
      <c r="AE136" s="132">
        <v>823149.98950000003</v>
      </c>
      <c r="AF136" s="132">
        <v>1091705.0825</v>
      </c>
      <c r="AG136" s="134">
        <v>-121.78319999999999</v>
      </c>
      <c r="AL136" s="135">
        <f t="shared" si="357"/>
        <v>-2.8359703446312872</v>
      </c>
      <c r="AM136" s="136">
        <f t="shared" si="358"/>
        <v>1.4376372039259577E-2</v>
      </c>
      <c r="AN136" s="137">
        <f t="shared" si="359"/>
        <v>1.1707999999999998</v>
      </c>
      <c r="AO136" s="138">
        <f t="shared" si="360"/>
        <v>-122.95399999999999</v>
      </c>
      <c r="AQ136" s="145"/>
      <c r="AV136" s="131">
        <f t="shared" si="361"/>
        <v>45708</v>
      </c>
      <c r="AW136" s="142" t="str">
        <f t="shared" si="362"/>
        <v>D</v>
      </c>
      <c r="AX136" s="143">
        <f t="shared" si="363"/>
        <v>823149.98950000003</v>
      </c>
      <c r="AY136" s="143">
        <f t="shared" si="364"/>
        <v>1091705.0825</v>
      </c>
      <c r="AZ136" s="143">
        <f t="shared" si="365"/>
        <v>-121.78319999999999</v>
      </c>
      <c r="BA136" s="143">
        <f t="shared" si="366"/>
        <v>-2.8359703446312872</v>
      </c>
      <c r="BB136" s="143">
        <f t="shared" si="367"/>
        <v>1.4376372039259577E-2</v>
      </c>
      <c r="BC136" s="144">
        <f t="shared" si="368"/>
        <v>1.1707999999999998</v>
      </c>
    </row>
    <row r="137" spans="28:55" ht="15">
      <c r="AB137" s="131">
        <v>45715</v>
      </c>
      <c r="AC137" s="132" t="s">
        <v>64</v>
      </c>
      <c r="AD137" s="133" t="s">
        <v>195</v>
      </c>
      <c r="AE137" s="132">
        <v>823147.6496</v>
      </c>
      <c r="AF137" s="132">
        <v>1091710.0837999999</v>
      </c>
      <c r="AG137" s="134">
        <v>-121.5715</v>
      </c>
      <c r="AL137" s="135">
        <f t="shared" ref="AL137:AL140" si="369">IF(ISNUMBER(AE137),COS(ATAN2(AF137-AO$4,AE137-AO$3)-(AO$5/200*PI()))*SQRT((AE137-AO$3)^2+(AF137-AO$4)^2),"-")</f>
        <v>2.6856314932085343</v>
      </c>
      <c r="AM137" s="136">
        <f t="shared" ref="AM137:AM140" si="370">IF(ISNUMBER(AE137),SIN(ATAN2(AF137-AO$4,AE137-AO$3)-(AO$5/200*PI()))*SQRT((AE137-AO$3)^2+(AF137-AO$4)^2),"-")</f>
        <v>7.5321531299731318E-3</v>
      </c>
      <c r="AN137" s="137">
        <f t="shared" ref="AN137:AN140" si="371">IF(ISNUMBER(AL137),AG137-AO137,"-")</f>
        <v>1.3824999999999932</v>
      </c>
      <c r="AO137" s="138">
        <f t="shared" ref="AO137:AO140" si="372">IF(ISNUMBER(AF137),((AL137-$AO$7)*AO$9)+AO$8,"-")</f>
        <v>-122.95399999999999</v>
      </c>
      <c r="AQ137" s="145"/>
      <c r="AV137" s="131">
        <f t="shared" ref="AV137:AV140" si="373">AB137</f>
        <v>45715</v>
      </c>
      <c r="AW137" s="142" t="str">
        <f t="shared" ref="AW137:AW140" si="374">AC137</f>
        <v>A</v>
      </c>
      <c r="AX137" s="143">
        <f t="shared" ref="AX137:AX140" si="375">AE137</f>
        <v>823147.6496</v>
      </c>
      <c r="AY137" s="143">
        <f t="shared" ref="AY137:AY140" si="376">AF137</f>
        <v>1091710.0837999999</v>
      </c>
      <c r="AZ137" s="143">
        <f t="shared" ref="AZ137:AZ140" si="377">AG137</f>
        <v>-121.5715</v>
      </c>
      <c r="BA137" s="143">
        <f t="shared" ref="BA137:BA140" si="378">AL137+$AY$1</f>
        <v>2.6856314932085343</v>
      </c>
      <c r="BB137" s="143">
        <f t="shared" ref="BB137:BB140" si="379">AM137</f>
        <v>7.5321531299731318E-3</v>
      </c>
      <c r="BC137" s="144">
        <f t="shared" ref="BC137:BC140" si="380">AN137</f>
        <v>1.3824999999999932</v>
      </c>
    </row>
    <row r="138" spans="28:55" ht="15">
      <c r="AB138" s="131">
        <v>45715</v>
      </c>
      <c r="AC138" s="132" t="s">
        <v>65</v>
      </c>
      <c r="AD138" s="133" t="s">
        <v>196</v>
      </c>
      <c r="AE138" s="132">
        <v>823147.59330000007</v>
      </c>
      <c r="AF138" s="132">
        <v>1091710.2515</v>
      </c>
      <c r="AG138" s="134">
        <v>-121.9096</v>
      </c>
      <c r="AL138" s="135">
        <f t="shared" si="369"/>
        <v>2.8614120534259069</v>
      </c>
      <c r="AM138" s="136">
        <f t="shared" si="370"/>
        <v>2.738598597678444E-2</v>
      </c>
      <c r="AN138" s="137">
        <f t="shared" si="371"/>
        <v>1.044399999999996</v>
      </c>
      <c r="AO138" s="138">
        <f t="shared" si="372"/>
        <v>-122.95399999999999</v>
      </c>
      <c r="AQ138" s="145"/>
      <c r="AV138" s="131">
        <f t="shared" si="373"/>
        <v>45715</v>
      </c>
      <c r="AW138" s="142" t="str">
        <f t="shared" si="374"/>
        <v>B</v>
      </c>
      <c r="AX138" s="143">
        <f t="shared" si="375"/>
        <v>823147.59330000007</v>
      </c>
      <c r="AY138" s="143">
        <f t="shared" si="376"/>
        <v>1091710.2515</v>
      </c>
      <c r="AZ138" s="143">
        <f t="shared" si="377"/>
        <v>-121.9096</v>
      </c>
      <c r="BA138" s="143">
        <f t="shared" si="378"/>
        <v>2.8614120534259069</v>
      </c>
      <c r="BB138" s="143">
        <f t="shared" si="379"/>
        <v>2.738598597678444E-2</v>
      </c>
      <c r="BC138" s="144">
        <f t="shared" si="380"/>
        <v>1.044399999999996</v>
      </c>
    </row>
    <row r="139" spans="28:55" ht="15">
      <c r="AB139" s="131">
        <v>45715</v>
      </c>
      <c r="AC139" s="146" t="s">
        <v>66</v>
      </c>
      <c r="AD139" s="133" t="s">
        <v>197</v>
      </c>
      <c r="AE139" s="132">
        <v>823147.56850000005</v>
      </c>
      <c r="AF139" s="132">
        <v>1091710.4036000001</v>
      </c>
      <c r="AG139" s="134">
        <v>-122.3573</v>
      </c>
      <c r="AL139" s="135">
        <f t="shared" si="369"/>
        <v>3.0097410026572349</v>
      </c>
      <c r="AM139" s="136">
        <f t="shared" si="370"/>
        <v>6.9194751090479928E-2</v>
      </c>
      <c r="AN139" s="137">
        <f t="shared" si="371"/>
        <v>0.59669999999999845</v>
      </c>
      <c r="AO139" s="138">
        <f t="shared" si="372"/>
        <v>-122.95399999999999</v>
      </c>
      <c r="AQ139" s="145"/>
      <c r="AV139" s="131">
        <f t="shared" si="373"/>
        <v>45715</v>
      </c>
      <c r="AW139" s="142" t="str">
        <f t="shared" si="374"/>
        <v>C</v>
      </c>
      <c r="AX139" s="143">
        <f t="shared" si="375"/>
        <v>823147.56850000005</v>
      </c>
      <c r="AY139" s="143">
        <f t="shared" si="376"/>
        <v>1091710.4036000001</v>
      </c>
      <c r="AZ139" s="143">
        <f t="shared" si="377"/>
        <v>-122.3573</v>
      </c>
      <c r="BA139" s="143">
        <f t="shared" si="378"/>
        <v>3.0097410026572349</v>
      </c>
      <c r="BB139" s="143">
        <f t="shared" si="379"/>
        <v>6.9194751090479928E-2</v>
      </c>
      <c r="BC139" s="144">
        <f t="shared" si="380"/>
        <v>0.59669999999999845</v>
      </c>
    </row>
    <row r="140" spans="28:55" ht="15">
      <c r="AB140" s="131">
        <v>45715</v>
      </c>
      <c r="AC140" s="146" t="s">
        <v>67</v>
      </c>
      <c r="AD140" s="133" t="s">
        <v>198</v>
      </c>
      <c r="AE140" s="132">
        <v>823149.98960000009</v>
      </c>
      <c r="AF140" s="132">
        <v>1091705.0821</v>
      </c>
      <c r="AG140" s="134">
        <v>-121.78279999999999</v>
      </c>
      <c r="AL140" s="135">
        <f t="shared" si="369"/>
        <v>-2.8363751269933832</v>
      </c>
      <c r="AM140" s="136">
        <f t="shared" si="370"/>
        <v>1.4297942025066129E-2</v>
      </c>
      <c r="AN140" s="137">
        <f t="shared" si="371"/>
        <v>1.1711999999999989</v>
      </c>
      <c r="AO140" s="138">
        <f t="shared" si="372"/>
        <v>-122.95399999999999</v>
      </c>
      <c r="AQ140" s="145"/>
      <c r="AV140" s="131">
        <f t="shared" si="373"/>
        <v>45715</v>
      </c>
      <c r="AW140" s="142" t="str">
        <f t="shared" si="374"/>
        <v>D</v>
      </c>
      <c r="AX140" s="143">
        <f t="shared" si="375"/>
        <v>823149.98960000009</v>
      </c>
      <c r="AY140" s="143">
        <f t="shared" si="376"/>
        <v>1091705.0821</v>
      </c>
      <c r="AZ140" s="143">
        <f t="shared" si="377"/>
        <v>-121.78279999999999</v>
      </c>
      <c r="BA140" s="143">
        <f t="shared" si="378"/>
        <v>-2.8363751269933832</v>
      </c>
      <c r="BB140" s="143">
        <f t="shared" si="379"/>
        <v>1.4297942025066129E-2</v>
      </c>
      <c r="BC140" s="144">
        <f t="shared" si="380"/>
        <v>1.1711999999999989</v>
      </c>
    </row>
    <row r="141" spans="28:55" ht="15">
      <c r="AB141" s="131">
        <v>45722</v>
      </c>
      <c r="AC141" s="132" t="s">
        <v>64</v>
      </c>
      <c r="AD141" s="133" t="s">
        <v>199</v>
      </c>
      <c r="AE141" s="132">
        <v>823147.64989999996</v>
      </c>
      <c r="AF141" s="132">
        <v>1091710.0837000001</v>
      </c>
      <c r="AG141" s="134">
        <v>-121.5719</v>
      </c>
      <c r="AL141" s="135">
        <f t="shared" ref="AL141:AL144" si="381">IF(ISNUMBER(AE141),COS(ATAN2(AF141-AO$4,AE141-AO$3)-(AO$5/200*PI()))*SQRT((AE141-AO$3)^2+(AF141-AO$4)^2),"-")</f>
        <v>2.6854140694444029</v>
      </c>
      <c r="AM141" s="136">
        <f t="shared" ref="AM141:AM144" si="382">IF(ISNUMBER(AE141),SIN(ATAN2(AF141-AO$4,AE141-AO$3)-(AO$5/200*PI()))*SQRT((AE141-AO$3)^2+(AF141-AO$4)^2),"-")</f>
        <v>7.7617764006603761E-3</v>
      </c>
      <c r="AN141" s="137">
        <f t="shared" ref="AN141:AN144" si="383">IF(ISNUMBER(AL141),AG141-AO141,"-")</f>
        <v>1.3820999999999941</v>
      </c>
      <c r="AO141" s="138">
        <f t="shared" ref="AO141:AO144" si="384">IF(ISNUMBER(AF141),((AL141-$AO$7)*AO$9)+AO$8,"-")</f>
        <v>-122.95399999999999</v>
      </c>
      <c r="AQ141" s="145"/>
      <c r="AV141" s="131">
        <f t="shared" ref="AV141:AV144" si="385">AB141</f>
        <v>45722</v>
      </c>
      <c r="AW141" s="142" t="str">
        <f t="shared" ref="AW141:AW144" si="386">AC141</f>
        <v>A</v>
      </c>
      <c r="AX141" s="143">
        <f t="shared" ref="AX141:AX144" si="387">AE141</f>
        <v>823147.64989999996</v>
      </c>
      <c r="AY141" s="143">
        <f t="shared" ref="AY141:AY144" si="388">AF141</f>
        <v>1091710.0837000001</v>
      </c>
      <c r="AZ141" s="143">
        <f t="shared" ref="AZ141:AZ144" si="389">AG141</f>
        <v>-121.5719</v>
      </c>
      <c r="BA141" s="143">
        <f t="shared" ref="BA141:BA144" si="390">AL141+$AY$1</f>
        <v>2.6854140694444029</v>
      </c>
      <c r="BB141" s="143">
        <f t="shared" ref="BB141:BB144" si="391">AM141</f>
        <v>7.7617764006603761E-3</v>
      </c>
      <c r="BC141" s="144">
        <f t="shared" ref="BC141:BC144" si="392">AN141</f>
        <v>1.3820999999999941</v>
      </c>
    </row>
    <row r="142" spans="28:55" ht="15">
      <c r="AB142" s="131">
        <v>45722</v>
      </c>
      <c r="AC142" s="132" t="s">
        <v>65</v>
      </c>
      <c r="AD142" s="133" t="s">
        <v>200</v>
      </c>
      <c r="AE142" s="132">
        <v>823147.59290000005</v>
      </c>
      <c r="AF142" s="132">
        <v>1091710.2514</v>
      </c>
      <c r="AG142" s="134">
        <v>-121.90989999999999</v>
      </c>
      <c r="AL142" s="135">
        <f t="shared" si="381"/>
        <v>2.8614904834400994</v>
      </c>
      <c r="AM142" s="136">
        <f t="shared" si="382"/>
        <v>2.6981203614689746E-2</v>
      </c>
      <c r="AN142" s="137">
        <f t="shared" si="383"/>
        <v>1.0441000000000003</v>
      </c>
      <c r="AO142" s="138">
        <f t="shared" si="384"/>
        <v>-122.95399999999999</v>
      </c>
      <c r="AQ142" s="145"/>
      <c r="AV142" s="131">
        <f t="shared" si="385"/>
        <v>45722</v>
      </c>
      <c r="AW142" s="142" t="str">
        <f t="shared" si="386"/>
        <v>B</v>
      </c>
      <c r="AX142" s="143">
        <f t="shared" si="387"/>
        <v>823147.59290000005</v>
      </c>
      <c r="AY142" s="143">
        <f t="shared" si="388"/>
        <v>1091710.2514</v>
      </c>
      <c r="AZ142" s="143">
        <f t="shared" si="389"/>
        <v>-121.90989999999999</v>
      </c>
      <c r="BA142" s="143">
        <f t="shared" si="390"/>
        <v>2.8614904834400994</v>
      </c>
      <c r="BB142" s="143">
        <f t="shared" si="391"/>
        <v>2.6981203614689746E-2</v>
      </c>
      <c r="BC142" s="144">
        <f t="shared" si="392"/>
        <v>1.0441000000000003</v>
      </c>
    </row>
    <row r="143" spans="28:55" ht="15">
      <c r="AB143" s="131">
        <v>45722</v>
      </c>
      <c r="AC143" s="146" t="s">
        <v>66</v>
      </c>
      <c r="AD143" s="133" t="s">
        <v>201</v>
      </c>
      <c r="AE143" s="132">
        <v>823147.56920000003</v>
      </c>
      <c r="AF143" s="132">
        <v>1091710.4036999999</v>
      </c>
      <c r="AG143" s="134">
        <v>-122.357</v>
      </c>
      <c r="AL143" s="135">
        <f t="shared" si="381"/>
        <v>3.0095357778792278</v>
      </c>
      <c r="AM143" s="136">
        <f t="shared" si="382"/>
        <v>6.9871421410186443E-2</v>
      </c>
      <c r="AN143" s="137">
        <f t="shared" si="383"/>
        <v>0.5969999999999942</v>
      </c>
      <c r="AO143" s="138">
        <f t="shared" si="384"/>
        <v>-122.95399999999999</v>
      </c>
      <c r="AQ143" s="145"/>
      <c r="AV143" s="131">
        <f t="shared" si="385"/>
        <v>45722</v>
      </c>
      <c r="AW143" s="142" t="str">
        <f t="shared" si="386"/>
        <v>C</v>
      </c>
      <c r="AX143" s="143">
        <f t="shared" si="387"/>
        <v>823147.56920000003</v>
      </c>
      <c r="AY143" s="143">
        <f t="shared" si="388"/>
        <v>1091710.4036999999</v>
      </c>
      <c r="AZ143" s="143">
        <f t="shared" si="389"/>
        <v>-122.357</v>
      </c>
      <c r="BA143" s="143">
        <f t="shared" si="390"/>
        <v>3.0095357778792278</v>
      </c>
      <c r="BB143" s="143">
        <f t="shared" si="391"/>
        <v>6.9871421410186443E-2</v>
      </c>
      <c r="BC143" s="144">
        <f t="shared" si="392"/>
        <v>0.5969999999999942</v>
      </c>
    </row>
    <row r="144" spans="28:55" ht="15">
      <c r="AB144" s="131">
        <v>45722</v>
      </c>
      <c r="AC144" s="146" t="s">
        <v>67</v>
      </c>
      <c r="AD144" s="133" t="s">
        <v>202</v>
      </c>
      <c r="AE144" s="132">
        <v>823149.98950000003</v>
      </c>
      <c r="AF144" s="132">
        <v>1091705.0821</v>
      </c>
      <c r="AG144" s="134">
        <v>-121.7831</v>
      </c>
      <c r="AL144" s="135">
        <f t="shared" si="381"/>
        <v>-2.8363328621096477</v>
      </c>
      <c r="AM144" s="136">
        <f t="shared" si="382"/>
        <v>1.4207312602723262E-2</v>
      </c>
      <c r="AN144" s="137">
        <f t="shared" si="383"/>
        <v>1.1708999999999889</v>
      </c>
      <c r="AO144" s="138">
        <f t="shared" si="384"/>
        <v>-122.95399999999999</v>
      </c>
      <c r="AQ144" s="145"/>
      <c r="AV144" s="131">
        <f t="shared" si="385"/>
        <v>45722</v>
      </c>
      <c r="AW144" s="142" t="str">
        <f t="shared" si="386"/>
        <v>D</v>
      </c>
      <c r="AX144" s="143">
        <f t="shared" si="387"/>
        <v>823149.98950000003</v>
      </c>
      <c r="AY144" s="143">
        <f t="shared" si="388"/>
        <v>1091705.0821</v>
      </c>
      <c r="AZ144" s="143">
        <f t="shared" si="389"/>
        <v>-121.7831</v>
      </c>
      <c r="BA144" s="143">
        <f t="shared" si="390"/>
        <v>-2.8363328621096477</v>
      </c>
      <c r="BB144" s="143">
        <f t="shared" si="391"/>
        <v>1.4207312602723262E-2</v>
      </c>
      <c r="BC144" s="144">
        <f t="shared" si="392"/>
        <v>1.1708999999999889</v>
      </c>
    </row>
    <row r="145" spans="28:55" ht="15">
      <c r="AB145" s="131">
        <v>45729</v>
      </c>
      <c r="AC145" s="132" t="s">
        <v>64</v>
      </c>
      <c r="AD145" s="133" t="s">
        <v>203</v>
      </c>
      <c r="AE145" s="132">
        <v>823147.65029999998</v>
      </c>
      <c r="AF145" s="132">
        <v>1091710.0837999999</v>
      </c>
      <c r="AG145" s="134">
        <v>-121.57170000000001</v>
      </c>
      <c r="AL145" s="135">
        <f t="shared" ref="AL145:AL148" si="393">IF(ISNUMBER(AE145),COS(ATAN2(AF145-AO$4,AE145-AO$3)-(AO$5/200*PI()))*SQRT((AE145-AO$3)^2+(AF145-AO$4)^2),"-")</f>
        <v>2.6853356392191969</v>
      </c>
      <c r="AM145" s="136">
        <f t="shared" ref="AM145:AM148" si="394">IF(ISNUMBER(AE145),SIN(ATAN2(AF145-AO$4,AE145-AO$3)-(AO$5/200*PI()))*SQRT((AE145-AO$3)^2+(AF145-AO$4)^2),"-")</f>
        <v>8.1665586643506101E-3</v>
      </c>
      <c r="AN145" s="137">
        <f t="shared" ref="AN145:AN148" si="395">IF(ISNUMBER(AL145),AG145-AO145,"-")</f>
        <v>1.3822999999999865</v>
      </c>
      <c r="AO145" s="138">
        <f t="shared" ref="AO145:AO148" si="396">IF(ISNUMBER(AF145),((AL145-$AO$7)*AO$9)+AO$8,"-")</f>
        <v>-122.95399999999999</v>
      </c>
      <c r="AQ145" s="145"/>
      <c r="AV145" s="131">
        <f t="shared" ref="AV145:AV148" si="397">AB145</f>
        <v>45729</v>
      </c>
      <c r="AW145" s="142" t="str">
        <f t="shared" ref="AW145:AW148" si="398">AC145</f>
        <v>A</v>
      </c>
      <c r="AX145" s="143">
        <f t="shared" ref="AX145:AX148" si="399">AE145</f>
        <v>823147.65029999998</v>
      </c>
      <c r="AY145" s="143">
        <f t="shared" ref="AY145:AY148" si="400">AF145</f>
        <v>1091710.0837999999</v>
      </c>
      <c r="AZ145" s="143">
        <f t="shared" ref="AZ145:AZ148" si="401">AG145</f>
        <v>-121.57170000000001</v>
      </c>
      <c r="BA145" s="143">
        <f t="shared" ref="BA145:BA148" si="402">AL145+$AY$1</f>
        <v>2.6853356392191969</v>
      </c>
      <c r="BB145" s="143">
        <f t="shared" ref="BB145:BB148" si="403">AM145</f>
        <v>8.1665586643506101E-3</v>
      </c>
      <c r="BC145" s="144">
        <f t="shared" ref="BC145:BC148" si="404">AN145</f>
        <v>1.3822999999999865</v>
      </c>
    </row>
    <row r="146" spans="28:55" ht="15">
      <c r="AB146" s="131">
        <v>45729</v>
      </c>
      <c r="AC146" s="132" t="s">
        <v>65</v>
      </c>
      <c r="AD146" s="133" t="s">
        <v>204</v>
      </c>
      <c r="AE146" s="132">
        <v>823147.59299999999</v>
      </c>
      <c r="AF146" s="132">
        <v>1091710.2505000001</v>
      </c>
      <c r="AG146" s="134">
        <v>-121.90989999999999</v>
      </c>
      <c r="AL146" s="135">
        <f t="shared" si="393"/>
        <v>2.8606325544375149</v>
      </c>
      <c r="AM146" s="136">
        <f t="shared" si="394"/>
        <v>2.6691449273121698E-2</v>
      </c>
      <c r="AN146" s="137">
        <f t="shared" si="395"/>
        <v>1.0441000000000003</v>
      </c>
      <c r="AO146" s="138">
        <f t="shared" si="396"/>
        <v>-122.95399999999999</v>
      </c>
      <c r="AQ146" s="145"/>
      <c r="AV146" s="131">
        <f t="shared" si="397"/>
        <v>45729</v>
      </c>
      <c r="AW146" s="142" t="str">
        <f t="shared" si="398"/>
        <v>B</v>
      </c>
      <c r="AX146" s="143">
        <f t="shared" si="399"/>
        <v>823147.59299999999</v>
      </c>
      <c r="AY146" s="143">
        <f t="shared" si="400"/>
        <v>1091710.2505000001</v>
      </c>
      <c r="AZ146" s="143">
        <f t="shared" si="401"/>
        <v>-121.90989999999999</v>
      </c>
      <c r="BA146" s="143">
        <f t="shared" si="402"/>
        <v>2.8606325544375149</v>
      </c>
      <c r="BB146" s="143">
        <f t="shared" si="403"/>
        <v>2.6691449273121698E-2</v>
      </c>
      <c r="BC146" s="144">
        <f t="shared" si="404"/>
        <v>1.0441000000000003</v>
      </c>
    </row>
    <row r="147" spans="28:55" ht="15">
      <c r="AB147" s="131">
        <v>45729</v>
      </c>
      <c r="AC147" s="146" t="s">
        <v>66</v>
      </c>
      <c r="AD147" s="133" t="s">
        <v>205</v>
      </c>
      <c r="AE147" s="132">
        <v>823147.56949999998</v>
      </c>
      <c r="AF147" s="132">
        <v>1091710.4036999999</v>
      </c>
      <c r="AG147" s="134">
        <v>-122.3573</v>
      </c>
      <c r="AL147" s="135">
        <f t="shared" si="393"/>
        <v>3.009408983326427</v>
      </c>
      <c r="AM147" s="136">
        <f t="shared" si="394"/>
        <v>7.0143309466205825E-2</v>
      </c>
      <c r="AN147" s="137">
        <f t="shared" si="395"/>
        <v>0.59669999999999845</v>
      </c>
      <c r="AO147" s="138">
        <f t="shared" si="396"/>
        <v>-122.95399999999999</v>
      </c>
      <c r="AQ147" s="145"/>
      <c r="AV147" s="131">
        <f t="shared" si="397"/>
        <v>45729</v>
      </c>
      <c r="AW147" s="142" t="str">
        <f t="shared" si="398"/>
        <v>C</v>
      </c>
      <c r="AX147" s="143">
        <f t="shared" si="399"/>
        <v>823147.56949999998</v>
      </c>
      <c r="AY147" s="143">
        <f t="shared" si="400"/>
        <v>1091710.4036999999</v>
      </c>
      <c r="AZ147" s="143">
        <f t="shared" si="401"/>
        <v>-122.3573</v>
      </c>
      <c r="BA147" s="143">
        <f t="shared" si="402"/>
        <v>3.009408983326427</v>
      </c>
      <c r="BB147" s="143">
        <f t="shared" si="403"/>
        <v>7.0143309466205825E-2</v>
      </c>
      <c r="BC147" s="144">
        <f t="shared" si="404"/>
        <v>0.59669999999999845</v>
      </c>
    </row>
    <row r="148" spans="28:55" ht="15">
      <c r="AB148" s="131">
        <v>45729</v>
      </c>
      <c r="AC148" s="146" t="s">
        <v>67</v>
      </c>
      <c r="AD148" s="133" t="s">
        <v>206</v>
      </c>
      <c r="AE148" s="132">
        <v>823149.98970000003</v>
      </c>
      <c r="AF148" s="132">
        <v>1091705.0821</v>
      </c>
      <c r="AG148" s="134">
        <v>-121.7831</v>
      </c>
      <c r="AL148" s="135">
        <f t="shared" si="393"/>
        <v>-2.8364173918279159</v>
      </c>
      <c r="AM148" s="136">
        <f t="shared" si="394"/>
        <v>1.4388571341902934E-2</v>
      </c>
      <c r="AN148" s="137">
        <f t="shared" si="395"/>
        <v>1.1708999999999889</v>
      </c>
      <c r="AO148" s="138">
        <f t="shared" si="396"/>
        <v>-122.95399999999999</v>
      </c>
      <c r="AQ148" s="145"/>
      <c r="AV148" s="131">
        <f t="shared" si="397"/>
        <v>45729</v>
      </c>
      <c r="AW148" s="142" t="str">
        <f t="shared" si="398"/>
        <v>D</v>
      </c>
      <c r="AX148" s="143">
        <f t="shared" si="399"/>
        <v>823149.98970000003</v>
      </c>
      <c r="AY148" s="143">
        <f t="shared" si="400"/>
        <v>1091705.0821</v>
      </c>
      <c r="AZ148" s="143">
        <f t="shared" si="401"/>
        <v>-121.7831</v>
      </c>
      <c r="BA148" s="143">
        <f t="shared" si="402"/>
        <v>-2.8364173918279159</v>
      </c>
      <c r="BB148" s="143">
        <f t="shared" si="403"/>
        <v>1.4388571341902934E-2</v>
      </c>
      <c r="BC148" s="144">
        <f t="shared" si="404"/>
        <v>1.1708999999999889</v>
      </c>
    </row>
    <row r="149" spans="28:55" ht="15">
      <c r="AB149" s="131">
        <v>45733</v>
      </c>
      <c r="AC149" s="132" t="s">
        <v>64</v>
      </c>
      <c r="AD149" s="133" t="s">
        <v>207</v>
      </c>
      <c r="AE149" s="132">
        <v>823147.64989999996</v>
      </c>
      <c r="AF149" s="132">
        <v>1091710.0839</v>
      </c>
      <c r="AG149" s="134">
        <v>-121.572</v>
      </c>
      <c r="AL149" s="135">
        <f t="shared" ref="AL149:AL152" si="405">IF(ISNUMBER(AE149),COS(ATAN2(AF149-AO$4,AE149-AO$3)-(AO$5/200*PI()))*SQRT((AE149-AO$3)^2+(AF149-AO$4)^2),"-")</f>
        <v>2.6855953280780769</v>
      </c>
      <c r="AM149" s="136">
        <f t="shared" ref="AM149:AM152" si="406">IF(ISNUMBER(AE149),SIN(ATAN2(AF149-AO$4,AE149-AO$3)-(AO$5/200*PI()))*SQRT((AE149-AO$3)^2+(AF149-AO$4)^2),"-")</f>
        <v>7.8463060697269871E-3</v>
      </c>
      <c r="AN149" s="137">
        <f t="shared" ref="AN149:AN152" si="407">IF(ISNUMBER(AL149),AG149-AO149,"-")</f>
        <v>1.3819999999999908</v>
      </c>
      <c r="AO149" s="138">
        <f t="shared" ref="AO149:AO152" si="408">IF(ISNUMBER(AF149),((AL149-$AO$7)*AO$9)+AO$8,"-")</f>
        <v>-122.95399999999999</v>
      </c>
      <c r="AQ149" s="145"/>
      <c r="AV149" s="131">
        <f t="shared" ref="AV149:AV152" si="409">AB149</f>
        <v>45733</v>
      </c>
      <c r="AW149" s="142" t="str">
        <f t="shared" ref="AW149:AW152" si="410">AC149</f>
        <v>A</v>
      </c>
      <c r="AX149" s="143">
        <f t="shared" ref="AX149:AX152" si="411">AE149</f>
        <v>823147.64989999996</v>
      </c>
      <c r="AY149" s="143">
        <f t="shared" ref="AY149:AY152" si="412">AF149</f>
        <v>1091710.0839</v>
      </c>
      <c r="AZ149" s="143">
        <f t="shared" ref="AZ149:AZ152" si="413">AG149</f>
        <v>-121.572</v>
      </c>
      <c r="BA149" s="143">
        <f t="shared" ref="BA149:BA152" si="414">AL149+$AY$1</f>
        <v>2.6855953280780769</v>
      </c>
      <c r="BB149" s="143">
        <f t="shared" ref="BB149:BB152" si="415">AM149</f>
        <v>7.8463060697269871E-3</v>
      </c>
      <c r="BC149" s="144">
        <f t="shared" ref="BC149:BC152" si="416">AN149</f>
        <v>1.3819999999999908</v>
      </c>
    </row>
    <row r="150" spans="28:55" ht="15">
      <c r="AB150" s="131">
        <v>45733</v>
      </c>
      <c r="AC150" s="132" t="s">
        <v>65</v>
      </c>
      <c r="AD150" s="133" t="s">
        <v>208</v>
      </c>
      <c r="AE150" s="132">
        <v>823147.59299999999</v>
      </c>
      <c r="AF150" s="132">
        <v>1091710.2509000001</v>
      </c>
      <c r="AG150" s="134">
        <v>-121.9102</v>
      </c>
      <c r="AL150" s="135">
        <f t="shared" si="405"/>
        <v>2.8609950719158754</v>
      </c>
      <c r="AM150" s="136">
        <f t="shared" si="406"/>
        <v>2.6860508709658566E-2</v>
      </c>
      <c r="AN150" s="137">
        <f t="shared" si="407"/>
        <v>1.0437999999999903</v>
      </c>
      <c r="AO150" s="138">
        <f t="shared" si="408"/>
        <v>-122.95399999999999</v>
      </c>
      <c r="AQ150" s="145"/>
      <c r="AV150" s="131">
        <f t="shared" si="409"/>
        <v>45733</v>
      </c>
      <c r="AW150" s="142" t="str">
        <f t="shared" si="410"/>
        <v>B</v>
      </c>
      <c r="AX150" s="143">
        <f t="shared" si="411"/>
        <v>823147.59299999999</v>
      </c>
      <c r="AY150" s="143">
        <f t="shared" si="412"/>
        <v>1091710.2509000001</v>
      </c>
      <c r="AZ150" s="143">
        <f t="shared" si="413"/>
        <v>-121.9102</v>
      </c>
      <c r="BA150" s="143">
        <f t="shared" si="414"/>
        <v>2.8609950719158754</v>
      </c>
      <c r="BB150" s="143">
        <f t="shared" si="415"/>
        <v>2.6860508709658566E-2</v>
      </c>
      <c r="BC150" s="144">
        <f t="shared" si="416"/>
        <v>1.0437999999999903</v>
      </c>
    </row>
    <row r="151" spans="28:55" ht="15">
      <c r="AB151" s="131">
        <v>45733</v>
      </c>
      <c r="AC151" s="146" t="s">
        <v>66</v>
      </c>
      <c r="AD151" s="133" t="s">
        <v>209</v>
      </c>
      <c r="AE151" s="132">
        <v>823147.56909999996</v>
      </c>
      <c r="AF151" s="132">
        <v>1091710.4035</v>
      </c>
      <c r="AG151" s="134">
        <v>-122.35760000000001</v>
      </c>
      <c r="AL151" s="135">
        <f t="shared" si="405"/>
        <v>3.0093967841292897</v>
      </c>
      <c r="AM151" s="136">
        <f t="shared" si="406"/>
        <v>6.9696262318777694E-2</v>
      </c>
      <c r="AN151" s="137">
        <f t="shared" si="407"/>
        <v>0.59639999999998849</v>
      </c>
      <c r="AO151" s="138">
        <f t="shared" si="408"/>
        <v>-122.95399999999999</v>
      </c>
      <c r="AQ151" s="145"/>
      <c r="AV151" s="131">
        <f t="shared" si="409"/>
        <v>45733</v>
      </c>
      <c r="AW151" s="142" t="str">
        <f t="shared" si="410"/>
        <v>C</v>
      </c>
      <c r="AX151" s="143">
        <f t="shared" si="411"/>
        <v>823147.56909999996</v>
      </c>
      <c r="AY151" s="143">
        <f t="shared" si="412"/>
        <v>1091710.4035</v>
      </c>
      <c r="AZ151" s="143">
        <f t="shared" si="413"/>
        <v>-122.35760000000001</v>
      </c>
      <c r="BA151" s="143">
        <f t="shared" si="414"/>
        <v>3.0093967841292897</v>
      </c>
      <c r="BB151" s="143">
        <f t="shared" si="415"/>
        <v>6.9696262318777694E-2</v>
      </c>
      <c r="BC151" s="144">
        <f t="shared" si="416"/>
        <v>0.59639999999998849</v>
      </c>
    </row>
    <row r="152" spans="28:55" ht="15">
      <c r="AB152" s="131">
        <v>45733</v>
      </c>
      <c r="AC152" s="146" t="s">
        <v>67</v>
      </c>
      <c r="AD152" s="133" t="s">
        <v>210</v>
      </c>
      <c r="AE152" s="132">
        <v>823149.98939999996</v>
      </c>
      <c r="AF152" s="132">
        <v>1091705.0822000001</v>
      </c>
      <c r="AG152" s="134">
        <v>-121.7833</v>
      </c>
      <c r="AL152" s="135">
        <f t="shared" si="405"/>
        <v>-2.836199967803569</v>
      </c>
      <c r="AM152" s="136">
        <f t="shared" si="406"/>
        <v>1.4158948064115631E-2</v>
      </c>
      <c r="AN152" s="137">
        <f t="shared" si="407"/>
        <v>1.1706999999999965</v>
      </c>
      <c r="AO152" s="138">
        <f t="shared" si="408"/>
        <v>-122.95399999999999</v>
      </c>
      <c r="AQ152" s="145"/>
      <c r="AV152" s="131">
        <f t="shared" si="409"/>
        <v>45733</v>
      </c>
      <c r="AW152" s="142" t="str">
        <f t="shared" si="410"/>
        <v>D</v>
      </c>
      <c r="AX152" s="143">
        <f t="shared" si="411"/>
        <v>823149.98939999996</v>
      </c>
      <c r="AY152" s="143">
        <f t="shared" si="412"/>
        <v>1091705.0822000001</v>
      </c>
      <c r="AZ152" s="143">
        <f t="shared" si="413"/>
        <v>-121.7833</v>
      </c>
      <c r="BA152" s="143">
        <f t="shared" si="414"/>
        <v>-2.836199967803569</v>
      </c>
      <c r="BB152" s="143">
        <f t="shared" si="415"/>
        <v>1.4158948064115631E-2</v>
      </c>
      <c r="BC152" s="144">
        <f t="shared" si="416"/>
        <v>1.1706999999999965</v>
      </c>
    </row>
    <row r="153" spans="28:55" ht="15">
      <c r="AB153" s="131">
        <v>45742</v>
      </c>
      <c r="AC153" s="132" t="s">
        <v>64</v>
      </c>
      <c r="AD153" s="133" t="s">
        <v>211</v>
      </c>
      <c r="AE153" s="132">
        <v>823147.65015</v>
      </c>
      <c r="AF153" s="132">
        <v>1091710.0839499999</v>
      </c>
      <c r="AG153" s="134">
        <v>-121.5715</v>
      </c>
      <c r="AL153" s="135">
        <f t="shared" ref="AL153:AL156" si="417">IF(ISNUMBER(AE153),COS(ATAN2(AF153-AO$4,AE153-AO$3)-(AO$5/200*PI()))*SQRT((AE153-AO$3)^2+(AF153-AO$4)^2),"-")</f>
        <v>2.6855349805236064</v>
      </c>
      <c r="AM153" s="136">
        <f t="shared" ref="AM153:AM156" si="418">IF(ISNUMBER(AE153),SIN(ATAN2(AF153-AO$4,AE153-AO$3)-(AO$5/200*PI()))*SQRT((AE153-AO$3)^2+(AF153-AO$4)^2),"-")</f>
        <v>8.0940119127441978E-3</v>
      </c>
      <c r="AN153" s="137">
        <f t="shared" ref="AN153:AN156" si="419">IF(ISNUMBER(AL153),AG153-AO153,"-")</f>
        <v>1.3824999999999932</v>
      </c>
      <c r="AO153" s="138">
        <f t="shared" ref="AO153:AO156" si="420">IF(ISNUMBER(AF153),((AL153-$AO$7)*AO$9)+AO$8,"-")</f>
        <v>-122.95399999999999</v>
      </c>
      <c r="AQ153" s="145"/>
      <c r="AV153" s="131">
        <f t="shared" ref="AV153:AV156" si="421">AB153</f>
        <v>45742</v>
      </c>
      <c r="AW153" s="142" t="str">
        <f t="shared" ref="AW153:AW156" si="422">AC153</f>
        <v>A</v>
      </c>
      <c r="AX153" s="143">
        <f t="shared" ref="AX153:AX156" si="423">AE153</f>
        <v>823147.65015</v>
      </c>
      <c r="AY153" s="143">
        <f t="shared" ref="AY153:AY156" si="424">AF153</f>
        <v>1091710.0839499999</v>
      </c>
      <c r="AZ153" s="143">
        <f t="shared" ref="AZ153:AZ156" si="425">AG153</f>
        <v>-121.5715</v>
      </c>
      <c r="BA153" s="143">
        <f t="shared" ref="BA153:BA156" si="426">AL153+$AY$1</f>
        <v>2.6855349805236064</v>
      </c>
      <c r="BB153" s="143">
        <f t="shared" ref="BB153:BB156" si="427">AM153</f>
        <v>8.0940119127441978E-3</v>
      </c>
      <c r="BC153" s="144">
        <f t="shared" ref="BC153:BC156" si="428">AN153</f>
        <v>1.3824999999999932</v>
      </c>
    </row>
    <row r="154" spans="28:55" ht="15">
      <c r="AB154" s="131">
        <v>45742</v>
      </c>
      <c r="AC154" s="132" t="s">
        <v>65</v>
      </c>
      <c r="AD154" s="133" t="s">
        <v>212</v>
      </c>
      <c r="AE154" s="132">
        <v>823147.59270000004</v>
      </c>
      <c r="AF154" s="132">
        <v>1091710.2501000001</v>
      </c>
      <c r="AG154" s="134">
        <v>-121.9104</v>
      </c>
      <c r="AL154" s="135">
        <f t="shared" si="417"/>
        <v>2.8603968315119541</v>
      </c>
      <c r="AM154" s="136">
        <f t="shared" si="418"/>
        <v>2.6250501780568744E-2</v>
      </c>
      <c r="AN154" s="137">
        <f t="shared" si="419"/>
        <v>1.0435999999999979</v>
      </c>
      <c r="AO154" s="138">
        <f t="shared" si="420"/>
        <v>-122.95399999999999</v>
      </c>
      <c r="AQ154" s="145"/>
      <c r="AV154" s="131">
        <f t="shared" si="421"/>
        <v>45742</v>
      </c>
      <c r="AW154" s="142" t="str">
        <f t="shared" si="422"/>
        <v>B</v>
      </c>
      <c r="AX154" s="143">
        <f t="shared" si="423"/>
        <v>823147.59270000004</v>
      </c>
      <c r="AY154" s="143">
        <f t="shared" si="424"/>
        <v>1091710.2501000001</v>
      </c>
      <c r="AZ154" s="143">
        <f t="shared" si="425"/>
        <v>-121.9104</v>
      </c>
      <c r="BA154" s="143">
        <f t="shared" si="426"/>
        <v>2.8603968315119541</v>
      </c>
      <c r="BB154" s="143">
        <f t="shared" si="427"/>
        <v>2.6250501780568744E-2</v>
      </c>
      <c r="BC154" s="144">
        <f t="shared" si="428"/>
        <v>1.0435999999999979</v>
      </c>
    </row>
    <row r="155" spans="28:55" ht="15">
      <c r="AB155" s="131">
        <v>45742</v>
      </c>
      <c r="AC155" s="146" t="s">
        <v>66</v>
      </c>
      <c r="AD155" s="133" t="s">
        <v>213</v>
      </c>
      <c r="AE155" s="132">
        <v>823147.57000000007</v>
      </c>
      <c r="AF155" s="132">
        <v>1091710.4039999999</v>
      </c>
      <c r="AG155" s="134">
        <v>-122.3575</v>
      </c>
      <c r="AL155" s="135">
        <f t="shared" si="417"/>
        <v>3.0094695470621726</v>
      </c>
      <c r="AM155" s="136">
        <f t="shared" si="418"/>
        <v>7.0723250919709935E-2</v>
      </c>
      <c r="AN155" s="137">
        <f t="shared" si="419"/>
        <v>0.59649999999999181</v>
      </c>
      <c r="AO155" s="138">
        <f t="shared" si="420"/>
        <v>-122.95399999999999</v>
      </c>
      <c r="AQ155" s="145"/>
      <c r="AV155" s="131">
        <f t="shared" si="421"/>
        <v>45742</v>
      </c>
      <c r="AW155" s="142" t="str">
        <f t="shared" si="422"/>
        <v>C</v>
      </c>
      <c r="AX155" s="143">
        <f t="shared" si="423"/>
        <v>823147.57000000007</v>
      </c>
      <c r="AY155" s="143">
        <f t="shared" si="424"/>
        <v>1091710.4039999999</v>
      </c>
      <c r="AZ155" s="143">
        <f t="shared" si="425"/>
        <v>-122.3575</v>
      </c>
      <c r="BA155" s="143">
        <f t="shared" si="426"/>
        <v>3.0094695470621726</v>
      </c>
      <c r="BB155" s="143">
        <f t="shared" si="427"/>
        <v>7.0723250919709935E-2</v>
      </c>
      <c r="BC155" s="144">
        <f t="shared" si="428"/>
        <v>0.59649999999999181</v>
      </c>
    </row>
    <row r="156" spans="28:55" ht="15">
      <c r="AB156" s="131">
        <v>45742</v>
      </c>
      <c r="AC156" s="146" t="s">
        <v>67</v>
      </c>
      <c r="AD156" s="133" t="s">
        <v>214</v>
      </c>
      <c r="AE156" s="132">
        <v>823149.98933333333</v>
      </c>
      <c r="AF156" s="132">
        <v>1091705.0824666666</v>
      </c>
      <c r="AG156" s="134">
        <v>-121.78353333333332</v>
      </c>
      <c r="AL156" s="135">
        <f t="shared" si="417"/>
        <v>-2.8359301130689816</v>
      </c>
      <c r="AM156" s="136">
        <f t="shared" si="418"/>
        <v>1.421123474497799E-2</v>
      </c>
      <c r="AN156" s="137">
        <f t="shared" si="419"/>
        <v>1.1704666666666697</v>
      </c>
      <c r="AO156" s="138">
        <f t="shared" si="420"/>
        <v>-122.95399999999999</v>
      </c>
      <c r="AQ156" s="145"/>
      <c r="AV156" s="131">
        <f t="shared" si="421"/>
        <v>45742</v>
      </c>
      <c r="AW156" s="142" t="str">
        <f t="shared" si="422"/>
        <v>D</v>
      </c>
      <c r="AX156" s="143">
        <f t="shared" si="423"/>
        <v>823149.98933333333</v>
      </c>
      <c r="AY156" s="143">
        <f t="shared" si="424"/>
        <v>1091705.0824666666</v>
      </c>
      <c r="AZ156" s="143">
        <f t="shared" si="425"/>
        <v>-121.78353333333332</v>
      </c>
      <c r="BA156" s="143">
        <f t="shared" si="426"/>
        <v>-2.8359301130689816</v>
      </c>
      <c r="BB156" s="143">
        <f t="shared" si="427"/>
        <v>1.421123474497799E-2</v>
      </c>
      <c r="BC156" s="144">
        <f t="shared" si="428"/>
        <v>1.1704666666666697</v>
      </c>
    </row>
    <row r="157" spans="28:55" ht="15">
      <c r="AB157" s="131">
        <v>45755</v>
      </c>
      <c r="AC157" s="132" t="s">
        <v>64</v>
      </c>
      <c r="AD157" s="133" t="s">
        <v>217</v>
      </c>
      <c r="AE157" s="132">
        <v>823147.65009999997</v>
      </c>
      <c r="AF157" s="132">
        <v>1091710.0836</v>
      </c>
      <c r="AG157" s="134">
        <v>-121.5719</v>
      </c>
      <c r="AL157" s="135">
        <f t="shared" ref="AL157:AL160" si="429">IF(ISNUMBER(AE157),COS(ATAN2(AF157-AO$4,AE157-AO$3)-(AO$5/200*PI()))*SQRT((AE157-AO$3)^2+(AF157-AO$4)^2),"-")</f>
        <v>2.6852389103037915</v>
      </c>
      <c r="AM157" s="136">
        <f t="shared" ref="AM157:AM160" si="430">IF(ISNUMBER(AE157),SIN(ATAN2(AF157-AO$4,AE157-AO$3)-(AO$5/200*PI()))*SQRT((AE157-AO$3)^2+(AF157-AO$4)^2),"-")</f>
        <v>7.9007702561066338E-3</v>
      </c>
      <c r="AN157" s="137">
        <f t="shared" ref="AN157:AN160" si="431">IF(ISNUMBER(AL157),AG157-AO157,"-")</f>
        <v>1.3820999999999941</v>
      </c>
      <c r="AO157" s="138">
        <f t="shared" ref="AO157:AO160" si="432">IF(ISNUMBER(AF157),((AL157-$AO$7)*AO$9)+AO$8,"-")</f>
        <v>-122.95399999999999</v>
      </c>
      <c r="AQ157" s="145"/>
      <c r="AV157" s="131">
        <f t="shared" ref="AV157:AV160" si="433">AB157</f>
        <v>45755</v>
      </c>
      <c r="AW157" s="142" t="str">
        <f t="shared" ref="AW157:AW160" si="434">AC157</f>
        <v>A</v>
      </c>
      <c r="AX157" s="143">
        <f t="shared" ref="AX157:AX160" si="435">AE157</f>
        <v>823147.65009999997</v>
      </c>
      <c r="AY157" s="143">
        <f t="shared" ref="AY157:AY160" si="436">AF157</f>
        <v>1091710.0836</v>
      </c>
      <c r="AZ157" s="143">
        <f t="shared" ref="AZ157:AZ160" si="437">AG157</f>
        <v>-121.5719</v>
      </c>
      <c r="BA157" s="143">
        <f t="shared" ref="BA157:BA160" si="438">AL157+$AY$1</f>
        <v>2.6852389103037915</v>
      </c>
      <c r="BB157" s="143">
        <f t="shared" ref="BB157:BB160" si="439">AM157</f>
        <v>7.9007702561066338E-3</v>
      </c>
      <c r="BC157" s="144">
        <f t="shared" ref="BC157:BC160" si="440">AN157</f>
        <v>1.3820999999999941</v>
      </c>
    </row>
    <row r="158" spans="28:55" ht="15">
      <c r="AB158" s="131">
        <v>45755</v>
      </c>
      <c r="AC158" s="132" t="s">
        <v>65</v>
      </c>
      <c r="AD158" s="133" t="s">
        <v>218</v>
      </c>
      <c r="AE158" s="132">
        <v>823147.59310000006</v>
      </c>
      <c r="AF158" s="132">
        <v>1091710.2507</v>
      </c>
      <c r="AG158" s="134">
        <v>-121.9102</v>
      </c>
      <c r="AL158" s="135">
        <f t="shared" si="429"/>
        <v>2.8607715481874525</v>
      </c>
      <c r="AM158" s="136">
        <f t="shared" si="430"/>
        <v>2.6866608364531527E-2</v>
      </c>
      <c r="AN158" s="137">
        <f t="shared" si="431"/>
        <v>1.0437999999999903</v>
      </c>
      <c r="AO158" s="138">
        <f t="shared" si="432"/>
        <v>-122.95399999999999</v>
      </c>
      <c r="AQ158" s="145"/>
      <c r="AV158" s="131">
        <f t="shared" si="433"/>
        <v>45755</v>
      </c>
      <c r="AW158" s="142" t="str">
        <f t="shared" si="434"/>
        <v>B</v>
      </c>
      <c r="AX158" s="143">
        <f t="shared" si="435"/>
        <v>823147.59310000006</v>
      </c>
      <c r="AY158" s="143">
        <f t="shared" si="436"/>
        <v>1091710.2507</v>
      </c>
      <c r="AZ158" s="143">
        <f t="shared" si="437"/>
        <v>-121.9102</v>
      </c>
      <c r="BA158" s="143">
        <f t="shared" si="438"/>
        <v>2.8607715481874525</v>
      </c>
      <c r="BB158" s="143">
        <f t="shared" si="439"/>
        <v>2.6866608364531527E-2</v>
      </c>
      <c r="BC158" s="144">
        <f t="shared" si="440"/>
        <v>1.0437999999999903</v>
      </c>
    </row>
    <row r="159" spans="28:55" ht="15">
      <c r="AB159" s="131">
        <v>45755</v>
      </c>
      <c r="AC159" s="146" t="s">
        <v>66</v>
      </c>
      <c r="AD159" s="133" t="s">
        <v>219</v>
      </c>
      <c r="AE159" s="132">
        <v>823147.5693666666</v>
      </c>
      <c r="AF159" s="132">
        <v>1091710.4032000001</v>
      </c>
      <c r="AG159" s="134">
        <v>-122.3575</v>
      </c>
      <c r="AL159" s="135">
        <f t="shared" si="429"/>
        <v>3.0090121897986486</v>
      </c>
      <c r="AM159" s="136">
        <f t="shared" si="430"/>
        <v>6.9811146049716999E-2</v>
      </c>
      <c r="AN159" s="137">
        <f t="shared" si="431"/>
        <v>0.59649999999999181</v>
      </c>
      <c r="AO159" s="138">
        <f t="shared" si="432"/>
        <v>-122.95399999999999</v>
      </c>
      <c r="AQ159" s="145"/>
      <c r="AV159" s="131">
        <f t="shared" si="433"/>
        <v>45755</v>
      </c>
      <c r="AW159" s="142" t="str">
        <f t="shared" si="434"/>
        <v>C</v>
      </c>
      <c r="AX159" s="143">
        <f t="shared" si="435"/>
        <v>823147.5693666666</v>
      </c>
      <c r="AY159" s="143">
        <f t="shared" si="436"/>
        <v>1091710.4032000001</v>
      </c>
      <c r="AZ159" s="143">
        <f t="shared" si="437"/>
        <v>-122.3575</v>
      </c>
      <c r="BA159" s="143">
        <f t="shared" si="438"/>
        <v>3.0090121897986486</v>
      </c>
      <c r="BB159" s="143">
        <f t="shared" si="439"/>
        <v>6.9811146049716999E-2</v>
      </c>
      <c r="BC159" s="144">
        <f t="shared" si="440"/>
        <v>0.59649999999999181</v>
      </c>
    </row>
    <row r="160" spans="28:55" ht="15">
      <c r="AB160" s="131">
        <v>45755</v>
      </c>
      <c r="AC160" s="146" t="s">
        <v>67</v>
      </c>
      <c r="AD160" s="133" t="s">
        <v>220</v>
      </c>
      <c r="AE160" s="132">
        <v>823149.98909999989</v>
      </c>
      <c r="AF160" s="132">
        <v>1091705.0821333334</v>
      </c>
      <c r="AG160" s="134">
        <v>-121.78336666666667</v>
      </c>
      <c r="AL160" s="135">
        <f t="shared" si="429"/>
        <v>-2.8361335927461231</v>
      </c>
      <c r="AM160" s="136">
        <f t="shared" si="430"/>
        <v>1.3858883346235491E-2</v>
      </c>
      <c r="AN160" s="137">
        <f t="shared" si="431"/>
        <v>1.1706333333333276</v>
      </c>
      <c r="AO160" s="138">
        <f t="shared" si="432"/>
        <v>-122.95399999999999</v>
      </c>
      <c r="AQ160" s="145"/>
      <c r="AV160" s="131">
        <f t="shared" si="433"/>
        <v>45755</v>
      </c>
      <c r="AW160" s="142" t="str">
        <f t="shared" si="434"/>
        <v>D</v>
      </c>
      <c r="AX160" s="143">
        <f t="shared" si="435"/>
        <v>823149.98909999989</v>
      </c>
      <c r="AY160" s="143">
        <f t="shared" si="436"/>
        <v>1091705.0821333334</v>
      </c>
      <c r="AZ160" s="143">
        <f t="shared" si="437"/>
        <v>-121.78336666666667</v>
      </c>
      <c r="BA160" s="143">
        <f t="shared" si="438"/>
        <v>-2.8361335927461231</v>
      </c>
      <c r="BB160" s="143">
        <f t="shared" si="439"/>
        <v>1.3858883346235491E-2</v>
      </c>
      <c r="BC160" s="144">
        <f t="shared" si="440"/>
        <v>1.1706333333333276</v>
      </c>
    </row>
    <row r="161" spans="28:55" ht="15">
      <c r="AB161" s="131">
        <v>45769</v>
      </c>
      <c r="AC161" s="132" t="s">
        <v>64</v>
      </c>
      <c r="AD161" s="133" t="s">
        <v>221</v>
      </c>
      <c r="AE161" s="132">
        <v>823147.65</v>
      </c>
      <c r="AF161" s="132">
        <v>1091710.0843</v>
      </c>
      <c r="AG161" s="134">
        <v>-121.5722</v>
      </c>
      <c r="AL161" s="135">
        <f t="shared" ref="AL161:AL164" si="441">IF(ISNUMBER(AE161),COS(ATAN2(AF161-AO$4,AE161-AO$3)-(AO$5/200*PI()))*SQRT((AE161-AO$3)^2+(AF161-AO$4)^2),"-")</f>
        <v>2.6859155806727024</v>
      </c>
      <c r="AM161" s="136">
        <f t="shared" ref="AM161:AM164" si="442">IF(ISNUMBER(AE161),SIN(ATAN2(AF161-AO$4,AE161-AO$3)-(AO$5/200*PI()))*SQRT((AE161-AO$3)^2+(AF161-AO$4)^2),"-")</f>
        <v>8.1059949286059856E-3</v>
      </c>
      <c r="AN161" s="137">
        <f t="shared" ref="AN161:AN164" si="443">IF(ISNUMBER(AL161),AG161-AO161,"-")</f>
        <v>1.3817999999999984</v>
      </c>
      <c r="AO161" s="138">
        <f t="shared" ref="AO161:AO164" si="444">IF(ISNUMBER(AF161),((AL161-$AO$7)*AO$9)+AO$8,"-")</f>
        <v>-122.95399999999999</v>
      </c>
      <c r="AQ161" s="145"/>
      <c r="AV161" s="131">
        <f t="shared" ref="AV161:AV164" si="445">AB161</f>
        <v>45769</v>
      </c>
      <c r="AW161" s="142" t="str">
        <f t="shared" ref="AW161:AW164" si="446">AC161</f>
        <v>A</v>
      </c>
      <c r="AX161" s="143">
        <f t="shared" ref="AX161:AX164" si="447">AE161</f>
        <v>823147.65</v>
      </c>
      <c r="AY161" s="143">
        <f t="shared" ref="AY161:AY164" si="448">AF161</f>
        <v>1091710.0843</v>
      </c>
      <c r="AZ161" s="143">
        <f t="shared" ref="AZ161:AZ164" si="449">AG161</f>
        <v>-121.5722</v>
      </c>
      <c r="BA161" s="143">
        <f t="shared" ref="BA161:BA164" si="450">AL161+$AY$1</f>
        <v>2.6859155806727024</v>
      </c>
      <c r="BB161" s="143">
        <f t="shared" ref="BB161:BB164" si="451">AM161</f>
        <v>8.1059949286059856E-3</v>
      </c>
      <c r="BC161" s="144">
        <f t="shared" ref="BC161:BC164" si="452">AN161</f>
        <v>1.3817999999999984</v>
      </c>
    </row>
    <row r="162" spans="28:55" ht="15">
      <c r="AB162" s="131">
        <v>45769</v>
      </c>
      <c r="AC162" s="132" t="s">
        <v>65</v>
      </c>
      <c r="AD162" s="133" t="s">
        <v>222</v>
      </c>
      <c r="AE162" s="132">
        <v>823147.59360000002</v>
      </c>
      <c r="AF162" s="132">
        <v>1091710.2516999999</v>
      </c>
      <c r="AG162" s="134">
        <v>-121.9102</v>
      </c>
      <c r="AL162" s="135">
        <f t="shared" si="441"/>
        <v>2.8614665175067793</v>
      </c>
      <c r="AM162" s="136">
        <f t="shared" si="442"/>
        <v>2.7742403701868559E-2</v>
      </c>
      <c r="AN162" s="137">
        <f t="shared" si="443"/>
        <v>1.0437999999999903</v>
      </c>
      <c r="AO162" s="138">
        <f t="shared" si="444"/>
        <v>-122.95399999999999</v>
      </c>
      <c r="AQ162" s="145"/>
      <c r="AV162" s="131">
        <f t="shared" si="445"/>
        <v>45769</v>
      </c>
      <c r="AW162" s="142" t="str">
        <f t="shared" si="446"/>
        <v>B</v>
      </c>
      <c r="AX162" s="143">
        <f t="shared" si="447"/>
        <v>823147.59360000002</v>
      </c>
      <c r="AY162" s="143">
        <f t="shared" si="448"/>
        <v>1091710.2516999999</v>
      </c>
      <c r="AZ162" s="143">
        <f t="shared" si="449"/>
        <v>-121.9102</v>
      </c>
      <c r="BA162" s="143">
        <f t="shared" si="450"/>
        <v>2.8614665175067793</v>
      </c>
      <c r="BB162" s="143">
        <f t="shared" si="451"/>
        <v>2.7742403701868559E-2</v>
      </c>
      <c r="BC162" s="144">
        <f t="shared" si="452"/>
        <v>1.0437999999999903</v>
      </c>
    </row>
    <row r="163" spans="28:55" ht="15">
      <c r="AB163" s="131">
        <v>45769</v>
      </c>
      <c r="AC163" s="146" t="s">
        <v>66</v>
      </c>
      <c r="AD163" s="133" t="s">
        <v>223</v>
      </c>
      <c r="AE163" s="132">
        <v>823147.56929999997</v>
      </c>
      <c r="AF163" s="132">
        <v>1091710.4034</v>
      </c>
      <c r="AG163" s="134">
        <v>-122.358</v>
      </c>
      <c r="AL163" s="135">
        <f t="shared" si="441"/>
        <v>3.0092216249886778</v>
      </c>
      <c r="AM163" s="136">
        <f t="shared" si="442"/>
        <v>6.9835256174223675E-2</v>
      </c>
      <c r="AN163" s="137">
        <f t="shared" si="443"/>
        <v>0.59599999999998943</v>
      </c>
      <c r="AO163" s="138">
        <f t="shared" si="444"/>
        <v>-122.95399999999999</v>
      </c>
      <c r="AQ163" s="145"/>
      <c r="AV163" s="131">
        <f t="shared" si="445"/>
        <v>45769</v>
      </c>
      <c r="AW163" s="142" t="str">
        <f t="shared" si="446"/>
        <v>C</v>
      </c>
      <c r="AX163" s="143">
        <f t="shared" si="447"/>
        <v>823147.56929999997</v>
      </c>
      <c r="AY163" s="143">
        <f t="shared" si="448"/>
        <v>1091710.4034</v>
      </c>
      <c r="AZ163" s="143">
        <f t="shared" si="449"/>
        <v>-122.358</v>
      </c>
      <c r="BA163" s="143">
        <f t="shared" si="450"/>
        <v>3.0092216249886778</v>
      </c>
      <c r="BB163" s="143">
        <f t="shared" si="451"/>
        <v>6.9835256174223675E-2</v>
      </c>
      <c r="BC163" s="144">
        <f t="shared" si="452"/>
        <v>0.59599999999998943</v>
      </c>
    </row>
    <row r="164" spans="28:55" ht="15">
      <c r="AB164" s="131">
        <v>45769</v>
      </c>
      <c r="AC164" s="146" t="s">
        <v>67</v>
      </c>
      <c r="AD164" s="133" t="s">
        <v>224</v>
      </c>
      <c r="AE164" s="132">
        <v>823149.98860000004</v>
      </c>
      <c r="AF164" s="132">
        <v>1091705.0825</v>
      </c>
      <c r="AG164" s="134">
        <v>-121.7838</v>
      </c>
      <c r="AL164" s="135">
        <f t="shared" si="441"/>
        <v>-2.8355899609236817</v>
      </c>
      <c r="AM164" s="136">
        <f t="shared" si="442"/>
        <v>1.3560707765700997E-2</v>
      </c>
      <c r="AN164" s="137">
        <f t="shared" si="443"/>
        <v>1.1701999999999941</v>
      </c>
      <c r="AO164" s="138">
        <f t="shared" si="444"/>
        <v>-122.95399999999999</v>
      </c>
      <c r="AQ164" s="145"/>
      <c r="AV164" s="131">
        <f t="shared" si="445"/>
        <v>45769</v>
      </c>
      <c r="AW164" s="142" t="str">
        <f t="shared" si="446"/>
        <v>D</v>
      </c>
      <c r="AX164" s="143">
        <f t="shared" si="447"/>
        <v>823149.98860000004</v>
      </c>
      <c r="AY164" s="143">
        <f t="shared" si="448"/>
        <v>1091705.0825</v>
      </c>
      <c r="AZ164" s="143">
        <f t="shared" si="449"/>
        <v>-121.7838</v>
      </c>
      <c r="BA164" s="143">
        <f t="shared" si="450"/>
        <v>-2.8355899609236817</v>
      </c>
      <c r="BB164" s="143">
        <f t="shared" si="451"/>
        <v>1.3560707765700997E-2</v>
      </c>
      <c r="BC164" s="144">
        <f t="shared" si="452"/>
        <v>1.1701999999999941</v>
      </c>
    </row>
    <row r="165" spans="28:55" ht="15">
      <c r="AB165" s="131">
        <v>45782</v>
      </c>
      <c r="AC165" s="132" t="s">
        <v>64</v>
      </c>
      <c r="AD165" s="133" t="s">
        <v>207</v>
      </c>
      <c r="AE165" s="132">
        <v>823147.64980000001</v>
      </c>
      <c r="AF165" s="132">
        <v>1091710.0841000001</v>
      </c>
      <c r="AG165" s="134">
        <v>-121.5722</v>
      </c>
      <c r="AL165" s="135">
        <f t="shared" ref="AL165:AL168" si="453">IF(ISNUMBER(AE165),COS(ATAN2(AF165-AO$4,AE165-AO$3)-(AO$5/200*PI()))*SQRT((AE165-AO$3)^2+(AF165-AO$4)^2),"-")</f>
        <v>2.6858188517572965</v>
      </c>
      <c r="AM165" s="136">
        <f t="shared" ref="AM165:AM168" si="454">IF(ISNUMBER(AE165),SIN(ATAN2(AF165-AO$4,AE165-AO$3)-(AO$5/200*PI()))*SQRT((AE165-AO$3)^2+(AF165-AO$4)^2),"-")</f>
        <v>7.8402065203595165E-3</v>
      </c>
      <c r="AN165" s="137">
        <f t="shared" ref="AN165:AN168" si="455">IF(ISNUMBER(AL165),AG165-AO165,"-")</f>
        <v>1.3817999999999984</v>
      </c>
      <c r="AO165" s="138">
        <f t="shared" ref="AO165:AO168" si="456">IF(ISNUMBER(AF165),((AL165-$AO$7)*AO$9)+AO$8,"-")</f>
        <v>-122.95399999999999</v>
      </c>
      <c r="AQ165" s="145"/>
      <c r="AV165" s="131">
        <f t="shared" ref="AV165:AV168" si="457">AB165</f>
        <v>45782</v>
      </c>
      <c r="AW165" s="142" t="str">
        <f t="shared" ref="AW165:AW168" si="458">AC165</f>
        <v>A</v>
      </c>
      <c r="AX165" s="143">
        <f t="shared" ref="AX165:AX168" si="459">AE165</f>
        <v>823147.64980000001</v>
      </c>
      <c r="AY165" s="143">
        <f t="shared" ref="AY165:AY168" si="460">AF165</f>
        <v>1091710.0841000001</v>
      </c>
      <c r="AZ165" s="143">
        <f t="shared" ref="AZ165:AZ168" si="461">AG165</f>
        <v>-121.5722</v>
      </c>
      <c r="BA165" s="143">
        <f t="shared" ref="BA165:BA168" si="462">AL165+$AY$1</f>
        <v>2.6858188517572965</v>
      </c>
      <c r="BB165" s="143">
        <f t="shared" ref="BB165:BB168" si="463">AM165</f>
        <v>7.8402065203595165E-3</v>
      </c>
      <c r="BC165" s="144">
        <f t="shared" ref="BC165:BC168" si="464">AN165</f>
        <v>1.3817999999999984</v>
      </c>
    </row>
    <row r="166" spans="28:55" ht="15">
      <c r="AB166" s="131">
        <v>45782</v>
      </c>
      <c r="AC166" s="132" t="s">
        <v>65</v>
      </c>
      <c r="AD166" s="133" t="s">
        <v>208</v>
      </c>
      <c r="AE166" s="132">
        <v>823147.59270000004</v>
      </c>
      <c r="AF166" s="132">
        <v>1091710.2503</v>
      </c>
      <c r="AG166" s="134">
        <v>-121.9106</v>
      </c>
      <c r="AL166" s="135">
        <f t="shared" si="453"/>
        <v>2.8605780901456281</v>
      </c>
      <c r="AM166" s="136">
        <f t="shared" si="454"/>
        <v>2.6335031449634467E-2</v>
      </c>
      <c r="AN166" s="137">
        <f t="shared" si="455"/>
        <v>1.0433999999999912</v>
      </c>
      <c r="AO166" s="138">
        <f t="shared" si="456"/>
        <v>-122.95399999999999</v>
      </c>
      <c r="AQ166" s="145"/>
      <c r="AV166" s="131">
        <f t="shared" si="457"/>
        <v>45782</v>
      </c>
      <c r="AW166" s="142" t="str">
        <f t="shared" si="458"/>
        <v>B</v>
      </c>
      <c r="AX166" s="143">
        <f t="shared" si="459"/>
        <v>823147.59270000004</v>
      </c>
      <c r="AY166" s="143">
        <f t="shared" si="460"/>
        <v>1091710.2503</v>
      </c>
      <c r="AZ166" s="143">
        <f t="shared" si="461"/>
        <v>-121.9106</v>
      </c>
      <c r="BA166" s="143">
        <f t="shared" si="462"/>
        <v>2.8605780901456281</v>
      </c>
      <c r="BB166" s="143">
        <f t="shared" si="463"/>
        <v>2.6335031449634467E-2</v>
      </c>
      <c r="BC166" s="144">
        <f t="shared" si="464"/>
        <v>1.0433999999999912</v>
      </c>
    </row>
    <row r="167" spans="28:55" ht="15">
      <c r="AB167" s="131">
        <v>45782</v>
      </c>
      <c r="AC167" s="146" t="s">
        <v>66</v>
      </c>
      <c r="AD167" s="133" t="s">
        <v>209</v>
      </c>
      <c r="AE167" s="132">
        <v>823147.56920000003</v>
      </c>
      <c r="AF167" s="132">
        <v>1091710.4029999999</v>
      </c>
      <c r="AG167" s="134">
        <v>-122.35809999999999</v>
      </c>
      <c r="AL167" s="135">
        <f t="shared" si="453"/>
        <v>3.008901372344849</v>
      </c>
      <c r="AM167" s="136">
        <f t="shared" si="454"/>
        <v>6.9575567420849221E-2</v>
      </c>
      <c r="AN167" s="137">
        <f t="shared" si="455"/>
        <v>0.59590000000000032</v>
      </c>
      <c r="AO167" s="138">
        <f t="shared" si="456"/>
        <v>-122.95399999999999</v>
      </c>
      <c r="AQ167" s="145"/>
      <c r="AV167" s="131">
        <f t="shared" si="457"/>
        <v>45782</v>
      </c>
      <c r="AW167" s="142" t="str">
        <f t="shared" si="458"/>
        <v>C</v>
      </c>
      <c r="AX167" s="143">
        <f t="shared" si="459"/>
        <v>823147.56920000003</v>
      </c>
      <c r="AY167" s="143">
        <f t="shared" si="460"/>
        <v>1091710.4029999999</v>
      </c>
      <c r="AZ167" s="143">
        <f t="shared" si="461"/>
        <v>-122.35809999999999</v>
      </c>
      <c r="BA167" s="143">
        <f t="shared" si="462"/>
        <v>3.008901372344849</v>
      </c>
      <c r="BB167" s="143">
        <f t="shared" si="463"/>
        <v>6.9575567420849221E-2</v>
      </c>
      <c r="BC167" s="144">
        <f t="shared" si="464"/>
        <v>0.59590000000000032</v>
      </c>
    </row>
    <row r="168" spans="28:55" ht="15">
      <c r="AB168" s="131">
        <v>45782</v>
      </c>
      <c r="AC168" s="146" t="s">
        <v>67</v>
      </c>
      <c r="AD168" s="133" t="s">
        <v>210</v>
      </c>
      <c r="AE168" s="132">
        <v>823149.98950000003</v>
      </c>
      <c r="AF168" s="132">
        <v>1091705.0824</v>
      </c>
      <c r="AG168" s="134">
        <v>-121.7834</v>
      </c>
      <c r="AL168" s="135">
        <f t="shared" si="453"/>
        <v>-2.83606097405363</v>
      </c>
      <c r="AM168" s="136">
        <f t="shared" si="454"/>
        <v>1.4334107155524327E-2</v>
      </c>
      <c r="AN168" s="137">
        <f t="shared" si="455"/>
        <v>1.1705999999999932</v>
      </c>
      <c r="AO168" s="138">
        <f t="shared" si="456"/>
        <v>-122.95399999999999</v>
      </c>
      <c r="AQ168" s="145"/>
      <c r="AV168" s="131">
        <f t="shared" si="457"/>
        <v>45782</v>
      </c>
      <c r="AW168" s="142" t="str">
        <f t="shared" si="458"/>
        <v>D</v>
      </c>
      <c r="AX168" s="143">
        <f t="shared" si="459"/>
        <v>823149.98950000003</v>
      </c>
      <c r="AY168" s="143">
        <f t="shared" si="460"/>
        <v>1091705.0824</v>
      </c>
      <c r="AZ168" s="143">
        <f t="shared" si="461"/>
        <v>-121.7834</v>
      </c>
      <c r="BA168" s="143">
        <f t="shared" si="462"/>
        <v>-2.83606097405363</v>
      </c>
      <c r="BB168" s="143">
        <f t="shared" si="463"/>
        <v>1.4334107155524327E-2</v>
      </c>
      <c r="BC168" s="144">
        <f t="shared" si="464"/>
        <v>1.1705999999999932</v>
      </c>
    </row>
    <row r="169" spans="28:55" ht="15">
      <c r="AB169" s="131">
        <v>45798</v>
      </c>
      <c r="AC169" s="132" t="s">
        <v>64</v>
      </c>
      <c r="AD169" s="133" t="s">
        <v>221</v>
      </c>
      <c r="AE169" s="132">
        <v>823147.65049999999</v>
      </c>
      <c r="AF169" s="132">
        <v>1091710.0843</v>
      </c>
      <c r="AG169" s="134">
        <v>-121.57210000000001</v>
      </c>
      <c r="AL169" s="135">
        <f t="shared" ref="AL169:AL172" si="465">IF(ISNUMBER(AE169),COS(ATAN2(AF169-AO$4,AE169-AO$3)-(AO$5/200*PI()))*SQRT((AE169-AO$3)^2+(AF169-AO$4)^2),"-")</f>
        <v>2.6857042564016331</v>
      </c>
      <c r="AM169" s="136">
        <f t="shared" ref="AM169:AM172" si="466">IF(ISNUMBER(AE169),SIN(ATAN2(AF169-AO$4,AE169-AO$3)-(AO$5/200*PI()))*SQRT((AE169-AO$3)^2+(AF169-AO$4)^2),"-")</f>
        <v>8.5591417238050846E-3</v>
      </c>
      <c r="AN169" s="137">
        <f t="shared" ref="AN169:AN172" si="467">IF(ISNUMBER(AL169),AG169-AO169,"-")</f>
        <v>1.3818999999999875</v>
      </c>
      <c r="AO169" s="138">
        <f t="shared" ref="AO169:AO172" si="468">IF(ISNUMBER(AF169),((AL169-$AO$7)*AO$9)+AO$8,"-")</f>
        <v>-122.95399999999999</v>
      </c>
      <c r="AQ169" s="145"/>
      <c r="AV169" s="131">
        <f t="shared" ref="AV169:AV172" si="469">AB169</f>
        <v>45798</v>
      </c>
      <c r="AW169" s="142" t="str">
        <f t="shared" ref="AW169:AW172" si="470">AC169</f>
        <v>A</v>
      </c>
      <c r="AX169" s="143">
        <f t="shared" ref="AX169:AX172" si="471">AE169</f>
        <v>823147.65049999999</v>
      </c>
      <c r="AY169" s="143">
        <f t="shared" ref="AY169:AY172" si="472">AF169</f>
        <v>1091710.0843</v>
      </c>
      <c r="AZ169" s="143">
        <f t="shared" ref="AZ169:AZ172" si="473">AG169</f>
        <v>-121.57210000000001</v>
      </c>
      <c r="BA169" s="143">
        <f t="shared" ref="BA169:BA172" si="474">AL169+$AY$1</f>
        <v>2.6857042564016331</v>
      </c>
      <c r="BB169" s="143">
        <f t="shared" ref="BB169:BB172" si="475">AM169</f>
        <v>8.5591417238050846E-3</v>
      </c>
      <c r="BC169" s="144">
        <f t="shared" ref="BC169:BC172" si="476">AN169</f>
        <v>1.3818999999999875</v>
      </c>
    </row>
    <row r="170" spans="28:55" ht="15">
      <c r="AB170" s="131">
        <v>45798</v>
      </c>
      <c r="AC170" s="132" t="s">
        <v>65</v>
      </c>
      <c r="AD170" s="133" t="s">
        <v>222</v>
      </c>
      <c r="AE170" s="132">
        <v>823147.59369999997</v>
      </c>
      <c r="AF170" s="132">
        <v>1091710.2512000001</v>
      </c>
      <c r="AG170" s="134">
        <v>-121.9102</v>
      </c>
      <c r="AL170" s="135">
        <f t="shared" si="465"/>
        <v>2.8609711059825558</v>
      </c>
      <c r="AM170" s="136">
        <f t="shared" si="466"/>
        <v>2.7621708796838847E-2</v>
      </c>
      <c r="AN170" s="137">
        <f t="shared" si="467"/>
        <v>1.0437999999999903</v>
      </c>
      <c r="AO170" s="138">
        <f t="shared" si="468"/>
        <v>-122.95399999999999</v>
      </c>
      <c r="AQ170" s="145"/>
      <c r="AV170" s="131">
        <f t="shared" si="469"/>
        <v>45798</v>
      </c>
      <c r="AW170" s="142" t="str">
        <f t="shared" si="470"/>
        <v>B</v>
      </c>
      <c r="AX170" s="143">
        <f t="shared" si="471"/>
        <v>823147.59369999997</v>
      </c>
      <c r="AY170" s="143">
        <f t="shared" si="472"/>
        <v>1091710.2512000001</v>
      </c>
      <c r="AZ170" s="143">
        <f t="shared" si="473"/>
        <v>-121.9102</v>
      </c>
      <c r="BA170" s="143">
        <f t="shared" si="474"/>
        <v>2.8609711059825558</v>
      </c>
      <c r="BB170" s="143">
        <f t="shared" si="475"/>
        <v>2.7621708796838847E-2</v>
      </c>
      <c r="BC170" s="144">
        <f t="shared" si="476"/>
        <v>1.0437999999999903</v>
      </c>
    </row>
    <row r="171" spans="28:55" ht="15">
      <c r="AB171" s="131">
        <v>45798</v>
      </c>
      <c r="AC171" s="146" t="s">
        <v>66</v>
      </c>
      <c r="AD171" s="133" t="s">
        <v>223</v>
      </c>
      <c r="AE171" s="132">
        <v>823147.5699</v>
      </c>
      <c r="AF171" s="132">
        <v>1091710.4032000001</v>
      </c>
      <c r="AG171" s="134">
        <v>-122.3579</v>
      </c>
      <c r="AL171" s="135">
        <f t="shared" si="465"/>
        <v>3.0087867772001986</v>
      </c>
      <c r="AM171" s="136">
        <f t="shared" si="466"/>
        <v>7.0294502722699242E-2</v>
      </c>
      <c r="AN171" s="137">
        <f t="shared" si="467"/>
        <v>0.59609999999999275</v>
      </c>
      <c r="AO171" s="138">
        <f t="shared" si="468"/>
        <v>-122.95399999999999</v>
      </c>
      <c r="AQ171" s="145"/>
      <c r="AV171" s="131">
        <f t="shared" si="469"/>
        <v>45798</v>
      </c>
      <c r="AW171" s="142" t="str">
        <f t="shared" si="470"/>
        <v>C</v>
      </c>
      <c r="AX171" s="143">
        <f t="shared" si="471"/>
        <v>823147.5699</v>
      </c>
      <c r="AY171" s="143">
        <f t="shared" si="472"/>
        <v>1091710.4032000001</v>
      </c>
      <c r="AZ171" s="143">
        <f t="shared" si="473"/>
        <v>-122.3579</v>
      </c>
      <c r="BA171" s="143">
        <f t="shared" si="474"/>
        <v>3.0087867772001986</v>
      </c>
      <c r="BB171" s="143">
        <f t="shared" si="475"/>
        <v>7.0294502722699242E-2</v>
      </c>
      <c r="BC171" s="144">
        <f t="shared" si="476"/>
        <v>0.59609999999999275</v>
      </c>
    </row>
    <row r="172" spans="28:55" ht="15">
      <c r="AB172" s="131">
        <v>45798</v>
      </c>
      <c r="AC172" s="146" t="s">
        <v>67</v>
      </c>
      <c r="AD172" s="133" t="s">
        <v>224</v>
      </c>
      <c r="AE172" s="132">
        <v>823149.98930000002</v>
      </c>
      <c r="AF172" s="132">
        <v>1091705.0828</v>
      </c>
      <c r="AG172" s="134">
        <v>-121.78360000000001</v>
      </c>
      <c r="AL172" s="135">
        <f t="shared" si="465"/>
        <v>-2.8356139268570013</v>
      </c>
      <c r="AM172" s="136">
        <f t="shared" si="466"/>
        <v>1.4321907852880509E-2</v>
      </c>
      <c r="AN172" s="137">
        <f t="shared" si="467"/>
        <v>1.1703999999999866</v>
      </c>
      <c r="AO172" s="138">
        <f t="shared" si="468"/>
        <v>-122.95399999999999</v>
      </c>
      <c r="AQ172" s="145"/>
      <c r="AV172" s="131">
        <f t="shared" si="469"/>
        <v>45798</v>
      </c>
      <c r="AW172" s="142" t="str">
        <f t="shared" si="470"/>
        <v>D</v>
      </c>
      <c r="AX172" s="143">
        <f t="shared" si="471"/>
        <v>823149.98930000002</v>
      </c>
      <c r="AY172" s="143">
        <f t="shared" si="472"/>
        <v>1091705.0828</v>
      </c>
      <c r="AZ172" s="143">
        <f t="shared" si="473"/>
        <v>-121.78360000000001</v>
      </c>
      <c r="BA172" s="143">
        <f t="shared" si="474"/>
        <v>-2.8356139268570013</v>
      </c>
      <c r="BB172" s="143">
        <f t="shared" si="475"/>
        <v>1.4321907852880509E-2</v>
      </c>
      <c r="BC172" s="144">
        <f t="shared" si="476"/>
        <v>1.1703999999999866</v>
      </c>
    </row>
    <row r="173" spans="28:55" ht="15">
      <c r="AB173" s="131"/>
      <c r="AC173" s="146"/>
      <c r="AD173" s="133"/>
      <c r="AE173" s="132"/>
      <c r="AF173" s="132"/>
      <c r="AG173" s="134"/>
      <c r="AL173" s="135"/>
      <c r="AM173" s="136"/>
      <c r="AN173" s="137"/>
      <c r="AO173" s="138"/>
      <c r="AV173" s="132"/>
      <c r="AW173" s="142"/>
      <c r="AX173" s="143"/>
      <c r="AY173" s="143"/>
      <c r="AZ173" s="143"/>
      <c r="BA173" s="143"/>
      <c r="BB173" s="143"/>
      <c r="BC173" s="144"/>
    </row>
    <row r="174" spans="28:55" ht="15">
      <c r="AB174" s="131"/>
      <c r="AC174" s="146"/>
      <c r="AD174" s="133"/>
      <c r="AE174" s="132"/>
      <c r="AF174" s="132"/>
      <c r="AG174" s="134"/>
      <c r="AL174" s="135"/>
      <c r="AM174" s="136"/>
      <c r="AN174" s="137"/>
      <c r="AO174" s="138"/>
      <c r="AV174" s="132"/>
      <c r="AW174" s="142"/>
      <c r="AX174" s="143"/>
      <c r="AY174" s="143"/>
      <c r="AZ174" s="143"/>
      <c r="BA174" s="143"/>
      <c r="BB174" s="143"/>
      <c r="BC174" s="144"/>
    </row>
    <row r="175" spans="28:55" ht="15">
      <c r="AB175" s="131"/>
      <c r="AC175" s="146"/>
      <c r="AD175" s="133"/>
      <c r="AE175" s="132"/>
      <c r="AF175" s="132"/>
      <c r="AG175" s="134"/>
      <c r="AL175" s="135"/>
      <c r="AM175" s="136"/>
      <c r="AN175" s="137"/>
      <c r="AO175" s="138"/>
      <c r="AV175" s="132"/>
      <c r="AW175" s="142"/>
      <c r="AX175" s="143"/>
      <c r="AY175" s="143"/>
      <c r="AZ175" s="143"/>
      <c r="BA175" s="143"/>
      <c r="BB175" s="143"/>
      <c r="BC175" s="144"/>
    </row>
    <row r="176" spans="28:55" ht="15">
      <c r="AB176" s="131"/>
      <c r="AC176" s="146"/>
      <c r="AD176" s="133"/>
      <c r="AE176" s="132"/>
      <c r="AF176" s="132"/>
      <c r="AG176" s="134"/>
      <c r="AL176" s="135"/>
      <c r="AM176" s="136"/>
      <c r="AN176" s="137"/>
      <c r="AO176" s="138"/>
      <c r="AV176" s="132"/>
      <c r="AW176" s="142"/>
      <c r="AX176" s="143"/>
      <c r="AY176" s="143"/>
      <c r="AZ176" s="143"/>
      <c r="BA176" s="143"/>
      <c r="BB176" s="143"/>
      <c r="BC176" s="144"/>
    </row>
    <row r="177" spans="28:55" ht="15">
      <c r="AB177" s="131"/>
      <c r="AC177" s="146"/>
      <c r="AD177" s="133"/>
      <c r="AE177" s="132"/>
      <c r="AF177" s="132"/>
      <c r="AG177" s="134"/>
      <c r="AL177" s="135"/>
      <c r="AM177" s="136"/>
      <c r="AN177" s="137"/>
      <c r="AO177" s="138"/>
      <c r="AV177" s="132"/>
      <c r="AW177" s="142"/>
      <c r="AX177" s="143"/>
      <c r="AY177" s="143"/>
      <c r="AZ177" s="143"/>
      <c r="BA177" s="143"/>
      <c r="BB177" s="143"/>
      <c r="BC177" s="144"/>
    </row>
    <row r="178" spans="28:55" ht="15">
      <c r="AB178" s="131"/>
      <c r="AC178" s="146"/>
      <c r="AD178" s="133"/>
      <c r="AE178" s="132"/>
      <c r="AF178" s="132"/>
      <c r="AG178" s="134"/>
      <c r="AL178" s="135"/>
      <c r="AM178" s="136"/>
      <c r="AN178" s="137"/>
      <c r="AO178" s="138"/>
      <c r="AV178" s="132"/>
      <c r="AW178" s="142"/>
      <c r="AX178" s="143"/>
      <c r="AY178" s="143"/>
      <c r="AZ178" s="143"/>
      <c r="BA178" s="143"/>
      <c r="BB178" s="143"/>
      <c r="BC178" s="144"/>
    </row>
    <row r="179" spans="28:55" ht="15">
      <c r="AB179" s="131"/>
      <c r="AC179" s="146"/>
      <c r="AD179" s="133"/>
      <c r="AE179" s="132"/>
      <c r="AF179" s="132"/>
      <c r="AG179" s="134"/>
      <c r="AL179" s="135"/>
      <c r="AM179" s="136"/>
      <c r="AN179" s="137"/>
      <c r="AO179" s="138"/>
      <c r="AV179" s="132"/>
      <c r="AW179" s="142"/>
      <c r="AX179" s="143"/>
      <c r="AY179" s="143"/>
      <c r="AZ179" s="143"/>
      <c r="BA179" s="143"/>
      <c r="BB179" s="143"/>
      <c r="BC179" s="144"/>
    </row>
    <row r="180" spans="28:55" ht="15">
      <c r="AB180" s="131"/>
      <c r="AC180" s="146"/>
      <c r="AD180" s="133"/>
      <c r="AE180" s="132"/>
      <c r="AF180" s="132"/>
      <c r="AG180" s="134"/>
      <c r="AL180" s="135"/>
      <c r="AM180" s="136"/>
      <c r="AN180" s="137"/>
      <c r="AO180" s="138"/>
      <c r="AV180" s="132"/>
      <c r="AW180" s="142"/>
      <c r="AX180" s="143"/>
      <c r="AY180" s="143"/>
      <c r="AZ180" s="143"/>
      <c r="BA180" s="143"/>
      <c r="BB180" s="143"/>
      <c r="BC180" s="144"/>
    </row>
    <row r="181" spans="28:55" ht="15">
      <c r="AB181" s="131"/>
      <c r="AC181" s="146"/>
      <c r="AD181" s="133"/>
      <c r="AE181" s="132"/>
      <c r="AF181" s="132"/>
      <c r="AG181" s="134"/>
      <c r="AL181" s="135"/>
      <c r="AM181" s="136"/>
      <c r="AN181" s="137"/>
      <c r="AO181" s="138"/>
      <c r="AV181" s="132"/>
      <c r="AW181" s="142"/>
      <c r="AX181" s="143"/>
      <c r="AY181" s="143"/>
      <c r="AZ181" s="143"/>
      <c r="BA181" s="143"/>
      <c r="BB181" s="143"/>
      <c r="BC181" s="144"/>
    </row>
    <row r="182" spans="28:55" ht="15">
      <c r="AB182" s="131"/>
      <c r="AC182" s="146"/>
      <c r="AD182" s="133"/>
      <c r="AE182" s="132"/>
      <c r="AF182" s="132"/>
      <c r="AG182" s="134"/>
      <c r="AL182" s="135"/>
      <c r="AM182" s="136"/>
      <c r="AN182" s="137"/>
      <c r="AO182" s="138"/>
      <c r="AV182" s="132"/>
      <c r="AW182" s="142"/>
      <c r="AX182" s="143"/>
      <c r="AY182" s="143"/>
      <c r="AZ182" s="143"/>
      <c r="BA182" s="143"/>
      <c r="BB182" s="143"/>
      <c r="BC182" s="144"/>
    </row>
    <row r="183" spans="28:55" ht="15">
      <c r="AB183" s="131"/>
      <c r="AC183" s="132"/>
      <c r="AD183" s="133"/>
      <c r="AE183" s="132"/>
      <c r="AF183" s="132"/>
      <c r="AG183" s="134"/>
      <c r="AL183" s="135"/>
      <c r="AM183" s="136"/>
      <c r="AN183" s="137"/>
      <c r="AO183" s="138"/>
      <c r="AV183" s="132"/>
      <c r="AW183" s="142"/>
      <c r="AX183" s="143"/>
      <c r="AY183" s="143"/>
      <c r="AZ183" s="143"/>
      <c r="BA183" s="143"/>
      <c r="BB183" s="143"/>
      <c r="BC183" s="144"/>
    </row>
    <row r="184" spans="28:55" ht="15">
      <c r="AB184" s="131"/>
      <c r="AC184" s="132"/>
      <c r="AD184" s="133"/>
      <c r="AE184" s="132"/>
      <c r="AF184" s="132"/>
      <c r="AG184" s="134"/>
      <c r="AL184" s="135"/>
      <c r="AM184" s="136"/>
      <c r="AN184" s="137"/>
      <c r="AO184" s="138"/>
      <c r="AV184" s="132"/>
      <c r="AW184" s="142"/>
      <c r="AX184" s="143"/>
      <c r="AY184" s="143"/>
      <c r="AZ184" s="143"/>
      <c r="BA184" s="143"/>
      <c r="BB184" s="143"/>
      <c r="BC184" s="144"/>
    </row>
    <row r="185" spans="28:55" ht="15">
      <c r="AB185" s="131"/>
      <c r="AC185" s="146"/>
      <c r="AD185" s="133"/>
      <c r="AE185" s="132"/>
      <c r="AF185" s="132"/>
      <c r="AG185" s="134"/>
      <c r="AL185" s="135"/>
      <c r="AM185" s="136"/>
      <c r="AN185" s="137"/>
      <c r="AO185" s="138"/>
      <c r="AV185" s="132"/>
      <c r="AW185" s="142"/>
      <c r="AX185" s="143"/>
      <c r="AY185" s="143"/>
      <c r="AZ185" s="143"/>
      <c r="BA185" s="143"/>
      <c r="BB185" s="143"/>
      <c r="BC185" s="144"/>
    </row>
    <row r="186" spans="28:55" ht="15">
      <c r="AB186" s="131"/>
      <c r="AC186" s="146"/>
      <c r="AD186" s="133"/>
      <c r="AE186" s="132"/>
      <c r="AF186" s="132"/>
      <c r="AG186" s="134"/>
      <c r="AL186" s="135"/>
      <c r="AM186" s="136"/>
      <c r="AN186" s="137"/>
      <c r="AO186" s="138"/>
      <c r="AV186" s="132"/>
      <c r="AW186" s="142"/>
      <c r="AX186" s="143"/>
      <c r="AY186" s="143"/>
      <c r="AZ186" s="143"/>
      <c r="BA186" s="143"/>
      <c r="BB186" s="143"/>
      <c r="BC186" s="144"/>
    </row>
    <row r="187" spans="28:55" ht="15">
      <c r="AB187" s="131"/>
      <c r="AC187" s="146"/>
      <c r="AD187" s="133"/>
      <c r="AE187" s="132"/>
      <c r="AF187" s="132"/>
      <c r="AG187" s="134"/>
      <c r="AL187" s="135"/>
      <c r="AM187" s="136"/>
      <c r="AN187" s="137"/>
      <c r="AO187" s="138"/>
      <c r="AV187" s="132"/>
      <c r="AW187" s="142"/>
      <c r="AX187" s="143"/>
      <c r="AY187" s="143"/>
      <c r="AZ187" s="143"/>
      <c r="BA187" s="143"/>
      <c r="BB187" s="143"/>
      <c r="BC187" s="144"/>
    </row>
    <row r="188" spans="28:55" ht="15">
      <c r="AB188" s="131"/>
      <c r="AC188" s="146"/>
      <c r="AD188" s="133"/>
      <c r="AE188" s="132"/>
      <c r="AF188" s="132"/>
      <c r="AG188" s="134"/>
      <c r="AL188" s="135"/>
      <c r="AM188" s="136"/>
      <c r="AN188" s="137"/>
      <c r="AO188" s="138"/>
      <c r="AV188" s="132"/>
      <c r="AW188" s="142"/>
      <c r="AX188" s="143"/>
      <c r="AY188" s="143"/>
      <c r="AZ188" s="143"/>
      <c r="BA188" s="143"/>
      <c r="BB188" s="143"/>
      <c r="BC188" s="144"/>
    </row>
    <row r="189" spans="28:55" ht="15">
      <c r="AB189" s="131"/>
      <c r="AC189" s="146"/>
      <c r="AD189" s="133"/>
      <c r="AE189" s="132"/>
      <c r="AF189" s="132"/>
      <c r="AG189" s="134"/>
      <c r="AL189" s="135"/>
      <c r="AM189" s="136"/>
      <c r="AN189" s="137"/>
      <c r="AO189" s="138"/>
      <c r="AV189" s="132"/>
      <c r="AW189" s="142"/>
      <c r="AX189" s="143"/>
      <c r="AY189" s="143"/>
      <c r="AZ189" s="143"/>
      <c r="BA189" s="143"/>
      <c r="BB189" s="143"/>
      <c r="BC189" s="144"/>
    </row>
    <row r="190" spans="28:55" ht="15">
      <c r="AB190" s="131"/>
      <c r="AC190" s="146"/>
      <c r="AD190" s="133"/>
      <c r="AE190" s="132"/>
      <c r="AF190" s="132"/>
      <c r="AG190" s="134"/>
      <c r="AL190" s="135"/>
      <c r="AM190" s="136"/>
      <c r="AN190" s="137"/>
      <c r="AO190" s="138"/>
      <c r="AV190" s="132"/>
      <c r="AW190" s="142"/>
      <c r="AX190" s="143"/>
      <c r="AY190" s="143"/>
      <c r="AZ190" s="143"/>
      <c r="BA190" s="143"/>
      <c r="BB190" s="143"/>
      <c r="BC190" s="144"/>
    </row>
    <row r="191" spans="28:55" ht="15">
      <c r="AB191" s="131"/>
      <c r="AC191" s="146"/>
      <c r="AD191" s="133"/>
      <c r="AE191" s="132"/>
      <c r="AF191" s="132"/>
      <c r="AG191" s="134"/>
      <c r="AL191" s="135"/>
      <c r="AM191" s="136"/>
      <c r="AN191" s="137"/>
      <c r="AO191" s="138"/>
      <c r="AV191" s="132"/>
      <c r="AW191" s="142"/>
      <c r="AX191" s="143"/>
      <c r="AY191" s="143"/>
      <c r="AZ191" s="143"/>
      <c r="BA191" s="143"/>
      <c r="BB191" s="143"/>
      <c r="BC191" s="144"/>
    </row>
    <row r="192" spans="28:55" ht="15">
      <c r="AB192" s="131"/>
      <c r="AC192" s="146"/>
      <c r="AD192" s="133"/>
      <c r="AE192" s="132"/>
      <c r="AF192" s="132"/>
      <c r="AG192" s="134"/>
      <c r="AL192" s="135"/>
      <c r="AM192" s="136"/>
      <c r="AN192" s="137"/>
      <c r="AO192" s="138"/>
      <c r="AV192" s="132"/>
      <c r="AW192" s="142"/>
      <c r="AX192" s="143"/>
      <c r="AY192" s="143"/>
      <c r="AZ192" s="143"/>
      <c r="BA192" s="143"/>
      <c r="BB192" s="143"/>
      <c r="BC192" s="144"/>
    </row>
    <row r="193" spans="28:55" ht="15">
      <c r="AB193" s="131"/>
      <c r="AC193" s="146"/>
      <c r="AD193" s="133"/>
      <c r="AE193" s="132"/>
      <c r="AF193" s="132"/>
      <c r="AG193" s="134"/>
      <c r="AL193" s="135"/>
      <c r="AM193" s="136"/>
      <c r="AN193" s="137"/>
      <c r="AO193" s="138"/>
      <c r="AV193" s="132"/>
      <c r="AW193" s="142"/>
      <c r="AX193" s="143"/>
      <c r="AY193" s="143"/>
      <c r="AZ193" s="143"/>
      <c r="BA193" s="143"/>
      <c r="BB193" s="143"/>
      <c r="BC193" s="144"/>
    </row>
    <row r="194" spans="28:55" ht="15">
      <c r="AB194" s="131"/>
      <c r="AC194" s="146"/>
      <c r="AD194" s="133"/>
      <c r="AE194" s="132"/>
      <c r="AF194" s="132"/>
      <c r="AG194" s="134"/>
      <c r="AL194" s="135"/>
      <c r="AM194" s="136"/>
      <c r="AN194" s="137"/>
      <c r="AO194" s="138"/>
      <c r="AV194" s="132"/>
      <c r="AW194" s="142"/>
      <c r="AX194" s="143"/>
      <c r="AY194" s="143"/>
      <c r="AZ194" s="143"/>
      <c r="BA194" s="143"/>
      <c r="BB194" s="143"/>
      <c r="BC194" s="144"/>
    </row>
    <row r="195" spans="28:55" ht="15">
      <c r="AB195" s="131"/>
      <c r="AC195" s="146"/>
      <c r="AD195" s="133"/>
      <c r="AE195" s="132"/>
      <c r="AF195" s="132"/>
      <c r="AG195" s="134"/>
      <c r="AL195" s="135"/>
      <c r="AM195" s="136"/>
      <c r="AN195" s="137"/>
      <c r="AO195" s="138"/>
      <c r="AV195" s="132"/>
      <c r="AW195" s="142"/>
      <c r="AX195" s="143"/>
      <c r="AY195" s="143"/>
      <c r="AZ195" s="143"/>
      <c r="BA195" s="143"/>
      <c r="BB195" s="143"/>
      <c r="BC195" s="144"/>
    </row>
    <row r="196" spans="28:55" ht="15">
      <c r="AB196" s="131"/>
      <c r="AC196" s="146"/>
      <c r="AD196" s="133"/>
      <c r="AE196" s="132"/>
      <c r="AF196" s="132"/>
      <c r="AG196" s="134"/>
      <c r="AL196" s="135"/>
      <c r="AM196" s="136"/>
      <c r="AN196" s="137"/>
      <c r="AO196" s="138"/>
      <c r="AV196" s="132"/>
      <c r="AW196" s="142"/>
      <c r="AX196" s="143"/>
      <c r="AY196" s="143"/>
      <c r="AZ196" s="143"/>
      <c r="BA196" s="143"/>
      <c r="BB196" s="143"/>
      <c r="BC196" s="144"/>
    </row>
    <row r="197" spans="28:55" ht="15">
      <c r="AB197" s="131"/>
      <c r="AC197" s="146"/>
      <c r="AD197" s="133"/>
      <c r="AE197" s="132"/>
      <c r="AF197" s="132"/>
      <c r="AG197" s="134"/>
      <c r="AL197" s="135"/>
      <c r="AM197" s="136"/>
      <c r="AN197" s="137"/>
      <c r="AO197" s="138"/>
      <c r="AV197" s="132"/>
      <c r="AW197" s="142"/>
      <c r="AX197" s="143"/>
      <c r="AY197" s="143"/>
      <c r="AZ197" s="143"/>
      <c r="BA197" s="143"/>
      <c r="BB197" s="143"/>
      <c r="BC197" s="144"/>
    </row>
    <row r="198" spans="28:55" ht="15">
      <c r="AB198" s="131"/>
      <c r="AC198" s="146"/>
      <c r="AD198" s="133"/>
      <c r="AE198" s="132"/>
      <c r="AF198" s="132"/>
      <c r="AG198" s="134"/>
      <c r="AL198" s="135"/>
      <c r="AM198" s="136"/>
      <c r="AN198" s="137"/>
      <c r="AO198" s="138"/>
      <c r="AV198" s="132"/>
      <c r="AW198" s="142"/>
      <c r="AX198" s="143"/>
      <c r="AY198" s="143"/>
      <c r="AZ198" s="143"/>
      <c r="BA198" s="143"/>
      <c r="BB198" s="143"/>
      <c r="BC198" s="144"/>
    </row>
    <row r="199" spans="28:55" ht="15">
      <c r="AB199" s="131"/>
      <c r="AC199" s="146"/>
      <c r="AD199" s="133"/>
      <c r="AE199" s="132"/>
      <c r="AF199" s="132"/>
      <c r="AG199" s="134"/>
      <c r="AL199" s="135"/>
      <c r="AM199" s="136"/>
      <c r="AN199" s="137"/>
      <c r="AO199" s="138"/>
      <c r="AV199" s="132"/>
      <c r="AW199" s="142"/>
      <c r="AX199" s="143"/>
      <c r="AY199" s="143"/>
      <c r="AZ199" s="143"/>
      <c r="BA199" s="143"/>
      <c r="BB199" s="143"/>
      <c r="BC199" s="144"/>
    </row>
    <row r="200" spans="28:55" ht="15">
      <c r="AB200" s="131"/>
      <c r="AC200" s="132"/>
      <c r="AD200" s="133"/>
      <c r="AE200" s="132"/>
      <c r="AF200" s="132"/>
      <c r="AG200" s="134"/>
      <c r="AL200" s="135"/>
      <c r="AM200" s="136"/>
      <c r="AN200" s="137"/>
      <c r="AO200" s="138"/>
      <c r="AV200" s="132"/>
      <c r="AW200" s="142"/>
      <c r="AX200" s="143"/>
      <c r="AY200" s="143"/>
      <c r="AZ200" s="143"/>
      <c r="BA200" s="143"/>
      <c r="BB200" s="143"/>
      <c r="BC200" s="144"/>
    </row>
    <row r="201" spans="28:55" ht="15">
      <c r="AB201" s="131"/>
      <c r="AC201" s="132"/>
      <c r="AD201" s="133"/>
      <c r="AE201" s="132"/>
      <c r="AF201" s="132"/>
      <c r="AG201" s="134"/>
      <c r="AL201" s="135"/>
      <c r="AM201" s="136"/>
      <c r="AN201" s="137"/>
      <c r="AO201" s="138"/>
      <c r="AV201" s="132"/>
      <c r="AW201" s="142"/>
      <c r="AX201" s="143"/>
      <c r="AY201" s="143"/>
      <c r="AZ201" s="143"/>
      <c r="BA201" s="143"/>
      <c r="BB201" s="143"/>
      <c r="BC201" s="144"/>
    </row>
    <row r="202" spans="28:55" ht="15">
      <c r="AB202" s="131"/>
      <c r="AC202" s="146"/>
      <c r="AD202" s="133"/>
      <c r="AE202" s="132"/>
      <c r="AF202" s="132"/>
      <c r="AG202" s="134"/>
      <c r="AL202" s="135"/>
      <c r="AM202" s="136"/>
      <c r="AN202" s="137"/>
      <c r="AO202" s="138"/>
      <c r="AV202" s="132"/>
      <c r="AW202" s="142"/>
      <c r="AX202" s="143"/>
      <c r="AY202" s="143"/>
      <c r="AZ202" s="143"/>
      <c r="BA202" s="143"/>
      <c r="BB202" s="143"/>
      <c r="BC202" s="144"/>
    </row>
    <row r="203" spans="28:55" ht="15">
      <c r="AB203" s="131"/>
      <c r="AC203" s="146"/>
      <c r="AD203" s="133"/>
      <c r="AE203" s="132"/>
      <c r="AF203" s="132"/>
      <c r="AG203" s="134"/>
      <c r="AL203" s="135"/>
      <c r="AM203" s="136"/>
      <c r="AN203" s="137"/>
      <c r="AO203" s="138"/>
      <c r="AV203" s="132"/>
      <c r="AW203" s="142"/>
      <c r="AX203" s="143"/>
      <c r="AY203" s="143"/>
      <c r="AZ203" s="143"/>
      <c r="BA203" s="143"/>
      <c r="BB203" s="143"/>
      <c r="BC203" s="144"/>
    </row>
    <row r="204" spans="28:55" ht="15">
      <c r="AB204" s="131"/>
      <c r="AC204" s="146"/>
      <c r="AD204" s="133"/>
      <c r="AE204" s="132"/>
      <c r="AF204" s="132"/>
      <c r="AG204" s="134"/>
      <c r="AL204" s="135"/>
      <c r="AM204" s="136"/>
      <c r="AN204" s="137"/>
      <c r="AO204" s="138"/>
      <c r="AV204" s="132"/>
      <c r="AW204" s="142"/>
      <c r="AX204" s="143"/>
      <c r="AY204" s="143"/>
      <c r="AZ204" s="143"/>
      <c r="BA204" s="143"/>
      <c r="BB204" s="143"/>
      <c r="BC204" s="144"/>
    </row>
    <row r="205" spans="28:55" ht="15">
      <c r="AB205" s="131"/>
      <c r="AC205" s="146"/>
      <c r="AD205" s="133"/>
      <c r="AE205" s="132"/>
      <c r="AF205" s="132"/>
      <c r="AG205" s="134"/>
      <c r="AL205" s="135"/>
      <c r="AM205" s="136"/>
      <c r="AN205" s="137"/>
      <c r="AO205" s="138"/>
      <c r="AV205" s="132"/>
      <c r="AW205" s="142"/>
      <c r="AX205" s="143"/>
      <c r="AY205" s="143"/>
      <c r="AZ205" s="143"/>
      <c r="BA205" s="143"/>
      <c r="BB205" s="143"/>
      <c r="BC205" s="144"/>
    </row>
    <row r="206" spans="28:55" ht="15">
      <c r="AB206" s="131"/>
      <c r="AC206" s="146"/>
      <c r="AD206" s="133"/>
      <c r="AE206" s="132"/>
      <c r="AF206" s="132"/>
      <c r="AG206" s="134"/>
      <c r="AL206" s="135"/>
      <c r="AM206" s="136"/>
      <c r="AN206" s="137"/>
      <c r="AO206" s="138"/>
      <c r="AV206" s="132"/>
      <c r="AW206" s="142"/>
      <c r="AX206" s="143"/>
      <c r="AY206" s="143"/>
      <c r="AZ206" s="143"/>
      <c r="BA206" s="143"/>
      <c r="BB206" s="143"/>
      <c r="BC206" s="144"/>
    </row>
    <row r="207" spans="28:55" ht="15">
      <c r="AB207" s="131"/>
      <c r="AC207" s="146"/>
      <c r="AD207" s="133"/>
      <c r="AE207" s="132"/>
      <c r="AF207" s="132"/>
      <c r="AG207" s="134"/>
      <c r="AL207" s="135"/>
      <c r="AM207" s="136"/>
      <c r="AN207" s="137"/>
      <c r="AO207" s="138"/>
      <c r="AV207" s="132"/>
      <c r="AW207" s="142"/>
      <c r="AX207" s="143"/>
      <c r="AY207" s="143"/>
      <c r="AZ207" s="143"/>
      <c r="BA207" s="143"/>
      <c r="BB207" s="143"/>
      <c r="BC207" s="144"/>
    </row>
    <row r="208" spans="28:55" ht="15">
      <c r="AB208" s="131"/>
      <c r="AC208" s="146"/>
      <c r="AD208" s="133"/>
      <c r="AE208" s="132"/>
      <c r="AF208" s="132"/>
      <c r="AG208" s="134"/>
      <c r="AL208" s="135"/>
      <c r="AM208" s="136"/>
      <c r="AN208" s="137"/>
      <c r="AO208" s="138"/>
      <c r="AV208" s="132"/>
      <c r="AW208" s="142"/>
      <c r="AX208" s="143"/>
      <c r="AY208" s="143"/>
      <c r="AZ208" s="143"/>
      <c r="BA208" s="143"/>
      <c r="BB208" s="143"/>
      <c r="BC208" s="144"/>
    </row>
    <row r="209" spans="28:55" ht="15">
      <c r="AB209" s="131"/>
      <c r="AC209" s="146"/>
      <c r="AD209" s="133"/>
      <c r="AE209" s="132"/>
      <c r="AF209" s="132"/>
      <c r="AG209" s="134"/>
      <c r="AL209" s="135"/>
      <c r="AM209" s="136"/>
      <c r="AN209" s="137"/>
      <c r="AO209" s="138"/>
      <c r="AV209" s="132"/>
      <c r="AW209" s="142"/>
      <c r="AX209" s="143"/>
      <c r="AY209" s="143"/>
      <c r="AZ209" s="143"/>
      <c r="BA209" s="143"/>
      <c r="BB209" s="143"/>
      <c r="BC209" s="144"/>
    </row>
    <row r="210" spans="28:55" ht="15">
      <c r="AB210" s="131"/>
      <c r="AC210" s="146"/>
      <c r="AD210" s="133"/>
      <c r="AE210" s="132"/>
      <c r="AF210" s="132"/>
      <c r="AG210" s="134"/>
      <c r="AL210" s="135"/>
      <c r="AM210" s="136"/>
      <c r="AN210" s="137"/>
      <c r="AO210" s="138"/>
      <c r="AV210" s="132"/>
      <c r="AW210" s="142"/>
      <c r="AX210" s="143"/>
      <c r="AY210" s="143"/>
      <c r="AZ210" s="143"/>
      <c r="BA210" s="143"/>
      <c r="BB210" s="143"/>
      <c r="BC210" s="144"/>
    </row>
    <row r="211" spans="28:55" ht="15">
      <c r="AB211" s="131"/>
      <c r="AC211" s="146"/>
      <c r="AD211" s="133"/>
      <c r="AE211" s="132"/>
      <c r="AF211" s="132"/>
      <c r="AG211" s="134"/>
      <c r="AL211" s="135"/>
      <c r="AM211" s="136"/>
      <c r="AN211" s="137"/>
      <c r="AO211" s="138"/>
      <c r="AV211" s="132"/>
      <c r="AW211" s="142"/>
      <c r="AX211" s="143"/>
      <c r="AY211" s="143"/>
      <c r="AZ211" s="143"/>
      <c r="BA211" s="143"/>
      <c r="BB211" s="143"/>
      <c r="BC211" s="144"/>
    </row>
    <row r="212" spans="28:55" ht="15">
      <c r="AB212" s="131"/>
      <c r="AC212" s="146"/>
      <c r="AD212" s="133"/>
      <c r="AE212" s="132"/>
      <c r="AF212" s="132"/>
      <c r="AG212" s="134"/>
      <c r="AL212" s="135"/>
      <c r="AM212" s="136"/>
      <c r="AN212" s="137"/>
      <c r="AO212" s="138"/>
      <c r="AV212" s="132"/>
      <c r="AW212" s="142"/>
      <c r="AX212" s="143"/>
      <c r="AY212" s="143"/>
      <c r="AZ212" s="143"/>
      <c r="BA212" s="143"/>
      <c r="BB212" s="143"/>
      <c r="BC212" s="144"/>
    </row>
    <row r="213" spans="28:55" ht="15">
      <c r="AB213" s="131"/>
      <c r="AC213" s="146"/>
      <c r="AD213" s="133"/>
      <c r="AE213" s="132"/>
      <c r="AF213" s="132"/>
      <c r="AG213" s="134"/>
      <c r="AL213" s="135"/>
      <c r="AM213" s="136"/>
      <c r="AN213" s="137"/>
      <c r="AO213" s="138"/>
      <c r="AV213" s="132"/>
      <c r="AW213" s="142"/>
      <c r="AX213" s="143"/>
      <c r="AY213" s="143"/>
      <c r="AZ213" s="143"/>
      <c r="BA213" s="143"/>
      <c r="BB213" s="143"/>
      <c r="BC213" s="144"/>
    </row>
    <row r="214" spans="28:55" ht="15">
      <c r="AB214" s="131"/>
      <c r="AC214" s="146"/>
      <c r="AD214" s="133"/>
      <c r="AE214" s="132"/>
      <c r="AF214" s="132"/>
      <c r="AG214" s="134"/>
      <c r="AL214" s="135"/>
      <c r="AM214" s="136"/>
      <c r="AN214" s="137"/>
      <c r="AO214" s="138"/>
      <c r="AV214" s="132"/>
      <c r="AW214" s="142"/>
      <c r="AX214" s="143"/>
      <c r="AY214" s="143"/>
      <c r="AZ214" s="143"/>
      <c r="BA214" s="143"/>
      <c r="BB214" s="143"/>
      <c r="BC214" s="144"/>
    </row>
    <row r="215" spans="28:55" ht="15">
      <c r="AB215" s="131"/>
      <c r="AC215" s="146"/>
      <c r="AD215" s="133"/>
      <c r="AE215" s="132"/>
      <c r="AF215" s="132"/>
      <c r="AG215" s="134"/>
      <c r="AL215" s="135"/>
      <c r="AM215" s="136"/>
      <c r="AN215" s="137"/>
      <c r="AO215" s="138"/>
      <c r="AV215" s="132"/>
      <c r="AW215" s="142"/>
      <c r="AX215" s="143"/>
      <c r="AY215" s="143"/>
      <c r="AZ215" s="143"/>
      <c r="BA215" s="143"/>
      <c r="BB215" s="143"/>
      <c r="BC215" s="144"/>
    </row>
    <row r="216" spans="28:55" ht="15">
      <c r="AB216" s="131"/>
      <c r="AC216" s="146"/>
      <c r="AD216" s="133"/>
      <c r="AE216" s="132"/>
      <c r="AF216" s="132"/>
      <c r="AG216" s="134"/>
      <c r="AL216" s="135"/>
      <c r="AM216" s="136"/>
      <c r="AN216" s="137"/>
      <c r="AO216" s="138"/>
      <c r="AV216" s="132"/>
      <c r="AW216" s="142"/>
      <c r="AX216" s="143"/>
      <c r="AY216" s="143"/>
      <c r="AZ216" s="143"/>
      <c r="BA216" s="143"/>
      <c r="BB216" s="143"/>
      <c r="BC216" s="144"/>
    </row>
    <row r="217" spans="28:55" ht="15">
      <c r="AB217" s="131"/>
      <c r="AC217" s="146"/>
      <c r="AD217" s="133"/>
      <c r="AE217" s="132"/>
      <c r="AF217" s="132"/>
      <c r="AG217" s="134"/>
      <c r="AL217" s="135"/>
      <c r="AM217" s="136"/>
      <c r="AN217" s="137"/>
      <c r="AO217" s="138"/>
      <c r="AV217" s="132"/>
      <c r="AW217" s="142"/>
      <c r="AX217" s="143"/>
      <c r="AY217" s="143"/>
      <c r="AZ217" s="143"/>
      <c r="BA217" s="143"/>
      <c r="BB217" s="143"/>
      <c r="BC217" s="144"/>
    </row>
    <row r="218" spans="28:55" ht="15">
      <c r="AB218" s="131"/>
      <c r="AC218" s="132"/>
      <c r="AD218" s="133"/>
      <c r="AE218" s="132"/>
      <c r="AF218" s="132"/>
      <c r="AG218" s="134"/>
      <c r="AL218" s="135"/>
      <c r="AM218" s="136"/>
      <c r="AN218" s="137"/>
      <c r="AO218" s="138"/>
      <c r="AV218" s="132"/>
      <c r="AW218" s="142"/>
      <c r="AX218" s="143"/>
      <c r="AY218" s="143"/>
      <c r="AZ218" s="143"/>
      <c r="BA218" s="143"/>
      <c r="BB218" s="143"/>
      <c r="BC218" s="144"/>
    </row>
    <row r="219" spans="28:55" ht="15">
      <c r="AB219" s="131"/>
      <c r="AC219" s="132"/>
      <c r="AD219" s="133"/>
      <c r="AE219" s="132"/>
      <c r="AF219" s="132"/>
      <c r="AG219" s="134"/>
      <c r="AL219" s="135"/>
      <c r="AM219" s="136"/>
      <c r="AN219" s="137"/>
      <c r="AO219" s="138"/>
      <c r="AV219" s="132"/>
      <c r="AW219" s="142"/>
      <c r="AX219" s="143"/>
      <c r="AY219" s="143"/>
      <c r="AZ219" s="143"/>
      <c r="BA219" s="143"/>
      <c r="BB219" s="143"/>
      <c r="BC219" s="144"/>
    </row>
    <row r="220" spans="28:55" ht="15">
      <c r="AB220" s="131"/>
      <c r="AC220" s="146"/>
      <c r="AD220" s="133"/>
      <c r="AE220" s="132"/>
      <c r="AF220" s="132"/>
      <c r="AG220" s="134"/>
      <c r="AL220" s="135"/>
      <c r="AM220" s="136"/>
      <c r="AN220" s="137"/>
      <c r="AO220" s="138"/>
      <c r="AV220" s="132"/>
      <c r="AW220" s="142"/>
      <c r="AX220" s="143"/>
      <c r="AY220" s="143"/>
      <c r="AZ220" s="143"/>
      <c r="BA220" s="143"/>
      <c r="BB220" s="143"/>
      <c r="BC220" s="144"/>
    </row>
    <row r="221" spans="28:55" ht="15">
      <c r="AB221" s="131"/>
      <c r="AC221" s="146"/>
      <c r="AD221" s="133"/>
      <c r="AE221" s="132"/>
      <c r="AF221" s="132"/>
      <c r="AG221" s="134"/>
      <c r="AL221" s="135"/>
      <c r="AM221" s="136"/>
      <c r="AN221" s="137"/>
      <c r="AO221" s="138"/>
      <c r="AV221" s="132"/>
      <c r="AW221" s="142"/>
      <c r="AX221" s="143"/>
      <c r="AY221" s="143"/>
      <c r="AZ221" s="143"/>
      <c r="BA221" s="143"/>
      <c r="BB221" s="143"/>
      <c r="BC221" s="144"/>
    </row>
    <row r="222" spans="28:55" ht="15">
      <c r="AB222" s="131"/>
      <c r="AC222" s="146"/>
      <c r="AD222" s="133"/>
      <c r="AE222" s="132"/>
      <c r="AF222" s="132"/>
      <c r="AG222" s="134"/>
      <c r="AL222" s="135"/>
      <c r="AM222" s="136"/>
      <c r="AN222" s="137"/>
      <c r="AO222" s="138"/>
      <c r="AV222" s="132"/>
      <c r="AW222" s="142"/>
      <c r="AX222" s="143"/>
      <c r="AY222" s="143"/>
      <c r="AZ222" s="143"/>
      <c r="BA222" s="143"/>
      <c r="BB222" s="143"/>
      <c r="BC222" s="144"/>
    </row>
    <row r="223" spans="28:55" ht="15">
      <c r="AB223" s="131"/>
      <c r="AC223" s="146"/>
      <c r="AD223" s="133"/>
      <c r="AE223" s="132"/>
      <c r="AF223" s="132"/>
      <c r="AG223" s="134"/>
      <c r="AL223" s="135"/>
      <c r="AM223" s="136"/>
      <c r="AN223" s="137"/>
      <c r="AO223" s="138"/>
      <c r="AV223" s="132"/>
      <c r="AW223" s="142"/>
      <c r="AX223" s="143"/>
      <c r="AY223" s="143"/>
      <c r="AZ223" s="143"/>
      <c r="BA223" s="143"/>
      <c r="BB223" s="143"/>
      <c r="BC223" s="144"/>
    </row>
    <row r="224" spans="28:55" ht="15">
      <c r="AB224" s="131"/>
      <c r="AC224" s="146"/>
      <c r="AD224" s="133"/>
      <c r="AE224" s="132"/>
      <c r="AF224" s="132"/>
      <c r="AG224" s="134"/>
      <c r="AL224" s="135"/>
      <c r="AM224" s="136"/>
      <c r="AN224" s="137"/>
      <c r="AO224" s="138"/>
      <c r="AV224" s="132"/>
      <c r="AW224" s="142"/>
      <c r="AX224" s="143"/>
      <c r="AY224" s="143"/>
      <c r="AZ224" s="143"/>
      <c r="BA224" s="143"/>
      <c r="BB224" s="143"/>
      <c r="BC224" s="144"/>
    </row>
    <row r="225" spans="28:55" ht="15">
      <c r="AB225" s="131"/>
      <c r="AC225" s="146"/>
      <c r="AD225" s="133"/>
      <c r="AE225" s="132"/>
      <c r="AF225" s="132"/>
      <c r="AG225" s="134"/>
      <c r="AL225" s="135"/>
      <c r="AM225" s="136"/>
      <c r="AN225" s="137"/>
      <c r="AO225" s="138"/>
      <c r="AV225" s="132"/>
      <c r="AW225" s="142"/>
      <c r="AX225" s="143"/>
      <c r="AY225" s="143"/>
      <c r="AZ225" s="143"/>
      <c r="BA225" s="143"/>
      <c r="BB225" s="143"/>
      <c r="BC225" s="144"/>
    </row>
    <row r="226" spans="28:55" ht="15">
      <c r="AB226" s="131"/>
      <c r="AC226" s="146"/>
      <c r="AD226" s="133"/>
      <c r="AE226" s="132"/>
      <c r="AF226" s="132"/>
      <c r="AG226" s="134"/>
      <c r="AL226" s="135"/>
      <c r="AM226" s="136"/>
      <c r="AN226" s="137"/>
      <c r="AO226" s="138"/>
      <c r="AV226" s="132"/>
      <c r="AW226" s="142"/>
      <c r="AX226" s="143"/>
      <c r="AY226" s="143"/>
      <c r="AZ226" s="143"/>
      <c r="BA226" s="143"/>
      <c r="BB226" s="143"/>
      <c r="BC226" s="144"/>
    </row>
    <row r="227" spans="28:55" ht="15">
      <c r="AB227" s="131"/>
      <c r="AC227" s="146"/>
      <c r="AD227" s="133"/>
      <c r="AE227" s="132"/>
      <c r="AF227" s="132"/>
      <c r="AG227" s="134"/>
      <c r="AL227" s="135"/>
      <c r="AM227" s="136"/>
      <c r="AN227" s="137"/>
      <c r="AO227" s="138"/>
      <c r="AV227" s="132"/>
      <c r="AW227" s="142"/>
      <c r="AX227" s="143"/>
      <c r="AY227" s="143"/>
      <c r="AZ227" s="143"/>
      <c r="BA227" s="143"/>
      <c r="BB227" s="143"/>
      <c r="BC227" s="144"/>
    </row>
    <row r="228" spans="28:55" ht="15">
      <c r="AB228" s="131"/>
      <c r="AC228" s="146"/>
      <c r="AD228" s="133"/>
      <c r="AE228" s="132"/>
      <c r="AF228" s="132"/>
      <c r="AG228" s="134"/>
      <c r="AL228" s="135"/>
      <c r="AM228" s="136"/>
      <c r="AN228" s="137"/>
      <c r="AO228" s="138"/>
      <c r="AV228" s="132"/>
      <c r="AW228" s="142"/>
      <c r="AX228" s="143"/>
      <c r="AY228" s="143"/>
      <c r="AZ228" s="143"/>
      <c r="BA228" s="143"/>
      <c r="BB228" s="143"/>
      <c r="BC228" s="144"/>
    </row>
    <row r="229" spans="28:55" ht="15">
      <c r="AB229" s="131"/>
      <c r="AC229" s="146"/>
      <c r="AD229" s="133"/>
      <c r="AE229" s="132"/>
      <c r="AF229" s="132"/>
      <c r="AG229" s="134"/>
      <c r="AL229" s="135"/>
      <c r="AM229" s="136"/>
      <c r="AN229" s="137"/>
      <c r="AO229" s="138"/>
      <c r="AV229" s="132"/>
      <c r="AW229" s="142"/>
      <c r="AX229" s="143"/>
      <c r="AY229" s="143"/>
      <c r="AZ229" s="143"/>
      <c r="BA229" s="143"/>
      <c r="BB229" s="143"/>
      <c r="BC229" s="144"/>
    </row>
    <row r="230" spans="28:55" ht="15">
      <c r="AB230" s="131"/>
      <c r="AC230" s="146"/>
      <c r="AD230" s="133"/>
      <c r="AE230" s="132"/>
      <c r="AF230" s="132"/>
      <c r="AG230" s="134"/>
      <c r="AL230" s="135"/>
      <c r="AM230" s="136"/>
      <c r="AN230" s="137"/>
      <c r="AO230" s="138"/>
      <c r="AV230" s="132"/>
      <c r="AW230" s="142"/>
      <c r="AX230" s="143"/>
      <c r="AY230" s="143"/>
      <c r="AZ230" s="143"/>
      <c r="BA230" s="143"/>
      <c r="BB230" s="143"/>
      <c r="BC230" s="144"/>
    </row>
    <row r="231" spans="28:55" ht="15">
      <c r="AB231" s="131"/>
      <c r="AC231" s="146"/>
      <c r="AD231" s="133"/>
      <c r="AE231" s="132"/>
      <c r="AF231" s="132"/>
      <c r="AG231" s="134"/>
      <c r="AL231" s="135"/>
      <c r="AM231" s="136"/>
      <c r="AN231" s="137"/>
      <c r="AO231" s="138"/>
      <c r="AV231" s="132"/>
      <c r="AW231" s="142"/>
      <c r="AX231" s="143"/>
      <c r="AY231" s="143"/>
      <c r="AZ231" s="143"/>
      <c r="BA231" s="143"/>
      <c r="BB231" s="143"/>
      <c r="BC231" s="144"/>
    </row>
    <row r="232" spans="28:55" ht="15">
      <c r="AB232" s="131"/>
      <c r="AC232" s="146"/>
      <c r="AD232" s="133"/>
      <c r="AE232" s="132"/>
      <c r="AF232" s="132"/>
      <c r="AG232" s="134"/>
      <c r="AL232" s="135"/>
      <c r="AM232" s="136"/>
      <c r="AN232" s="137"/>
      <c r="AO232" s="138"/>
      <c r="AV232" s="132"/>
      <c r="AW232" s="142"/>
      <c r="AX232" s="143"/>
      <c r="AY232" s="143"/>
      <c r="AZ232" s="143"/>
      <c r="BA232" s="143"/>
      <c r="BB232" s="143"/>
      <c r="BC232" s="144"/>
    </row>
    <row r="233" spans="28:55" ht="15">
      <c r="AB233" s="131"/>
      <c r="AC233" s="146"/>
      <c r="AD233" s="133"/>
      <c r="AE233" s="132"/>
      <c r="AF233" s="132"/>
      <c r="AG233" s="134"/>
      <c r="AL233" s="135"/>
      <c r="AM233" s="136"/>
      <c r="AN233" s="137"/>
      <c r="AO233" s="138"/>
      <c r="AV233" s="132"/>
      <c r="AW233" s="142"/>
      <c r="AX233" s="143"/>
      <c r="AY233" s="143"/>
      <c r="AZ233" s="143"/>
      <c r="BA233" s="143"/>
      <c r="BB233" s="143"/>
      <c r="BC233" s="144"/>
    </row>
    <row r="234" spans="28:55" ht="15">
      <c r="AB234" s="131"/>
      <c r="AC234" s="146"/>
      <c r="AD234" s="133"/>
      <c r="AE234" s="132"/>
      <c r="AF234" s="132"/>
      <c r="AG234" s="134"/>
      <c r="AL234" s="135"/>
      <c r="AM234" s="136"/>
      <c r="AN234" s="137"/>
      <c r="AO234" s="138"/>
      <c r="AV234" s="132"/>
      <c r="AW234" s="142"/>
      <c r="AX234" s="143"/>
      <c r="AY234" s="143"/>
      <c r="AZ234" s="143"/>
      <c r="BA234" s="143"/>
      <c r="BB234" s="143"/>
      <c r="BC234" s="144"/>
    </row>
    <row r="235" spans="28:55" ht="15">
      <c r="AB235" s="131"/>
      <c r="AC235" s="146"/>
      <c r="AD235" s="133"/>
      <c r="AE235" s="132"/>
      <c r="AF235" s="132"/>
      <c r="AG235" s="134"/>
      <c r="AL235" s="135"/>
      <c r="AM235" s="136"/>
      <c r="AN235" s="137"/>
      <c r="AO235" s="138"/>
      <c r="AV235" s="132"/>
      <c r="AW235" s="142"/>
      <c r="AX235" s="143"/>
      <c r="AY235" s="143"/>
      <c r="AZ235" s="143"/>
      <c r="BA235" s="143"/>
      <c r="BB235" s="143"/>
      <c r="BC235" s="144"/>
    </row>
    <row r="236" spans="28:55" ht="15">
      <c r="AB236" s="131"/>
      <c r="AC236" s="146"/>
      <c r="AD236" s="133"/>
      <c r="AE236" s="132"/>
      <c r="AF236" s="132"/>
      <c r="AG236" s="134"/>
      <c r="AL236" s="135"/>
      <c r="AM236" s="136"/>
      <c r="AN236" s="137"/>
      <c r="AO236" s="138"/>
      <c r="AV236" s="132"/>
      <c r="AW236" s="142"/>
      <c r="AX236" s="143"/>
      <c r="AY236" s="143"/>
      <c r="AZ236" s="143"/>
      <c r="BA236" s="143"/>
      <c r="BB236" s="143"/>
      <c r="BC236" s="144"/>
    </row>
    <row r="237" spans="28:55" ht="15">
      <c r="AB237" s="131"/>
      <c r="AC237" s="146"/>
      <c r="AD237" s="133"/>
      <c r="AE237" s="132"/>
      <c r="AF237" s="132"/>
      <c r="AG237" s="134"/>
      <c r="AL237" s="135"/>
      <c r="AM237" s="136"/>
      <c r="AN237" s="137"/>
      <c r="AO237" s="138"/>
      <c r="AV237" s="132"/>
      <c r="AW237" s="142"/>
      <c r="AX237" s="143"/>
      <c r="AY237" s="143"/>
      <c r="AZ237" s="143"/>
      <c r="BA237" s="143"/>
      <c r="BB237" s="143"/>
      <c r="BC237" s="144"/>
    </row>
    <row r="238" spans="28:55" ht="15">
      <c r="AB238" s="131"/>
      <c r="AC238" s="146"/>
      <c r="AD238" s="133"/>
      <c r="AE238" s="132"/>
      <c r="AF238" s="132"/>
      <c r="AG238" s="134"/>
      <c r="AL238" s="135"/>
      <c r="AM238" s="136"/>
      <c r="AN238" s="137"/>
      <c r="AO238" s="138"/>
      <c r="AV238" s="132"/>
      <c r="AW238" s="142"/>
      <c r="AX238" s="143"/>
      <c r="AY238" s="143"/>
      <c r="AZ238" s="143"/>
      <c r="BA238" s="143"/>
      <c r="BB238" s="143"/>
      <c r="BC238" s="144"/>
    </row>
    <row r="239" spans="28:55" ht="15">
      <c r="AB239" s="131"/>
      <c r="AC239" s="146"/>
      <c r="AD239" s="133"/>
      <c r="AE239" s="132"/>
      <c r="AF239" s="132"/>
      <c r="AG239" s="134"/>
      <c r="AL239" s="135"/>
      <c r="AM239" s="136"/>
      <c r="AN239" s="137"/>
      <c r="AO239" s="138"/>
      <c r="AV239" s="132"/>
      <c r="AW239" s="142"/>
      <c r="AX239" s="143"/>
      <c r="AY239" s="143"/>
      <c r="AZ239" s="143"/>
      <c r="BA239" s="143"/>
      <c r="BB239" s="143"/>
      <c r="BC239" s="144"/>
    </row>
    <row r="240" spans="28:55" ht="15">
      <c r="AB240" s="131"/>
      <c r="AC240" s="146"/>
      <c r="AD240" s="133"/>
      <c r="AE240" s="132"/>
      <c r="AF240" s="132"/>
      <c r="AG240" s="134"/>
      <c r="AL240" s="135"/>
      <c r="AM240" s="136"/>
      <c r="AN240" s="137"/>
      <c r="AO240" s="138"/>
      <c r="AV240" s="132"/>
      <c r="AW240" s="142"/>
      <c r="AX240" s="143"/>
      <c r="AY240" s="143"/>
      <c r="AZ240" s="143"/>
      <c r="BA240" s="143"/>
      <c r="BB240" s="143"/>
      <c r="BC240" s="144"/>
    </row>
    <row r="241" spans="28:55" ht="15">
      <c r="AB241" s="131"/>
      <c r="AC241" s="146"/>
      <c r="AD241" s="133"/>
      <c r="AE241" s="132"/>
      <c r="AF241" s="132"/>
      <c r="AG241" s="134"/>
      <c r="AL241" s="135"/>
      <c r="AM241" s="136"/>
      <c r="AN241" s="137"/>
      <c r="AO241" s="138"/>
      <c r="AV241" s="132"/>
      <c r="AW241" s="142"/>
      <c r="AX241" s="143"/>
      <c r="AY241" s="143"/>
      <c r="AZ241" s="143"/>
      <c r="BA241" s="143"/>
      <c r="BB241" s="143"/>
      <c r="BC241" s="144"/>
    </row>
    <row r="242" spans="28:55" ht="15">
      <c r="AB242" s="131"/>
      <c r="AC242" s="146"/>
      <c r="AD242" s="133"/>
      <c r="AE242" s="132"/>
      <c r="AF242" s="132"/>
      <c r="AG242" s="134"/>
      <c r="AL242" s="135"/>
      <c r="AM242" s="136"/>
      <c r="AN242" s="137"/>
      <c r="AO242" s="138"/>
      <c r="AV242" s="132"/>
      <c r="AW242" s="142"/>
      <c r="AX242" s="143"/>
      <c r="AY242" s="143"/>
      <c r="AZ242" s="143"/>
      <c r="BA242" s="143"/>
      <c r="BB242" s="143"/>
      <c r="BC242" s="144"/>
    </row>
    <row r="243" spans="28:55" ht="15">
      <c r="AB243" s="131"/>
      <c r="AC243" s="146"/>
      <c r="AD243" s="133"/>
      <c r="AE243" s="132"/>
      <c r="AF243" s="132"/>
      <c r="AG243" s="134"/>
      <c r="AL243" s="135"/>
      <c r="AM243" s="136"/>
      <c r="AN243" s="137"/>
      <c r="AO243" s="138"/>
      <c r="AV243" s="132"/>
      <c r="AW243" s="142"/>
      <c r="AX243" s="143"/>
      <c r="AY243" s="143"/>
      <c r="AZ243" s="143"/>
      <c r="BA243" s="143"/>
      <c r="BB243" s="143"/>
      <c r="BC243" s="144"/>
    </row>
    <row r="244" spans="28:55" ht="15">
      <c r="AB244" s="131"/>
      <c r="AC244" s="146"/>
      <c r="AD244" s="133"/>
      <c r="AE244" s="132"/>
      <c r="AF244" s="132"/>
      <c r="AG244" s="134"/>
      <c r="AL244" s="135"/>
      <c r="AM244" s="136"/>
      <c r="AN244" s="137"/>
      <c r="AO244" s="138"/>
      <c r="AV244" s="132"/>
      <c r="AW244" s="142"/>
      <c r="AX244" s="143"/>
      <c r="AY244" s="143"/>
      <c r="AZ244" s="143"/>
      <c r="BA244" s="143"/>
      <c r="BB244" s="143"/>
      <c r="BC244" s="144"/>
    </row>
    <row r="245" spans="28:55" ht="15">
      <c r="AB245" s="131"/>
      <c r="AC245" s="146"/>
      <c r="AD245" s="133"/>
      <c r="AE245" s="132"/>
      <c r="AF245" s="132"/>
      <c r="AG245" s="134"/>
      <c r="AL245" s="135"/>
      <c r="AM245" s="136"/>
      <c r="AN245" s="137"/>
      <c r="AO245" s="138"/>
      <c r="AV245" s="132"/>
      <c r="AW245" s="142"/>
      <c r="AX245" s="143"/>
      <c r="AY245" s="143"/>
      <c r="AZ245" s="143"/>
      <c r="BA245" s="143"/>
      <c r="BB245" s="143"/>
      <c r="BC245" s="144"/>
    </row>
    <row r="246" spans="28:55" ht="15">
      <c r="AB246" s="131"/>
      <c r="AC246" s="146"/>
      <c r="AD246" s="133"/>
      <c r="AE246" s="132"/>
      <c r="AF246" s="132"/>
      <c r="AG246" s="134"/>
      <c r="AL246" s="135"/>
      <c r="AM246" s="136"/>
      <c r="AN246" s="137"/>
      <c r="AO246" s="138"/>
      <c r="AV246" s="132"/>
      <c r="AW246" s="142"/>
      <c r="AX246" s="143"/>
      <c r="AY246" s="143"/>
      <c r="AZ246" s="143"/>
      <c r="BA246" s="143"/>
      <c r="BB246" s="143"/>
      <c r="BC246" s="144"/>
    </row>
    <row r="247" spans="28:55" ht="15">
      <c r="AB247" s="131"/>
      <c r="AC247" s="146"/>
      <c r="AD247" s="133"/>
      <c r="AE247" s="132"/>
      <c r="AF247" s="132"/>
      <c r="AG247" s="134"/>
      <c r="AL247" s="135"/>
      <c r="AM247" s="136"/>
      <c r="AN247" s="137"/>
      <c r="AO247" s="138"/>
      <c r="AV247" s="132"/>
      <c r="AW247" s="142"/>
      <c r="AX247" s="143"/>
      <c r="AY247" s="143"/>
      <c r="AZ247" s="143"/>
      <c r="BA247" s="143"/>
      <c r="BB247" s="143"/>
      <c r="BC247" s="144"/>
    </row>
    <row r="248" spans="28:55" ht="15">
      <c r="AB248" s="131"/>
      <c r="AD248" s="133"/>
      <c r="AE248" s="132"/>
      <c r="AF248" s="132"/>
      <c r="AG248" s="134"/>
      <c r="AL248" s="135"/>
      <c r="AM248" s="136"/>
      <c r="AN248" s="137"/>
      <c r="AO248" s="138"/>
      <c r="AV248" s="132"/>
      <c r="AW248" s="142"/>
      <c r="AX248" s="143"/>
      <c r="AY248" s="143"/>
      <c r="AZ248" s="143"/>
      <c r="BA248" s="143"/>
      <c r="BB248" s="143"/>
      <c r="BC248" s="144"/>
    </row>
    <row r="249" spans="28:55" ht="15">
      <c r="AB249" s="131"/>
      <c r="AC249" s="146"/>
      <c r="AD249" s="133"/>
      <c r="AE249" s="132"/>
      <c r="AF249" s="132"/>
      <c r="AG249" s="134"/>
      <c r="AL249" s="135"/>
      <c r="AM249" s="136"/>
      <c r="AN249" s="137"/>
      <c r="AO249" s="138"/>
      <c r="AV249" s="132"/>
      <c r="AW249" s="142"/>
      <c r="AX249" s="143"/>
      <c r="AY249" s="143"/>
      <c r="AZ249" s="143"/>
      <c r="BA249" s="143"/>
      <c r="BB249" s="143"/>
      <c r="BC249" s="144"/>
    </row>
    <row r="250" spans="28:55" ht="15">
      <c r="AB250" s="131"/>
      <c r="AC250" s="146"/>
      <c r="AD250" s="133"/>
      <c r="AE250" s="132"/>
      <c r="AF250" s="132"/>
      <c r="AG250" s="134"/>
      <c r="AL250" s="135"/>
      <c r="AM250" s="136"/>
      <c r="AN250" s="137"/>
      <c r="AO250" s="138"/>
      <c r="AV250" s="132"/>
      <c r="AW250" s="142"/>
      <c r="AX250" s="143"/>
      <c r="AY250" s="143"/>
      <c r="AZ250" s="143"/>
      <c r="BA250" s="143"/>
      <c r="BB250" s="143"/>
      <c r="BC250" s="144"/>
    </row>
    <row r="251" spans="28:55" ht="15">
      <c r="AB251" s="131"/>
      <c r="AC251" s="146"/>
      <c r="AD251" s="133"/>
      <c r="AE251" s="132"/>
      <c r="AF251" s="132"/>
      <c r="AG251" s="134"/>
      <c r="AL251" s="135"/>
      <c r="AM251" s="136"/>
      <c r="AN251" s="137"/>
      <c r="AO251" s="138"/>
      <c r="AV251" s="132"/>
      <c r="AW251" s="142"/>
      <c r="AX251" s="143"/>
      <c r="AY251" s="143"/>
      <c r="AZ251" s="143"/>
      <c r="BA251" s="143"/>
      <c r="BB251" s="143"/>
      <c r="BC251" s="144"/>
    </row>
    <row r="252" spans="28:55" ht="15">
      <c r="AB252" s="131"/>
      <c r="AC252" s="146"/>
      <c r="AD252" s="133"/>
      <c r="AE252" s="132"/>
      <c r="AF252" s="132"/>
      <c r="AG252" s="134"/>
      <c r="AL252" s="135"/>
      <c r="AM252" s="136"/>
      <c r="AN252" s="137"/>
      <c r="AO252" s="138"/>
      <c r="AV252" s="132"/>
      <c r="AW252" s="142"/>
      <c r="AX252" s="143"/>
      <c r="AY252" s="143"/>
      <c r="AZ252" s="143"/>
      <c r="BA252" s="143"/>
      <c r="BB252" s="143"/>
      <c r="BC252" s="144"/>
    </row>
    <row r="253" spans="28:55" ht="15">
      <c r="AB253" s="131"/>
      <c r="AC253" s="146"/>
      <c r="AD253" s="133"/>
      <c r="AE253" s="132"/>
      <c r="AF253" s="132"/>
      <c r="AG253" s="134"/>
      <c r="AL253" s="135"/>
      <c r="AM253" s="136"/>
      <c r="AN253" s="137"/>
      <c r="AO253" s="138"/>
      <c r="AV253" s="132"/>
      <c r="AW253" s="142"/>
      <c r="AX253" s="143"/>
      <c r="AY253" s="143"/>
      <c r="AZ253" s="143"/>
      <c r="BA253" s="143"/>
      <c r="BB253" s="143"/>
      <c r="BC253" s="144"/>
    </row>
    <row r="254" spans="28:55" ht="15">
      <c r="AB254" s="131"/>
      <c r="AC254" s="146"/>
      <c r="AD254" s="133"/>
      <c r="AE254" s="132"/>
      <c r="AF254" s="132"/>
      <c r="AG254" s="134"/>
      <c r="AL254" s="135"/>
      <c r="AM254" s="136"/>
      <c r="AN254" s="137"/>
      <c r="AO254" s="138"/>
      <c r="AV254" s="132"/>
      <c r="AW254" s="142"/>
      <c r="AX254" s="143"/>
      <c r="AY254" s="143"/>
      <c r="AZ254" s="143"/>
      <c r="BA254" s="143"/>
      <c r="BB254" s="143"/>
      <c r="BC254" s="144"/>
    </row>
    <row r="255" spans="28:55" ht="15">
      <c r="AB255" s="131"/>
      <c r="AC255" s="146"/>
      <c r="AD255" s="133"/>
      <c r="AE255" s="132"/>
      <c r="AF255" s="132"/>
      <c r="AG255" s="134"/>
      <c r="AL255" s="135"/>
      <c r="AM255" s="136"/>
      <c r="AN255" s="137"/>
      <c r="AO255" s="138"/>
      <c r="AV255" s="132"/>
      <c r="AW255" s="142"/>
      <c r="AX255" s="143"/>
      <c r="AY255" s="143"/>
      <c r="AZ255" s="143"/>
      <c r="BA255" s="143"/>
      <c r="BB255" s="143"/>
      <c r="BC255" s="144"/>
    </row>
    <row r="256" spans="28:55" ht="15">
      <c r="AB256" s="131"/>
      <c r="AC256" s="146"/>
      <c r="AD256" s="133"/>
      <c r="AE256" s="132"/>
      <c r="AF256" s="132"/>
      <c r="AG256" s="134"/>
      <c r="AL256" s="135"/>
      <c r="AM256" s="136"/>
      <c r="AN256" s="137"/>
      <c r="AO256" s="138"/>
      <c r="AV256" s="132"/>
      <c r="AW256" s="142"/>
      <c r="AX256" s="143"/>
      <c r="AY256" s="143"/>
      <c r="AZ256" s="143"/>
      <c r="BA256" s="143"/>
      <c r="BB256" s="143"/>
      <c r="BC256" s="144"/>
    </row>
    <row r="257" spans="28:55" ht="15">
      <c r="AB257" s="131"/>
      <c r="AC257" s="146"/>
      <c r="AD257" s="133"/>
      <c r="AE257" s="132"/>
      <c r="AF257" s="132"/>
      <c r="AG257" s="134"/>
      <c r="AL257" s="135"/>
      <c r="AM257" s="136"/>
      <c r="AN257" s="137"/>
      <c r="AO257" s="138"/>
      <c r="AV257" s="132"/>
      <c r="AW257" s="142"/>
      <c r="AX257" s="143"/>
      <c r="AY257" s="143"/>
      <c r="AZ257" s="143"/>
      <c r="BA257" s="143"/>
      <c r="BB257" s="143"/>
      <c r="BC257" s="144"/>
    </row>
    <row r="258" spans="28:55" ht="15">
      <c r="AB258" s="131"/>
      <c r="AC258" s="146"/>
      <c r="AD258" s="133"/>
      <c r="AE258" s="132"/>
      <c r="AF258" s="132"/>
      <c r="AG258" s="134"/>
      <c r="AL258" s="135"/>
      <c r="AM258" s="136"/>
      <c r="AN258" s="137"/>
      <c r="AO258" s="138"/>
      <c r="AV258" s="132"/>
      <c r="AW258" s="142"/>
      <c r="AX258" s="143"/>
      <c r="AY258" s="143"/>
      <c r="AZ258" s="143"/>
      <c r="BA258" s="143"/>
      <c r="BB258" s="143"/>
      <c r="BC258" s="144"/>
    </row>
    <row r="259" spans="28:55" ht="15">
      <c r="AB259" s="131"/>
      <c r="AC259" s="146"/>
      <c r="AD259" s="133"/>
      <c r="AE259" s="132"/>
      <c r="AF259" s="132"/>
      <c r="AG259" s="134"/>
      <c r="AL259" s="135"/>
      <c r="AM259" s="136"/>
      <c r="AN259" s="137"/>
      <c r="AO259" s="138"/>
      <c r="AV259" s="132"/>
      <c r="AW259" s="142"/>
      <c r="AX259" s="143"/>
      <c r="AY259" s="143"/>
      <c r="AZ259" s="143"/>
      <c r="BA259" s="143"/>
      <c r="BB259" s="143"/>
      <c r="BC259" s="144"/>
    </row>
    <row r="260" spans="28:55" ht="15">
      <c r="AB260" s="131"/>
      <c r="AC260" s="146"/>
      <c r="AD260" s="133"/>
      <c r="AE260" s="132"/>
      <c r="AF260" s="132"/>
      <c r="AG260" s="134"/>
      <c r="AL260" s="135"/>
      <c r="AM260" s="136"/>
      <c r="AN260" s="137"/>
      <c r="AO260" s="138"/>
      <c r="AV260" s="132"/>
      <c r="AW260" s="142"/>
      <c r="AX260" s="143"/>
      <c r="AY260" s="143"/>
      <c r="AZ260" s="143"/>
      <c r="BA260" s="143"/>
      <c r="BB260" s="143"/>
      <c r="BC260" s="144"/>
    </row>
    <row r="261" spans="28:55" ht="15">
      <c r="AB261" s="131"/>
      <c r="AC261" s="146"/>
      <c r="AD261" s="133"/>
      <c r="AE261" s="132"/>
      <c r="AF261" s="132"/>
      <c r="AG261" s="134"/>
      <c r="AL261" s="135"/>
      <c r="AM261" s="136"/>
      <c r="AN261" s="137"/>
      <c r="AO261" s="138"/>
      <c r="AV261" s="132"/>
      <c r="AW261" s="142"/>
      <c r="AX261" s="143"/>
      <c r="AY261" s="143"/>
      <c r="AZ261" s="143"/>
      <c r="BA261" s="143"/>
      <c r="BB261" s="143"/>
      <c r="BC261" s="144"/>
    </row>
    <row r="262" spans="28:55" ht="15">
      <c r="AB262" s="131"/>
      <c r="AC262" s="146"/>
      <c r="AD262" s="133"/>
      <c r="AE262" s="132"/>
      <c r="AF262" s="132"/>
      <c r="AG262" s="134"/>
      <c r="AL262" s="135"/>
      <c r="AM262" s="136"/>
      <c r="AN262" s="137"/>
      <c r="AO262" s="138"/>
      <c r="AV262" s="132"/>
      <c r="AW262" s="142"/>
      <c r="AX262" s="143"/>
      <c r="AY262" s="143"/>
      <c r="AZ262" s="143"/>
      <c r="BA262" s="143"/>
      <c r="BB262" s="143"/>
      <c r="BC262" s="144"/>
    </row>
    <row r="263" spans="28:55" ht="15">
      <c r="AB263" s="131"/>
      <c r="AC263" s="146"/>
      <c r="AD263" s="133"/>
      <c r="AE263" s="132"/>
      <c r="AF263" s="132"/>
      <c r="AG263" s="134"/>
      <c r="AL263" s="135"/>
      <c r="AM263" s="136"/>
      <c r="AN263" s="137"/>
      <c r="AO263" s="138"/>
      <c r="AV263" s="132"/>
      <c r="AW263" s="142"/>
      <c r="AX263" s="143"/>
      <c r="AY263" s="143"/>
      <c r="AZ263" s="143"/>
      <c r="BA263" s="143"/>
      <c r="BB263" s="143"/>
      <c r="BC263" s="144"/>
    </row>
    <row r="264" spans="28:55" ht="15">
      <c r="AB264" s="131"/>
      <c r="AC264" s="146"/>
      <c r="AD264" s="133"/>
      <c r="AE264" s="132"/>
      <c r="AF264" s="132"/>
      <c r="AG264" s="134"/>
      <c r="AL264" s="135"/>
      <c r="AM264" s="136"/>
      <c r="AN264" s="137"/>
      <c r="AO264" s="138"/>
      <c r="AV264" s="132"/>
      <c r="AW264" s="142"/>
      <c r="AX264" s="143"/>
      <c r="AY264" s="143"/>
      <c r="AZ264" s="143"/>
      <c r="BA264" s="143"/>
      <c r="BB264" s="143"/>
      <c r="BC264" s="144"/>
    </row>
    <row r="265" spans="28:55" ht="15">
      <c r="AB265" s="131"/>
      <c r="AC265" s="146"/>
      <c r="AD265" s="133"/>
      <c r="AE265" s="132"/>
      <c r="AF265" s="132"/>
      <c r="AG265" s="134"/>
      <c r="AL265" s="135"/>
      <c r="AM265" s="136"/>
      <c r="AN265" s="137"/>
      <c r="AO265" s="138"/>
      <c r="AV265" s="132"/>
      <c r="AW265" s="142"/>
      <c r="AX265" s="143"/>
      <c r="AY265" s="143"/>
      <c r="AZ265" s="143"/>
      <c r="BA265" s="143"/>
      <c r="BB265" s="143"/>
      <c r="BC265" s="144"/>
    </row>
    <row r="266" spans="28:55" ht="15">
      <c r="AB266" s="131"/>
      <c r="AD266" s="133"/>
      <c r="AE266" s="132"/>
      <c r="AF266" s="132"/>
      <c r="AG266" s="134"/>
      <c r="AL266" s="135"/>
      <c r="AM266" s="136"/>
      <c r="AN266" s="137"/>
      <c r="AO266" s="138"/>
      <c r="AV266" s="132"/>
      <c r="AW266" s="142"/>
      <c r="AX266" s="143"/>
      <c r="AY266" s="143"/>
      <c r="AZ266" s="143"/>
      <c r="BA266" s="143"/>
      <c r="BB266" s="143"/>
      <c r="BC266" s="144"/>
    </row>
    <row r="267" spans="28:55" ht="15">
      <c r="AB267" s="131"/>
      <c r="AC267" s="146"/>
      <c r="AD267" s="133"/>
      <c r="AE267" s="132"/>
      <c r="AF267" s="132"/>
      <c r="AG267" s="134"/>
      <c r="AL267" s="135"/>
      <c r="AM267" s="136"/>
      <c r="AN267" s="137"/>
      <c r="AO267" s="138"/>
      <c r="AV267" s="132"/>
      <c r="AW267" s="142"/>
      <c r="AX267" s="143"/>
      <c r="AY267" s="143"/>
      <c r="AZ267" s="143"/>
      <c r="BA267" s="143"/>
      <c r="BB267" s="143"/>
      <c r="BC267" s="144"/>
    </row>
    <row r="268" spans="28:55" ht="15">
      <c r="AB268" s="131"/>
      <c r="AC268" s="146"/>
      <c r="AD268" s="133"/>
      <c r="AE268" s="132"/>
      <c r="AF268" s="132"/>
      <c r="AG268" s="134"/>
      <c r="AL268" s="135"/>
      <c r="AM268" s="136"/>
      <c r="AN268" s="137"/>
      <c r="AO268" s="138"/>
      <c r="AV268" s="132"/>
      <c r="AW268" s="142"/>
      <c r="AX268" s="143"/>
      <c r="AY268" s="143"/>
      <c r="AZ268" s="143"/>
      <c r="BA268" s="143"/>
      <c r="BB268" s="143"/>
      <c r="BC268" s="144"/>
    </row>
    <row r="269" spans="28:55" ht="15">
      <c r="AB269" s="131"/>
      <c r="AC269" s="146"/>
      <c r="AD269" s="133"/>
      <c r="AE269" s="132"/>
      <c r="AF269" s="132"/>
      <c r="AG269" s="134"/>
      <c r="AL269" s="135"/>
      <c r="AM269" s="136"/>
      <c r="AN269" s="137"/>
      <c r="AO269" s="138"/>
      <c r="AV269" s="132"/>
      <c r="AW269" s="142"/>
      <c r="AX269" s="143"/>
      <c r="AY269" s="143"/>
      <c r="AZ269" s="143"/>
      <c r="BA269" s="143"/>
      <c r="BB269" s="143"/>
      <c r="BC269" s="144"/>
    </row>
    <row r="270" spans="28:55" ht="15">
      <c r="AB270" s="131"/>
      <c r="AC270" s="146"/>
      <c r="AD270" s="133"/>
      <c r="AE270" s="132"/>
      <c r="AF270" s="132"/>
      <c r="AG270" s="134"/>
      <c r="AL270" s="135"/>
      <c r="AM270" s="136"/>
      <c r="AN270" s="137"/>
      <c r="AO270" s="138"/>
      <c r="AV270" s="132"/>
      <c r="AW270" s="142"/>
      <c r="AX270" s="143"/>
      <c r="AY270" s="143"/>
      <c r="AZ270" s="143"/>
      <c r="BA270" s="143"/>
      <c r="BB270" s="143"/>
      <c r="BC270" s="144"/>
    </row>
    <row r="271" spans="28:55" ht="15">
      <c r="AB271" s="131"/>
      <c r="AC271" s="146"/>
      <c r="AD271" s="133"/>
      <c r="AE271" s="132"/>
      <c r="AF271" s="132"/>
      <c r="AG271" s="134"/>
      <c r="AL271" s="135"/>
      <c r="AM271" s="136"/>
      <c r="AN271" s="137"/>
      <c r="AO271" s="138"/>
      <c r="AV271" s="132"/>
      <c r="AW271" s="142"/>
      <c r="AX271" s="143"/>
      <c r="AY271" s="143"/>
      <c r="AZ271" s="143"/>
      <c r="BA271" s="143"/>
      <c r="BB271" s="143"/>
      <c r="BC271" s="144"/>
    </row>
    <row r="272" spans="28:55" ht="15">
      <c r="AB272" s="131"/>
      <c r="AC272" s="146"/>
      <c r="AD272" s="133"/>
      <c r="AE272" s="132"/>
      <c r="AF272" s="132"/>
      <c r="AG272" s="134"/>
      <c r="AL272" s="135"/>
      <c r="AM272" s="136"/>
      <c r="AN272" s="137"/>
      <c r="AO272" s="138"/>
      <c r="AV272" s="132"/>
      <c r="AW272" s="142"/>
      <c r="AX272" s="143"/>
      <c r="AY272" s="143"/>
      <c r="AZ272" s="143"/>
      <c r="BA272" s="143"/>
      <c r="BB272" s="143"/>
      <c r="BC272" s="144"/>
    </row>
    <row r="273" spans="28:55" ht="15">
      <c r="AB273" s="131"/>
      <c r="AC273" s="146"/>
      <c r="AD273" s="133"/>
      <c r="AE273" s="132"/>
      <c r="AF273" s="132"/>
      <c r="AG273" s="134"/>
      <c r="AL273" s="135"/>
      <c r="AM273" s="136"/>
      <c r="AN273" s="137"/>
      <c r="AO273" s="138"/>
      <c r="AV273" s="132"/>
      <c r="AW273" s="142"/>
      <c r="AX273" s="143"/>
      <c r="AY273" s="143"/>
      <c r="AZ273" s="143"/>
      <c r="BA273" s="143"/>
      <c r="BB273" s="143"/>
      <c r="BC273" s="144"/>
    </row>
    <row r="274" spans="28:55" ht="15">
      <c r="AB274" s="131"/>
      <c r="AC274" s="146"/>
      <c r="AD274" s="133"/>
      <c r="AE274" s="132"/>
      <c r="AF274" s="132"/>
      <c r="AG274" s="134"/>
      <c r="AL274" s="135"/>
      <c r="AM274" s="136"/>
      <c r="AN274" s="137"/>
      <c r="AO274" s="138"/>
      <c r="AV274" s="132"/>
      <c r="AW274" s="142"/>
      <c r="AX274" s="143"/>
      <c r="AY274" s="143"/>
      <c r="AZ274" s="143"/>
      <c r="BA274" s="143"/>
      <c r="BB274" s="143"/>
      <c r="BC274" s="144"/>
    </row>
    <row r="275" spans="28:55" ht="15">
      <c r="AB275" s="131"/>
      <c r="AC275" s="146"/>
      <c r="AD275" s="133"/>
      <c r="AE275" s="132"/>
      <c r="AF275" s="132"/>
      <c r="AG275" s="134"/>
      <c r="AL275" s="135"/>
      <c r="AM275" s="136"/>
      <c r="AN275" s="137"/>
      <c r="AO275" s="138"/>
      <c r="AV275" s="132"/>
      <c r="AW275" s="142"/>
      <c r="AX275" s="143"/>
      <c r="AY275" s="143"/>
      <c r="AZ275" s="143"/>
      <c r="BA275" s="143"/>
      <c r="BB275" s="143"/>
      <c r="BC275" s="144"/>
    </row>
    <row r="276" spans="28:55" ht="15">
      <c r="AB276" s="131"/>
      <c r="AC276" s="146"/>
      <c r="AD276" s="133"/>
      <c r="AE276" s="132"/>
      <c r="AF276" s="132"/>
      <c r="AG276" s="134"/>
      <c r="AL276" s="135"/>
      <c r="AM276" s="136"/>
      <c r="AN276" s="137"/>
      <c r="AO276" s="138"/>
      <c r="AV276" s="132"/>
      <c r="AW276" s="142"/>
      <c r="AX276" s="143"/>
      <c r="AY276" s="143"/>
      <c r="AZ276" s="143"/>
      <c r="BA276" s="143"/>
      <c r="BB276" s="143"/>
      <c r="BC276" s="144"/>
    </row>
    <row r="277" spans="28:55" ht="15">
      <c r="AB277" s="131"/>
      <c r="AC277" s="146"/>
      <c r="AD277" s="133"/>
      <c r="AE277" s="132"/>
      <c r="AF277" s="132"/>
      <c r="AG277" s="134"/>
      <c r="AL277" s="135"/>
      <c r="AM277" s="136"/>
      <c r="AN277" s="137"/>
      <c r="AO277" s="138"/>
      <c r="AV277" s="132"/>
      <c r="AW277" s="142"/>
      <c r="AX277" s="143"/>
      <c r="AY277" s="143"/>
      <c r="AZ277" s="143"/>
      <c r="BA277" s="143"/>
      <c r="BB277" s="143"/>
      <c r="BC277" s="144"/>
    </row>
    <row r="278" spans="28:55" ht="15">
      <c r="AB278" s="131"/>
      <c r="AC278" s="146"/>
      <c r="AD278" s="133"/>
      <c r="AE278" s="132"/>
      <c r="AF278" s="132"/>
      <c r="AG278" s="134"/>
      <c r="AL278" s="135"/>
      <c r="AM278" s="136"/>
      <c r="AN278" s="137"/>
      <c r="AO278" s="138"/>
      <c r="AV278" s="132"/>
      <c r="AW278" s="142"/>
      <c r="AX278" s="143"/>
      <c r="AY278" s="143"/>
      <c r="AZ278" s="143"/>
      <c r="BA278" s="143"/>
      <c r="BB278" s="143"/>
      <c r="BC278" s="144"/>
    </row>
    <row r="279" spans="28:55" ht="15">
      <c r="AB279" s="131"/>
      <c r="AC279" s="146"/>
      <c r="AD279" s="133"/>
      <c r="AE279" s="132"/>
      <c r="AF279" s="132"/>
      <c r="AG279" s="134"/>
      <c r="AL279" s="135"/>
      <c r="AM279" s="136"/>
      <c r="AN279" s="137"/>
      <c r="AO279" s="138"/>
      <c r="AV279" s="132"/>
      <c r="AW279" s="142"/>
      <c r="AX279" s="143"/>
      <c r="AY279" s="143"/>
      <c r="AZ279" s="143"/>
      <c r="BA279" s="143"/>
      <c r="BB279" s="143"/>
      <c r="BC279" s="144"/>
    </row>
    <row r="280" spans="28:55" ht="15">
      <c r="AB280" s="131"/>
      <c r="AC280" s="146"/>
      <c r="AD280" s="133"/>
      <c r="AE280" s="132"/>
      <c r="AF280" s="132"/>
      <c r="AG280" s="134"/>
      <c r="AL280" s="135"/>
      <c r="AM280" s="136"/>
      <c r="AN280" s="137"/>
      <c r="AO280" s="138"/>
      <c r="AV280" s="132"/>
      <c r="AW280" s="142"/>
      <c r="AX280" s="143"/>
      <c r="AY280" s="143"/>
      <c r="AZ280" s="143"/>
      <c r="BA280" s="143"/>
      <c r="BB280" s="143"/>
      <c r="BC280" s="144"/>
    </row>
    <row r="281" spans="28:55" ht="15">
      <c r="AB281" s="131"/>
      <c r="AC281" s="146"/>
      <c r="AD281" s="133"/>
      <c r="AE281" s="132"/>
      <c r="AF281" s="132"/>
      <c r="AG281" s="134"/>
      <c r="AL281" s="135"/>
      <c r="AM281" s="136"/>
      <c r="AN281" s="137"/>
      <c r="AO281" s="138"/>
      <c r="AV281" s="132"/>
      <c r="AW281" s="142"/>
      <c r="AX281" s="143"/>
      <c r="AY281" s="143"/>
      <c r="AZ281" s="143"/>
      <c r="BA281" s="143"/>
      <c r="BB281" s="143"/>
      <c r="BC281" s="144"/>
    </row>
    <row r="282" spans="28:55" ht="15">
      <c r="AB282" s="131"/>
      <c r="AC282" s="146"/>
      <c r="AD282" s="133"/>
      <c r="AE282" s="132"/>
      <c r="AF282" s="132"/>
      <c r="AG282" s="134"/>
      <c r="AL282" s="135"/>
      <c r="AM282" s="136"/>
      <c r="AN282" s="137"/>
      <c r="AO282" s="138"/>
      <c r="AV282" s="132"/>
      <c r="AW282" s="142"/>
      <c r="AX282" s="143"/>
      <c r="AY282" s="143"/>
      <c r="AZ282" s="143"/>
      <c r="BA282" s="143"/>
      <c r="BB282" s="143"/>
      <c r="BC282" s="144"/>
    </row>
    <row r="283" spans="28:55" ht="15">
      <c r="AB283" s="131"/>
      <c r="AC283" s="146"/>
      <c r="AD283" s="133"/>
      <c r="AE283" s="132"/>
      <c r="AF283" s="132"/>
      <c r="AG283" s="134"/>
      <c r="AL283" s="135"/>
      <c r="AM283" s="136"/>
      <c r="AN283" s="137"/>
      <c r="AO283" s="138"/>
      <c r="AV283" s="132"/>
      <c r="AW283" s="142"/>
      <c r="AX283" s="143"/>
      <c r="AY283" s="143"/>
      <c r="AZ283" s="143"/>
      <c r="BA283" s="143"/>
      <c r="BB283" s="143"/>
      <c r="BC283" s="144"/>
    </row>
    <row r="284" spans="28:55" ht="15">
      <c r="AB284" s="131"/>
      <c r="AC284" s="146"/>
      <c r="AD284" s="133"/>
      <c r="AE284" s="132"/>
      <c r="AF284" s="132"/>
      <c r="AG284" s="134"/>
      <c r="AL284" s="135"/>
      <c r="AM284" s="136"/>
      <c r="AN284" s="137"/>
      <c r="AO284" s="138"/>
      <c r="AV284" s="132"/>
      <c r="AW284" s="142"/>
      <c r="AX284" s="143"/>
      <c r="AY284" s="143"/>
      <c r="AZ284" s="143"/>
      <c r="BA284" s="143"/>
      <c r="BB284" s="143"/>
      <c r="BC284" s="144"/>
    </row>
    <row r="285" spans="28:55" ht="15">
      <c r="AB285" s="131"/>
      <c r="AC285" s="146"/>
      <c r="AD285" s="133"/>
      <c r="AE285" s="132"/>
      <c r="AF285" s="132"/>
      <c r="AG285" s="134"/>
      <c r="AL285" s="135"/>
      <c r="AM285" s="136"/>
      <c r="AN285" s="137"/>
      <c r="AO285" s="138"/>
      <c r="AV285" s="132"/>
      <c r="AW285" s="142"/>
      <c r="AX285" s="143"/>
      <c r="AY285" s="143"/>
      <c r="AZ285" s="143"/>
      <c r="BA285" s="143"/>
      <c r="BB285" s="143"/>
      <c r="BC285" s="144"/>
    </row>
    <row r="286" spans="28:55" ht="15">
      <c r="AB286" s="131"/>
      <c r="AC286" s="146"/>
      <c r="AD286" s="133"/>
      <c r="AE286" s="132"/>
      <c r="AF286" s="132"/>
      <c r="AG286" s="134"/>
      <c r="AL286" s="135"/>
      <c r="AM286" s="136"/>
      <c r="AN286" s="137"/>
      <c r="AO286" s="138"/>
      <c r="AV286" s="132"/>
      <c r="AW286" s="142"/>
      <c r="AX286" s="143"/>
      <c r="AY286" s="143"/>
      <c r="AZ286" s="143"/>
      <c r="BA286" s="143"/>
      <c r="BB286" s="143"/>
      <c r="BC286" s="144"/>
    </row>
    <row r="287" spans="28:55" ht="15">
      <c r="AB287" s="131"/>
      <c r="AC287" s="146"/>
      <c r="AD287" s="133"/>
      <c r="AE287" s="132"/>
      <c r="AF287" s="132"/>
      <c r="AG287" s="134"/>
      <c r="AL287" s="135"/>
      <c r="AM287" s="136"/>
      <c r="AN287" s="137"/>
      <c r="AO287" s="138"/>
      <c r="AV287" s="132"/>
      <c r="AW287" s="142"/>
      <c r="AX287" s="143"/>
      <c r="AY287" s="143"/>
      <c r="AZ287" s="143"/>
      <c r="BA287" s="143"/>
      <c r="BB287" s="143"/>
      <c r="BC287" s="144"/>
    </row>
    <row r="288" spans="28:55" ht="15">
      <c r="AB288" s="131"/>
      <c r="AC288" s="146"/>
      <c r="AD288" s="133"/>
      <c r="AE288" s="132"/>
      <c r="AF288" s="132"/>
      <c r="AG288" s="134"/>
      <c r="AL288" s="135"/>
      <c r="AM288" s="136"/>
      <c r="AN288" s="137"/>
      <c r="AO288" s="138"/>
      <c r="AV288" s="132"/>
      <c r="AW288" s="142"/>
      <c r="AX288" s="143"/>
      <c r="AY288" s="143"/>
      <c r="AZ288" s="143"/>
      <c r="BA288" s="143"/>
      <c r="BB288" s="143"/>
      <c r="BC288" s="144"/>
    </row>
    <row r="289" spans="28:55" ht="15">
      <c r="AB289" s="131"/>
      <c r="AC289" s="146"/>
      <c r="AD289" s="133"/>
      <c r="AE289" s="132"/>
      <c r="AF289" s="132"/>
      <c r="AG289" s="134"/>
      <c r="AL289" s="135"/>
      <c r="AM289" s="136"/>
      <c r="AN289" s="137"/>
      <c r="AO289" s="138"/>
      <c r="AV289" s="132"/>
      <c r="AW289" s="142"/>
      <c r="AX289" s="143"/>
      <c r="AY289" s="143"/>
      <c r="AZ289" s="143"/>
      <c r="BA289" s="143"/>
      <c r="BB289" s="143"/>
      <c r="BC289" s="144"/>
    </row>
    <row r="290" spans="28:55" ht="15">
      <c r="AB290" s="131"/>
      <c r="AC290" s="146"/>
      <c r="AD290" s="133"/>
      <c r="AE290" s="132"/>
      <c r="AF290" s="132"/>
      <c r="AG290" s="134"/>
      <c r="AL290" s="135"/>
      <c r="AM290" s="136"/>
      <c r="AN290" s="137"/>
      <c r="AO290" s="138"/>
      <c r="AV290" s="132"/>
      <c r="AW290" s="142"/>
      <c r="AX290" s="143"/>
      <c r="AY290" s="143"/>
      <c r="AZ290" s="143"/>
      <c r="BA290" s="143"/>
      <c r="BB290" s="143"/>
      <c r="BC290" s="144"/>
    </row>
    <row r="291" spans="28:55" ht="15">
      <c r="AB291" s="131"/>
      <c r="AC291" s="146"/>
      <c r="AD291" s="133"/>
      <c r="AE291" s="132"/>
      <c r="AF291" s="132"/>
      <c r="AG291" s="134"/>
      <c r="AL291" s="135"/>
      <c r="AM291" s="136"/>
      <c r="AN291" s="137"/>
      <c r="AO291" s="138"/>
      <c r="AV291" s="132"/>
      <c r="AW291" s="142"/>
      <c r="AX291" s="143"/>
      <c r="AY291" s="143"/>
      <c r="AZ291" s="143"/>
      <c r="BA291" s="143"/>
      <c r="BB291" s="143"/>
      <c r="BC291" s="144"/>
    </row>
    <row r="292" spans="28:55" ht="15">
      <c r="AB292" s="131"/>
      <c r="AC292" s="146"/>
      <c r="AD292" s="133"/>
      <c r="AE292" s="132"/>
      <c r="AF292" s="132"/>
      <c r="AG292" s="134"/>
      <c r="AL292" s="135"/>
      <c r="AM292" s="136"/>
      <c r="AN292" s="137"/>
      <c r="AO292" s="138"/>
      <c r="AV292" s="132"/>
      <c r="AW292" s="142"/>
      <c r="AX292" s="143"/>
      <c r="AY292" s="143"/>
      <c r="AZ292" s="143"/>
      <c r="BA292" s="143"/>
      <c r="BB292" s="143"/>
      <c r="BC292" s="144"/>
    </row>
    <row r="293" spans="28:55" ht="15">
      <c r="AB293" s="131"/>
      <c r="AC293" s="146"/>
      <c r="AD293" s="133"/>
      <c r="AE293" s="132"/>
      <c r="AF293" s="132"/>
      <c r="AG293" s="134"/>
      <c r="AL293" s="135"/>
      <c r="AM293" s="136"/>
      <c r="AN293" s="137"/>
      <c r="AO293" s="138"/>
      <c r="AV293" s="132"/>
      <c r="AW293" s="142"/>
      <c r="AX293" s="143"/>
      <c r="AY293" s="143"/>
      <c r="AZ293" s="143"/>
      <c r="BA293" s="143"/>
      <c r="BB293" s="143"/>
      <c r="BC293" s="144"/>
    </row>
    <row r="294" spans="28:55" ht="15">
      <c r="AB294" s="131"/>
      <c r="AC294" s="146"/>
      <c r="AD294" s="133"/>
      <c r="AE294" s="132"/>
      <c r="AF294" s="132"/>
      <c r="AG294" s="134"/>
      <c r="AL294" s="135"/>
      <c r="AM294" s="136"/>
      <c r="AN294" s="137"/>
      <c r="AO294" s="138"/>
      <c r="AV294" s="132"/>
      <c r="AW294" s="142"/>
      <c r="AX294" s="143"/>
      <c r="AY294" s="143"/>
      <c r="AZ294" s="143"/>
      <c r="BA294" s="143"/>
      <c r="BB294" s="143"/>
      <c r="BC294" s="144"/>
    </row>
    <row r="295" spans="28:55" ht="15">
      <c r="AB295" s="131"/>
      <c r="AC295" s="146"/>
      <c r="AD295" s="133"/>
      <c r="AE295" s="132"/>
      <c r="AF295" s="132"/>
      <c r="AG295" s="134"/>
      <c r="AL295" s="135"/>
      <c r="AM295" s="136"/>
      <c r="AN295" s="137"/>
      <c r="AO295" s="138"/>
      <c r="AV295" s="132"/>
      <c r="AW295" s="142"/>
      <c r="AX295" s="143"/>
      <c r="AY295" s="143"/>
      <c r="AZ295" s="143"/>
      <c r="BA295" s="143"/>
      <c r="BB295" s="143"/>
      <c r="BC295" s="144"/>
    </row>
    <row r="296" spans="28:55" ht="15">
      <c r="AB296" s="131"/>
      <c r="AC296" s="146"/>
      <c r="AD296" s="133"/>
      <c r="AE296" s="132"/>
      <c r="AF296" s="132"/>
      <c r="AG296" s="134"/>
      <c r="AL296" s="135"/>
      <c r="AM296" s="136"/>
      <c r="AN296" s="137"/>
      <c r="AO296" s="138"/>
      <c r="AV296" s="132"/>
      <c r="AW296" s="142"/>
      <c r="AX296" s="143"/>
      <c r="AY296" s="143"/>
      <c r="AZ296" s="143"/>
      <c r="BA296" s="143"/>
      <c r="BB296" s="143"/>
      <c r="BC296" s="144"/>
    </row>
    <row r="297" spans="28:55" ht="15">
      <c r="AB297" s="131"/>
      <c r="AC297" s="146"/>
      <c r="AD297" s="133"/>
      <c r="AE297" s="132"/>
      <c r="AF297" s="132"/>
      <c r="AG297" s="134"/>
      <c r="AL297" s="135"/>
      <c r="AM297" s="136"/>
      <c r="AN297" s="137"/>
      <c r="AO297" s="138"/>
      <c r="AV297" s="132"/>
      <c r="AW297" s="142"/>
      <c r="AX297" s="143"/>
      <c r="AY297" s="143"/>
      <c r="AZ297" s="143"/>
      <c r="BA297" s="143"/>
      <c r="BB297" s="143"/>
      <c r="BC297" s="144"/>
    </row>
    <row r="298" spans="28:55" ht="15">
      <c r="AB298" s="131"/>
      <c r="AC298" s="146"/>
      <c r="AD298" s="133"/>
      <c r="AE298" s="132"/>
      <c r="AF298" s="132"/>
      <c r="AG298" s="134"/>
      <c r="AL298" s="135"/>
      <c r="AM298" s="136"/>
      <c r="AN298" s="137"/>
      <c r="AO298" s="138"/>
      <c r="AV298" s="132"/>
      <c r="AW298" s="142"/>
      <c r="AX298" s="143"/>
      <c r="AY298" s="143"/>
      <c r="AZ298" s="143"/>
      <c r="BA298" s="143"/>
      <c r="BB298" s="143"/>
      <c r="BC298" s="144"/>
    </row>
    <row r="299" spans="28:55" ht="15">
      <c r="AB299" s="131"/>
      <c r="AC299" s="146"/>
      <c r="AD299" s="133"/>
      <c r="AE299" s="132"/>
      <c r="AF299" s="132"/>
      <c r="AG299" s="134"/>
      <c r="AL299" s="135"/>
      <c r="AM299" s="136"/>
      <c r="AN299" s="137"/>
      <c r="AO299" s="138"/>
      <c r="AV299" s="132"/>
      <c r="AW299" s="142"/>
      <c r="AX299" s="143"/>
      <c r="AY299" s="143"/>
      <c r="AZ299" s="143"/>
      <c r="BA299" s="143"/>
      <c r="BB299" s="143"/>
      <c r="BC299" s="144"/>
    </row>
    <row r="300" spans="28:55" ht="15">
      <c r="AB300" s="131"/>
      <c r="AC300" s="146"/>
      <c r="AD300" s="133"/>
      <c r="AE300" s="132"/>
      <c r="AF300" s="132"/>
      <c r="AG300" s="134"/>
      <c r="AL300" s="135"/>
      <c r="AM300" s="136"/>
      <c r="AN300" s="137"/>
      <c r="AO300" s="138"/>
      <c r="AV300" s="132"/>
      <c r="AW300" s="142"/>
      <c r="AX300" s="143"/>
      <c r="AY300" s="143"/>
      <c r="AZ300" s="143"/>
      <c r="BA300" s="143"/>
      <c r="BB300" s="143"/>
      <c r="BC300" s="144"/>
    </row>
    <row r="301" spans="28:55" ht="15">
      <c r="AB301" s="131"/>
      <c r="AC301" s="146"/>
      <c r="AD301" s="133"/>
      <c r="AE301" s="132"/>
      <c r="AF301" s="132"/>
      <c r="AG301" s="134"/>
      <c r="AL301" s="135"/>
      <c r="AM301" s="136"/>
      <c r="AN301" s="137"/>
      <c r="AO301" s="138"/>
      <c r="AV301" s="132"/>
      <c r="AW301" s="142"/>
      <c r="AX301" s="143"/>
      <c r="AY301" s="143"/>
      <c r="AZ301" s="143"/>
      <c r="BA301" s="143"/>
      <c r="BB301" s="143"/>
      <c r="BC301" s="144"/>
    </row>
    <row r="302" spans="28:55" ht="15">
      <c r="AB302" s="131"/>
      <c r="AC302" s="146"/>
      <c r="AD302" s="133"/>
      <c r="AE302" s="132"/>
      <c r="AF302" s="132"/>
      <c r="AG302" s="134"/>
      <c r="AL302" s="135"/>
      <c r="AM302" s="136"/>
      <c r="AN302" s="137"/>
      <c r="AO302" s="138"/>
      <c r="AV302" s="132"/>
      <c r="AW302" s="142"/>
      <c r="AX302" s="143"/>
      <c r="AY302" s="143"/>
      <c r="AZ302" s="143"/>
      <c r="BA302" s="143"/>
      <c r="BB302" s="143"/>
      <c r="BC302" s="144"/>
    </row>
    <row r="303" spans="28:55" ht="15">
      <c r="AB303" s="131"/>
      <c r="AC303" s="146"/>
      <c r="AD303" s="133"/>
      <c r="AE303" s="132"/>
      <c r="AF303" s="132"/>
      <c r="AG303" s="134"/>
      <c r="AL303" s="135"/>
      <c r="AM303" s="136"/>
      <c r="AN303" s="137"/>
      <c r="AO303" s="138"/>
      <c r="AV303" s="132"/>
      <c r="AW303" s="142"/>
      <c r="AX303" s="143"/>
      <c r="AY303" s="143"/>
      <c r="AZ303" s="143"/>
      <c r="BA303" s="143"/>
      <c r="BB303" s="143"/>
      <c r="BC303" s="144"/>
    </row>
    <row r="304" spans="28:55" ht="15">
      <c r="AB304" s="131"/>
      <c r="AC304" s="146"/>
      <c r="AD304" s="133"/>
      <c r="AE304" s="132"/>
      <c r="AF304" s="132"/>
      <c r="AG304" s="134"/>
      <c r="AL304" s="135"/>
      <c r="AM304" s="136"/>
      <c r="AN304" s="137"/>
      <c r="AO304" s="138"/>
      <c r="AV304" s="132"/>
      <c r="AW304" s="142"/>
      <c r="AX304" s="143"/>
      <c r="AY304" s="143"/>
      <c r="AZ304" s="143"/>
      <c r="BA304" s="143"/>
      <c r="BB304" s="143"/>
      <c r="BC304" s="144"/>
    </row>
    <row r="305" spans="28:55" ht="15">
      <c r="AB305" s="131"/>
      <c r="AC305" s="146"/>
      <c r="AD305" s="133"/>
      <c r="AE305" s="132"/>
      <c r="AF305" s="132"/>
      <c r="AG305" s="134"/>
      <c r="AL305" s="135"/>
      <c r="AM305" s="136"/>
      <c r="AN305" s="137"/>
      <c r="AO305" s="138"/>
      <c r="AV305" s="132"/>
      <c r="AW305" s="142"/>
      <c r="AX305" s="143"/>
      <c r="AY305" s="143"/>
      <c r="AZ305" s="143"/>
      <c r="BA305" s="143"/>
      <c r="BB305" s="143"/>
      <c r="BC305" s="144"/>
    </row>
    <row r="306" spans="28:55" ht="15">
      <c r="AB306" s="131"/>
      <c r="AC306" s="146"/>
      <c r="AD306" s="133"/>
      <c r="AE306" s="132"/>
      <c r="AF306" s="132"/>
      <c r="AG306" s="134"/>
      <c r="AL306" s="135"/>
      <c r="AM306" s="136"/>
      <c r="AN306" s="137"/>
      <c r="AO306" s="138"/>
      <c r="AV306" s="132"/>
      <c r="AW306" s="142"/>
      <c r="AX306" s="143"/>
      <c r="AY306" s="143"/>
      <c r="AZ306" s="143"/>
      <c r="BA306" s="143"/>
      <c r="BB306" s="143"/>
      <c r="BC306" s="144"/>
    </row>
    <row r="307" spans="28:55" ht="15">
      <c r="AB307" s="131"/>
      <c r="AC307" s="146"/>
      <c r="AD307" s="133"/>
      <c r="AE307" s="132"/>
      <c r="AF307" s="132"/>
      <c r="AG307" s="134"/>
      <c r="AL307" s="135"/>
      <c r="AM307" s="136"/>
      <c r="AN307" s="137"/>
      <c r="AO307" s="138"/>
      <c r="AV307" s="132"/>
      <c r="AW307" s="142"/>
      <c r="AX307" s="143"/>
      <c r="AY307" s="143"/>
      <c r="AZ307" s="143"/>
      <c r="BA307" s="143"/>
      <c r="BB307" s="143"/>
      <c r="BC307" s="144"/>
    </row>
    <row r="308" spans="28:55" ht="15">
      <c r="AB308" s="131"/>
      <c r="AC308" s="146"/>
      <c r="AD308" s="133"/>
      <c r="AE308" s="132"/>
      <c r="AF308" s="132"/>
      <c r="AG308" s="134"/>
      <c r="AL308" s="135"/>
      <c r="AM308" s="136"/>
      <c r="AN308" s="137"/>
      <c r="AO308" s="138"/>
      <c r="AV308" s="132"/>
      <c r="AW308" s="142"/>
      <c r="AX308" s="143"/>
      <c r="AY308" s="143"/>
      <c r="AZ308" s="143"/>
      <c r="BA308" s="143"/>
      <c r="BB308" s="143"/>
      <c r="BC308" s="144"/>
    </row>
    <row r="309" spans="28:55" ht="15">
      <c r="AB309" s="131"/>
      <c r="AC309" s="146"/>
      <c r="AD309" s="133"/>
      <c r="AE309" s="132"/>
      <c r="AF309" s="132"/>
      <c r="AG309" s="134"/>
      <c r="AL309" s="135"/>
      <c r="AM309" s="136"/>
      <c r="AN309" s="137"/>
      <c r="AO309" s="138"/>
      <c r="AV309" s="132"/>
      <c r="AW309" s="142"/>
      <c r="AX309" s="143"/>
      <c r="AY309" s="143"/>
      <c r="AZ309" s="143"/>
      <c r="BA309" s="143"/>
      <c r="BB309" s="143"/>
      <c r="BC309" s="144"/>
    </row>
    <row r="310" spans="28:55" ht="15">
      <c r="AB310" s="131"/>
      <c r="AC310" s="146"/>
      <c r="AD310" s="133"/>
      <c r="AE310" s="132"/>
      <c r="AF310" s="132"/>
      <c r="AG310" s="134"/>
      <c r="AL310" s="135"/>
      <c r="AM310" s="136"/>
      <c r="AN310" s="137"/>
      <c r="AO310" s="138"/>
      <c r="AV310" s="132"/>
      <c r="AW310" s="142"/>
      <c r="AX310" s="143"/>
      <c r="AY310" s="143"/>
      <c r="AZ310" s="143"/>
      <c r="BA310" s="143"/>
      <c r="BB310" s="143"/>
      <c r="BC310" s="144"/>
    </row>
    <row r="311" spans="28:55" ht="15">
      <c r="AB311" s="131"/>
      <c r="AC311" s="146"/>
      <c r="AD311" s="133"/>
      <c r="AE311" s="132"/>
      <c r="AF311" s="132"/>
      <c r="AG311" s="134"/>
      <c r="AL311" s="135"/>
      <c r="AM311" s="136"/>
      <c r="AN311" s="137"/>
      <c r="AO311" s="138"/>
      <c r="AV311" s="132"/>
      <c r="AW311" s="142"/>
      <c r="AX311" s="143"/>
      <c r="AY311" s="143"/>
      <c r="AZ311" s="143"/>
      <c r="BA311" s="143"/>
      <c r="BB311" s="143"/>
      <c r="BC311" s="144"/>
    </row>
    <row r="312" spans="28:55" ht="15">
      <c r="AB312" s="131"/>
      <c r="AC312" s="146"/>
      <c r="AD312" s="133"/>
      <c r="AE312" s="132"/>
      <c r="AF312" s="132"/>
      <c r="AG312" s="134"/>
      <c r="AL312" s="135"/>
      <c r="AM312" s="136"/>
      <c r="AN312" s="137"/>
      <c r="AO312" s="138"/>
      <c r="AV312" s="132"/>
      <c r="AW312" s="142"/>
      <c r="AX312" s="143"/>
      <c r="AY312" s="143"/>
      <c r="AZ312" s="143"/>
      <c r="BA312" s="143"/>
      <c r="BB312" s="143"/>
      <c r="BC312" s="144"/>
    </row>
    <row r="313" spans="28:55" ht="15">
      <c r="AB313" s="131"/>
      <c r="AC313" s="146"/>
      <c r="AD313" s="133"/>
      <c r="AE313" s="132"/>
      <c r="AF313" s="132"/>
      <c r="AG313" s="134"/>
      <c r="AL313" s="135"/>
      <c r="AM313" s="136"/>
      <c r="AN313" s="137"/>
      <c r="AO313" s="138"/>
      <c r="AV313" s="132"/>
      <c r="AW313" s="142"/>
      <c r="AX313" s="143"/>
      <c r="AY313" s="143"/>
      <c r="AZ313" s="143"/>
      <c r="BA313" s="143"/>
      <c r="BB313" s="143"/>
      <c r="BC313" s="144"/>
    </row>
    <row r="314" spans="28:55" ht="15">
      <c r="AB314" s="131"/>
      <c r="AC314" s="146"/>
      <c r="AD314" s="133"/>
      <c r="AE314" s="132"/>
      <c r="AF314" s="132"/>
      <c r="AG314" s="134"/>
      <c r="AL314" s="135"/>
      <c r="AM314" s="136"/>
      <c r="AN314" s="137"/>
      <c r="AO314" s="138"/>
      <c r="AV314" s="132"/>
      <c r="AW314" s="142"/>
      <c r="AX314" s="143"/>
      <c r="AY314" s="143"/>
      <c r="AZ314" s="143"/>
      <c r="BA314" s="143"/>
      <c r="BB314" s="143"/>
      <c r="BC314" s="144"/>
    </row>
    <row r="315" spans="28:55" ht="15">
      <c r="AB315" s="131"/>
      <c r="AC315" s="146"/>
      <c r="AD315" s="133"/>
      <c r="AE315" s="132"/>
      <c r="AF315" s="132"/>
      <c r="AG315" s="134"/>
      <c r="AL315" s="135"/>
      <c r="AM315" s="136"/>
      <c r="AN315" s="137"/>
      <c r="AO315" s="138"/>
      <c r="AV315" s="132"/>
      <c r="AW315" s="142"/>
      <c r="AX315" s="143"/>
      <c r="AY315" s="143"/>
      <c r="AZ315" s="143"/>
      <c r="BA315" s="143"/>
      <c r="BB315" s="143"/>
      <c r="BC315" s="144"/>
    </row>
    <row r="316" spans="28:55" ht="15">
      <c r="AB316" s="131"/>
      <c r="AC316" s="146"/>
      <c r="AD316" s="133"/>
      <c r="AE316" s="132"/>
      <c r="AF316" s="132"/>
      <c r="AG316" s="134"/>
      <c r="AL316" s="135"/>
      <c r="AM316" s="136"/>
      <c r="AN316" s="137"/>
      <c r="AO316" s="138"/>
      <c r="AV316" s="132"/>
      <c r="AW316" s="142"/>
      <c r="AX316" s="143"/>
      <c r="AY316" s="143"/>
      <c r="AZ316" s="143"/>
      <c r="BA316" s="143"/>
      <c r="BB316" s="143"/>
      <c r="BC316" s="144"/>
    </row>
    <row r="317" spans="28:55" ht="15">
      <c r="AB317" s="131"/>
      <c r="AC317" s="146"/>
      <c r="AD317" s="133"/>
      <c r="AE317" s="132"/>
      <c r="AF317" s="132"/>
      <c r="AG317" s="134"/>
      <c r="AL317" s="135"/>
      <c r="AM317" s="136"/>
      <c r="AN317" s="137"/>
      <c r="AO317" s="138"/>
      <c r="AV317" s="132"/>
      <c r="AW317" s="142"/>
      <c r="AX317" s="143"/>
      <c r="AY317" s="143"/>
      <c r="AZ317" s="143"/>
      <c r="BA317" s="143"/>
      <c r="BB317" s="143"/>
      <c r="BC317" s="144"/>
    </row>
    <row r="318" spans="28:55" ht="15">
      <c r="AB318" s="131"/>
      <c r="AC318" s="146"/>
      <c r="AD318" s="133"/>
      <c r="AE318" s="132"/>
      <c r="AF318" s="132"/>
      <c r="AG318" s="134"/>
      <c r="AL318" s="135"/>
      <c r="AM318" s="136"/>
      <c r="AN318" s="137"/>
      <c r="AO318" s="138"/>
      <c r="AV318" s="132"/>
      <c r="AW318" s="142"/>
      <c r="AX318" s="143"/>
      <c r="AY318" s="143"/>
      <c r="AZ318" s="143"/>
      <c r="BA318" s="143"/>
      <c r="BB318" s="143"/>
      <c r="BC318" s="144"/>
    </row>
    <row r="319" spans="28:55" ht="15">
      <c r="AB319" s="131"/>
      <c r="AC319" s="146"/>
      <c r="AD319" s="133"/>
      <c r="AE319" s="132"/>
      <c r="AF319" s="132"/>
      <c r="AG319" s="134"/>
      <c r="AL319" s="135"/>
      <c r="AM319" s="136"/>
      <c r="AN319" s="137"/>
      <c r="AO319" s="138"/>
      <c r="AV319" s="132"/>
      <c r="AW319" s="142"/>
      <c r="AX319" s="143"/>
      <c r="AY319" s="143"/>
      <c r="AZ319" s="143"/>
      <c r="BA319" s="143"/>
      <c r="BB319" s="143"/>
      <c r="BC319" s="144"/>
    </row>
    <row r="320" spans="28:55" ht="15">
      <c r="AB320" s="131"/>
      <c r="AC320" s="146"/>
      <c r="AD320" s="133"/>
      <c r="AE320" s="132"/>
      <c r="AF320" s="132"/>
      <c r="AG320" s="134"/>
      <c r="AL320" s="135"/>
      <c r="AM320" s="136"/>
      <c r="AN320" s="137"/>
      <c r="AO320" s="138"/>
      <c r="AV320" s="132"/>
      <c r="AW320" s="142"/>
      <c r="AX320" s="143"/>
      <c r="AY320" s="143"/>
      <c r="AZ320" s="143"/>
      <c r="BA320" s="143"/>
      <c r="BB320" s="143"/>
      <c r="BC320" s="144"/>
    </row>
    <row r="321" spans="28:55" ht="15">
      <c r="AB321" s="131"/>
      <c r="AC321" s="146"/>
      <c r="AD321" s="133"/>
      <c r="AE321" s="132"/>
      <c r="AF321" s="132"/>
      <c r="AG321" s="134"/>
      <c r="AL321" s="135"/>
      <c r="AM321" s="136"/>
      <c r="AN321" s="137"/>
      <c r="AO321" s="138"/>
      <c r="AV321" s="132"/>
      <c r="AW321" s="142"/>
      <c r="AX321" s="143"/>
      <c r="AY321" s="143"/>
      <c r="AZ321" s="143"/>
      <c r="BA321" s="143"/>
      <c r="BB321" s="143"/>
      <c r="BC321" s="144"/>
    </row>
    <row r="322" spans="28:55" ht="15">
      <c r="AB322" s="131"/>
      <c r="AC322" s="146"/>
      <c r="AD322" s="133"/>
      <c r="AE322" s="132"/>
      <c r="AF322" s="132"/>
      <c r="AG322" s="134"/>
      <c r="AL322" s="135"/>
      <c r="AM322" s="136"/>
      <c r="AN322" s="137"/>
      <c r="AO322" s="138"/>
      <c r="AV322" s="132"/>
      <c r="AW322" s="142"/>
      <c r="AX322" s="143"/>
      <c r="AY322" s="143"/>
      <c r="AZ322" s="143"/>
      <c r="BA322" s="143"/>
      <c r="BB322" s="143"/>
      <c r="BC322" s="144"/>
    </row>
    <row r="323" spans="28:55" ht="15">
      <c r="AB323" s="131"/>
      <c r="AC323" s="146"/>
      <c r="AD323" s="133"/>
      <c r="AE323" s="132"/>
      <c r="AF323" s="132"/>
      <c r="AG323" s="134"/>
      <c r="AL323" s="135"/>
      <c r="AM323" s="136"/>
      <c r="AN323" s="137"/>
      <c r="AO323" s="138"/>
      <c r="AV323" s="132"/>
      <c r="AW323" s="142"/>
      <c r="AX323" s="143"/>
      <c r="AY323" s="143"/>
      <c r="AZ323" s="143"/>
      <c r="BA323" s="143"/>
      <c r="BB323" s="143"/>
      <c r="BC323" s="144"/>
    </row>
    <row r="324" spans="28:55" ht="15">
      <c r="AB324" s="131"/>
      <c r="AC324" s="146"/>
      <c r="AD324" s="133"/>
      <c r="AE324" s="132"/>
      <c r="AF324" s="132"/>
      <c r="AG324" s="134"/>
      <c r="AL324" s="135"/>
      <c r="AM324" s="136"/>
      <c r="AN324" s="137"/>
      <c r="AO324" s="138"/>
      <c r="AV324" s="132"/>
      <c r="AW324" s="142"/>
      <c r="AX324" s="143"/>
      <c r="AY324" s="143"/>
      <c r="AZ324" s="143"/>
      <c r="BA324" s="143"/>
      <c r="BB324" s="143"/>
      <c r="BC324" s="144"/>
    </row>
    <row r="325" spans="28:55" ht="15">
      <c r="AB325" s="131"/>
      <c r="AC325" s="146"/>
      <c r="AD325" s="133"/>
      <c r="AE325" s="132"/>
      <c r="AF325" s="132"/>
      <c r="AG325" s="134"/>
      <c r="AL325" s="135"/>
      <c r="AM325" s="136"/>
      <c r="AN325" s="137"/>
      <c r="AO325" s="138"/>
      <c r="AV325" s="132"/>
      <c r="AW325" s="142"/>
      <c r="AX325" s="143"/>
      <c r="AY325" s="143"/>
      <c r="AZ325" s="143"/>
      <c r="BA325" s="143"/>
      <c r="BB325" s="143"/>
      <c r="BC325" s="144"/>
    </row>
    <row r="326" spans="28:55" ht="15">
      <c r="AB326" s="131"/>
      <c r="AC326" s="146"/>
      <c r="AD326" s="133"/>
      <c r="AE326" s="132"/>
      <c r="AF326" s="132"/>
      <c r="AG326" s="134"/>
      <c r="AL326" s="135"/>
      <c r="AM326" s="136"/>
      <c r="AN326" s="137"/>
      <c r="AO326" s="138"/>
      <c r="AV326" s="132"/>
      <c r="AW326" s="142"/>
      <c r="AX326" s="143"/>
      <c r="AY326" s="143"/>
      <c r="AZ326" s="143"/>
      <c r="BA326" s="143"/>
      <c r="BB326" s="143"/>
      <c r="BC326" s="144"/>
    </row>
    <row r="327" spans="28:55" ht="15">
      <c r="AB327" s="131"/>
      <c r="AC327" s="146"/>
      <c r="AD327" s="133"/>
      <c r="AE327" s="132"/>
      <c r="AF327" s="132"/>
      <c r="AG327" s="134"/>
      <c r="AL327" s="135"/>
      <c r="AM327" s="136"/>
      <c r="AN327" s="137"/>
      <c r="AO327" s="138"/>
      <c r="AV327" s="132"/>
      <c r="AW327" s="142"/>
      <c r="AX327" s="143"/>
      <c r="AY327" s="143"/>
      <c r="AZ327" s="143"/>
      <c r="BA327" s="143"/>
      <c r="BB327" s="143"/>
      <c r="BC327" s="144"/>
    </row>
    <row r="328" spans="28:55" ht="15">
      <c r="AB328" s="131"/>
      <c r="AC328" s="146"/>
      <c r="AD328" s="133"/>
      <c r="AE328" s="132"/>
      <c r="AF328" s="132"/>
      <c r="AG328" s="134"/>
      <c r="AL328" s="135"/>
      <c r="AM328" s="136"/>
      <c r="AN328" s="137"/>
      <c r="AO328" s="138"/>
      <c r="AV328" s="132"/>
      <c r="AW328" s="142"/>
      <c r="AX328" s="143"/>
      <c r="AY328" s="143"/>
      <c r="AZ328" s="143"/>
      <c r="BA328" s="143"/>
      <c r="BB328" s="143"/>
      <c r="BC328" s="144"/>
    </row>
    <row r="329" spans="28:55" ht="15">
      <c r="AB329" s="131"/>
      <c r="AC329" s="146"/>
      <c r="AD329" s="133"/>
      <c r="AE329" s="132"/>
      <c r="AF329" s="132"/>
      <c r="AG329" s="134"/>
      <c r="AL329" s="135"/>
      <c r="AM329" s="136"/>
      <c r="AN329" s="137"/>
      <c r="AO329" s="138"/>
      <c r="AV329" s="132"/>
      <c r="AW329" s="142"/>
      <c r="AX329" s="143"/>
      <c r="AY329" s="143"/>
      <c r="AZ329" s="143"/>
      <c r="BA329" s="143"/>
      <c r="BB329" s="143"/>
      <c r="BC329" s="144"/>
    </row>
    <row r="330" spans="28:55" ht="15">
      <c r="AB330" s="131"/>
      <c r="AC330" s="146"/>
      <c r="AD330" s="133"/>
      <c r="AE330" s="132"/>
      <c r="AF330" s="132"/>
      <c r="AG330" s="134"/>
      <c r="AL330" s="135"/>
      <c r="AM330" s="136"/>
      <c r="AN330" s="137"/>
      <c r="AO330" s="138"/>
      <c r="AV330" s="132"/>
      <c r="AW330" s="142"/>
      <c r="AX330" s="143"/>
      <c r="AY330" s="143"/>
      <c r="AZ330" s="143"/>
      <c r="BA330" s="143"/>
      <c r="BB330" s="143"/>
      <c r="BC330" s="144"/>
    </row>
    <row r="331" spans="28:55" ht="15">
      <c r="AB331" s="131"/>
      <c r="AC331" s="146"/>
      <c r="AD331" s="133"/>
      <c r="AE331" s="132"/>
      <c r="AF331" s="132"/>
      <c r="AG331" s="134"/>
      <c r="AL331" s="135"/>
      <c r="AM331" s="136"/>
      <c r="AN331" s="137"/>
      <c r="AO331" s="138"/>
      <c r="AV331" s="132"/>
      <c r="AW331" s="142"/>
      <c r="AX331" s="143"/>
      <c r="AY331" s="143"/>
      <c r="AZ331" s="143"/>
      <c r="BA331" s="143"/>
      <c r="BB331" s="143"/>
      <c r="BC331" s="144"/>
    </row>
    <row r="332" spans="28:55" ht="15">
      <c r="AB332" s="131"/>
      <c r="AC332" s="146"/>
      <c r="AD332" s="133"/>
      <c r="AE332" s="132"/>
      <c r="AF332" s="132"/>
      <c r="AG332" s="134"/>
      <c r="AL332" s="135"/>
      <c r="AM332" s="136"/>
      <c r="AN332" s="137"/>
      <c r="AO332" s="138"/>
      <c r="AV332" s="132"/>
      <c r="AW332" s="142"/>
      <c r="AX332" s="143"/>
      <c r="AY332" s="143"/>
      <c r="AZ332" s="143"/>
      <c r="BA332" s="143"/>
      <c r="BB332" s="143"/>
      <c r="BC332" s="144"/>
    </row>
    <row r="333" spans="28:55" ht="15">
      <c r="AB333" s="131"/>
      <c r="AC333" s="146"/>
      <c r="AD333" s="133"/>
      <c r="AE333" s="132"/>
      <c r="AF333" s="132"/>
      <c r="AG333" s="134"/>
      <c r="AL333" s="135"/>
      <c r="AM333" s="136"/>
      <c r="AN333" s="137"/>
      <c r="AO333" s="138"/>
      <c r="AV333" s="132"/>
      <c r="AW333" s="142"/>
      <c r="AX333" s="143"/>
      <c r="AY333" s="143"/>
      <c r="AZ333" s="143"/>
      <c r="BA333" s="143"/>
      <c r="BB333" s="143"/>
      <c r="BC333" s="144"/>
    </row>
    <row r="334" spans="28:55" ht="15">
      <c r="AB334" s="131"/>
      <c r="AC334" s="146"/>
      <c r="AD334" s="133"/>
      <c r="AE334" s="132"/>
      <c r="AF334" s="132"/>
      <c r="AG334" s="134"/>
      <c r="AL334" s="135"/>
      <c r="AM334" s="136"/>
      <c r="AN334" s="137"/>
      <c r="AO334" s="138"/>
      <c r="AV334" s="132"/>
      <c r="AW334" s="142"/>
      <c r="AX334" s="143"/>
      <c r="AY334" s="143"/>
      <c r="AZ334" s="143"/>
      <c r="BA334" s="143"/>
      <c r="BB334" s="143"/>
      <c r="BC334" s="144"/>
    </row>
    <row r="335" spans="28:55" ht="15">
      <c r="AB335" s="131"/>
      <c r="AD335" s="133"/>
      <c r="AE335" s="132"/>
      <c r="AF335" s="132"/>
      <c r="AG335" s="134"/>
      <c r="AL335" s="135"/>
      <c r="AM335" s="136"/>
      <c r="AN335" s="137"/>
      <c r="AO335" s="138"/>
      <c r="AV335" s="132"/>
      <c r="AW335" s="142"/>
      <c r="AX335" s="143"/>
      <c r="AY335" s="143"/>
      <c r="AZ335" s="143"/>
      <c r="BA335" s="143"/>
      <c r="BB335" s="143"/>
      <c r="BC335" s="144"/>
    </row>
    <row r="336" spans="28:55" ht="15">
      <c r="AB336" s="131"/>
      <c r="AC336" s="146"/>
      <c r="AD336" s="133"/>
      <c r="AE336" s="132"/>
      <c r="AF336" s="132"/>
      <c r="AG336" s="134"/>
      <c r="AL336" s="135"/>
      <c r="AM336" s="136"/>
      <c r="AN336" s="137"/>
      <c r="AO336" s="138"/>
      <c r="AV336" s="132"/>
      <c r="AW336" s="142"/>
      <c r="AX336" s="143"/>
      <c r="AY336" s="143"/>
      <c r="AZ336" s="143"/>
      <c r="BA336" s="143"/>
      <c r="BB336" s="143"/>
      <c r="BC336" s="144"/>
    </row>
    <row r="337" spans="28:55" ht="15">
      <c r="AB337" s="131"/>
      <c r="AC337" s="146"/>
      <c r="AD337" s="133"/>
      <c r="AE337" s="132"/>
      <c r="AF337" s="132"/>
      <c r="AG337" s="134"/>
      <c r="AL337" s="135"/>
      <c r="AM337" s="136"/>
      <c r="AN337" s="137"/>
      <c r="AO337" s="138"/>
      <c r="AV337" s="132"/>
      <c r="AW337" s="142"/>
      <c r="AX337" s="143"/>
      <c r="AY337" s="143"/>
      <c r="AZ337" s="143"/>
      <c r="BA337" s="143"/>
      <c r="BB337" s="143"/>
      <c r="BC337" s="144"/>
    </row>
    <row r="338" spans="28:55" ht="15">
      <c r="AB338" s="131"/>
      <c r="AC338" s="146"/>
      <c r="AD338" s="133"/>
      <c r="AE338" s="132"/>
      <c r="AF338" s="132"/>
      <c r="AG338" s="134"/>
      <c r="AL338" s="135"/>
      <c r="AM338" s="136"/>
      <c r="AN338" s="137"/>
      <c r="AO338" s="138"/>
      <c r="AV338" s="132"/>
      <c r="AW338" s="142"/>
      <c r="AX338" s="143"/>
      <c r="AY338" s="143"/>
      <c r="AZ338" s="143"/>
      <c r="BA338" s="143"/>
      <c r="BB338" s="143"/>
      <c r="BC338" s="144"/>
    </row>
    <row r="339" spans="28:55" ht="15">
      <c r="AB339" s="131"/>
      <c r="AC339" s="146"/>
      <c r="AD339" s="133"/>
      <c r="AE339" s="132"/>
      <c r="AF339" s="132"/>
      <c r="AG339" s="134"/>
      <c r="AL339" s="135"/>
      <c r="AM339" s="136"/>
      <c r="AN339" s="137"/>
      <c r="AO339" s="138"/>
      <c r="AV339" s="132"/>
      <c r="AW339" s="142"/>
      <c r="AX339" s="143"/>
      <c r="AY339" s="143"/>
      <c r="AZ339" s="143"/>
      <c r="BA339" s="143"/>
      <c r="BB339" s="143"/>
      <c r="BC339" s="144"/>
    </row>
    <row r="340" spans="28:55" ht="15">
      <c r="AB340" s="131"/>
      <c r="AC340" s="146"/>
      <c r="AD340" s="133"/>
      <c r="AE340" s="132"/>
      <c r="AF340" s="132"/>
      <c r="AG340" s="134"/>
      <c r="AL340" s="135"/>
      <c r="AM340" s="136"/>
      <c r="AN340" s="137"/>
      <c r="AO340" s="138"/>
      <c r="AV340" s="132"/>
      <c r="AW340" s="142"/>
      <c r="AX340" s="143"/>
      <c r="AY340" s="143"/>
      <c r="AZ340" s="143"/>
      <c r="BA340" s="143"/>
      <c r="BB340" s="143"/>
      <c r="BC340" s="144"/>
    </row>
    <row r="341" spans="28:55" ht="15">
      <c r="AB341" s="131"/>
      <c r="AC341" s="146"/>
      <c r="AD341" s="133"/>
      <c r="AE341" s="132"/>
      <c r="AF341" s="132"/>
      <c r="AG341" s="134"/>
      <c r="AL341" s="135"/>
      <c r="AM341" s="136"/>
      <c r="AN341" s="137"/>
      <c r="AO341" s="138"/>
      <c r="AV341" s="132"/>
      <c r="AW341" s="142"/>
      <c r="AX341" s="143"/>
      <c r="AY341" s="143"/>
      <c r="AZ341" s="143"/>
      <c r="BA341" s="143"/>
      <c r="BB341" s="143"/>
      <c r="BC341" s="144"/>
    </row>
    <row r="342" spans="28:55" ht="15">
      <c r="AB342" s="131"/>
      <c r="AC342" s="146"/>
      <c r="AD342" s="133"/>
      <c r="AE342" s="132"/>
      <c r="AF342" s="132"/>
      <c r="AG342" s="134"/>
      <c r="AL342" s="135"/>
      <c r="AM342" s="136"/>
      <c r="AN342" s="137"/>
      <c r="AO342" s="138"/>
      <c r="AV342" s="132"/>
      <c r="AW342" s="142"/>
      <c r="AX342" s="143"/>
      <c r="AY342" s="143"/>
      <c r="AZ342" s="143"/>
      <c r="BA342" s="143"/>
      <c r="BB342" s="143"/>
      <c r="BC342" s="144"/>
    </row>
    <row r="343" spans="28:55" ht="15">
      <c r="AB343" s="131"/>
      <c r="AC343" s="146"/>
      <c r="AD343" s="133"/>
      <c r="AE343" s="132"/>
      <c r="AF343" s="132"/>
      <c r="AG343" s="134"/>
      <c r="AL343" s="135"/>
      <c r="AM343" s="136"/>
      <c r="AN343" s="137"/>
      <c r="AO343" s="138"/>
      <c r="AV343" s="132"/>
      <c r="AW343" s="142"/>
      <c r="AX343" s="143"/>
      <c r="AY343" s="143"/>
      <c r="AZ343" s="143"/>
      <c r="BA343" s="143"/>
      <c r="BB343" s="143"/>
      <c r="BC343" s="144"/>
    </row>
    <row r="344" spans="28:55" ht="15">
      <c r="AB344" s="131"/>
      <c r="AC344" s="146"/>
      <c r="AD344" s="133"/>
      <c r="AE344" s="132"/>
      <c r="AF344" s="132"/>
      <c r="AG344" s="134"/>
      <c r="AL344" s="135"/>
      <c r="AM344" s="136"/>
      <c r="AN344" s="137"/>
      <c r="AO344" s="138"/>
      <c r="AV344" s="132"/>
      <c r="AW344" s="142"/>
      <c r="AX344" s="143"/>
      <c r="AY344" s="143"/>
      <c r="AZ344" s="143"/>
      <c r="BA344" s="143"/>
      <c r="BB344" s="143"/>
      <c r="BC344" s="144"/>
    </row>
    <row r="345" spans="28:55" ht="15">
      <c r="AB345" s="131"/>
      <c r="AC345" s="146"/>
      <c r="AD345" s="133"/>
      <c r="AE345" s="132"/>
      <c r="AF345" s="132"/>
      <c r="AG345" s="134"/>
      <c r="AL345" s="135"/>
      <c r="AM345" s="136"/>
      <c r="AN345" s="137"/>
      <c r="AO345" s="138"/>
      <c r="AV345" s="132"/>
      <c r="AW345" s="142"/>
      <c r="AX345" s="143"/>
      <c r="AY345" s="143"/>
      <c r="AZ345" s="143"/>
      <c r="BA345" s="143"/>
      <c r="BB345" s="143"/>
      <c r="BC345" s="144"/>
    </row>
    <row r="346" spans="28:55" ht="15">
      <c r="AB346" s="131"/>
      <c r="AC346" s="146"/>
      <c r="AD346" s="133"/>
      <c r="AE346" s="132"/>
      <c r="AF346" s="132"/>
      <c r="AG346" s="134"/>
      <c r="AL346" s="135"/>
      <c r="AM346" s="136"/>
      <c r="AN346" s="137"/>
      <c r="AO346" s="138"/>
      <c r="AV346" s="132"/>
      <c r="AW346" s="142"/>
      <c r="AX346" s="143"/>
      <c r="AY346" s="143"/>
      <c r="AZ346" s="143"/>
      <c r="BA346" s="143"/>
      <c r="BB346" s="143"/>
      <c r="BC346" s="144"/>
    </row>
    <row r="347" spans="28:55" ht="15">
      <c r="AB347" s="131"/>
      <c r="AC347" s="146"/>
      <c r="AD347" s="133"/>
      <c r="AE347" s="132"/>
      <c r="AF347" s="132"/>
      <c r="AG347" s="134"/>
      <c r="AL347" s="135"/>
      <c r="AM347" s="136"/>
      <c r="AN347" s="137"/>
      <c r="AO347" s="138"/>
      <c r="AV347" s="132"/>
      <c r="AW347" s="142"/>
      <c r="AX347" s="143"/>
      <c r="AY347" s="143"/>
      <c r="AZ347" s="143"/>
      <c r="BA347" s="143"/>
      <c r="BB347" s="143"/>
      <c r="BC347" s="144"/>
    </row>
    <row r="348" spans="28:55" ht="15">
      <c r="AB348" s="131"/>
      <c r="AC348" s="146"/>
      <c r="AD348" s="133"/>
      <c r="AE348" s="132"/>
      <c r="AF348" s="132"/>
      <c r="AG348" s="134"/>
      <c r="AL348" s="135"/>
      <c r="AM348" s="136"/>
      <c r="AN348" s="137"/>
      <c r="AO348" s="138"/>
      <c r="AV348" s="132"/>
      <c r="AW348" s="142"/>
      <c r="AX348" s="143"/>
      <c r="AY348" s="143"/>
      <c r="AZ348" s="143"/>
      <c r="BA348" s="143"/>
      <c r="BB348" s="143"/>
      <c r="BC348" s="144"/>
    </row>
    <row r="349" spans="28:55" ht="15">
      <c r="AB349" s="131"/>
      <c r="AC349" s="146"/>
      <c r="AD349" s="133"/>
      <c r="AE349" s="132"/>
      <c r="AF349" s="132"/>
      <c r="AG349" s="134"/>
      <c r="AL349" s="135"/>
      <c r="AM349" s="136"/>
      <c r="AN349" s="137"/>
      <c r="AO349" s="138"/>
      <c r="AV349" s="132"/>
      <c r="AW349" s="142"/>
      <c r="AX349" s="143"/>
      <c r="AY349" s="143"/>
      <c r="AZ349" s="143"/>
      <c r="BA349" s="143"/>
      <c r="BB349" s="143"/>
      <c r="BC349" s="144"/>
    </row>
    <row r="350" spans="28:55" ht="15">
      <c r="AB350" s="131"/>
      <c r="AC350" s="146"/>
      <c r="AD350" s="133"/>
      <c r="AE350" s="132"/>
      <c r="AF350" s="132"/>
      <c r="AG350" s="134"/>
      <c r="AL350" s="135"/>
      <c r="AM350" s="136"/>
      <c r="AN350" s="137"/>
      <c r="AO350" s="138"/>
      <c r="AV350" s="132"/>
      <c r="AW350" s="142"/>
      <c r="AX350" s="143"/>
      <c r="AY350" s="143"/>
      <c r="AZ350" s="143"/>
      <c r="BA350" s="143"/>
      <c r="BB350" s="143"/>
      <c r="BC350" s="144"/>
    </row>
    <row r="351" spans="28:55" ht="15">
      <c r="AB351" s="131"/>
      <c r="AC351" s="146"/>
      <c r="AD351" s="133"/>
      <c r="AE351" s="132"/>
      <c r="AF351" s="132"/>
      <c r="AG351" s="134"/>
      <c r="AL351" s="135"/>
      <c r="AM351" s="136"/>
      <c r="AN351" s="137"/>
      <c r="AO351" s="138"/>
      <c r="AV351" s="132"/>
      <c r="AW351" s="142"/>
      <c r="AX351" s="143"/>
      <c r="AY351" s="143"/>
      <c r="AZ351" s="143"/>
      <c r="BA351" s="143"/>
      <c r="BB351" s="143"/>
      <c r="BC351" s="144"/>
    </row>
    <row r="352" spans="28:55" ht="15">
      <c r="AB352" s="131"/>
      <c r="AC352" s="146"/>
      <c r="AD352" s="133"/>
      <c r="AE352" s="132"/>
      <c r="AF352" s="132"/>
      <c r="AG352" s="134"/>
      <c r="AL352" s="135"/>
      <c r="AM352" s="136"/>
      <c r="AN352" s="137"/>
      <c r="AO352" s="138"/>
      <c r="AV352" s="132"/>
      <c r="AW352" s="142"/>
      <c r="AX352" s="143"/>
      <c r="AY352" s="143"/>
      <c r="AZ352" s="143"/>
      <c r="BA352" s="143"/>
      <c r="BB352" s="143"/>
      <c r="BC352" s="144"/>
    </row>
    <row r="353" spans="28:55" ht="15">
      <c r="AB353" s="131"/>
      <c r="AC353" s="146"/>
      <c r="AD353" s="133"/>
      <c r="AE353" s="132"/>
      <c r="AF353" s="132"/>
      <c r="AG353" s="134"/>
      <c r="AL353" s="135"/>
      <c r="AM353" s="136"/>
      <c r="AN353" s="137"/>
      <c r="AO353" s="138"/>
      <c r="AV353" s="132"/>
      <c r="AW353" s="142"/>
      <c r="AX353" s="143"/>
      <c r="AY353" s="143"/>
      <c r="AZ353" s="143"/>
      <c r="BA353" s="143"/>
      <c r="BB353" s="143"/>
      <c r="BC353" s="144"/>
    </row>
    <row r="354" spans="28:55" ht="15">
      <c r="AB354" s="131"/>
      <c r="AC354" s="146"/>
      <c r="AD354" s="133"/>
      <c r="AE354" s="132"/>
      <c r="AF354" s="132"/>
      <c r="AG354" s="134"/>
      <c r="AL354" s="135"/>
      <c r="AM354" s="136"/>
      <c r="AN354" s="137"/>
      <c r="AO354" s="138"/>
      <c r="AV354" s="132"/>
      <c r="AW354" s="142"/>
      <c r="AX354" s="143"/>
      <c r="AY354" s="143"/>
      <c r="AZ354" s="143"/>
      <c r="BA354" s="143"/>
      <c r="BB354" s="143"/>
      <c r="BC354" s="144"/>
    </row>
    <row r="355" spans="28:55" ht="15">
      <c r="AB355" s="131"/>
      <c r="AC355" s="146"/>
      <c r="AD355" s="133"/>
      <c r="AE355" s="132"/>
      <c r="AF355" s="132"/>
      <c r="AG355" s="134"/>
      <c r="AL355" s="135"/>
      <c r="AM355" s="136"/>
      <c r="AN355" s="137"/>
      <c r="AO355" s="138"/>
      <c r="AV355" s="132"/>
      <c r="AW355" s="142"/>
      <c r="AX355" s="143"/>
      <c r="AY355" s="143"/>
      <c r="AZ355" s="143"/>
      <c r="BA355" s="143"/>
      <c r="BB355" s="143"/>
      <c r="BC355" s="144"/>
    </row>
    <row r="356" spans="28:55" ht="15">
      <c r="AB356" s="131"/>
      <c r="AC356" s="146"/>
      <c r="AD356" s="133"/>
      <c r="AE356" s="132"/>
      <c r="AF356" s="132"/>
      <c r="AG356" s="134"/>
      <c r="AL356" s="135"/>
      <c r="AM356" s="136"/>
      <c r="AN356" s="137"/>
      <c r="AO356" s="138"/>
      <c r="AV356" s="132"/>
      <c r="AW356" s="142"/>
      <c r="AX356" s="143"/>
      <c r="AY356" s="143"/>
      <c r="AZ356" s="143"/>
      <c r="BA356" s="143"/>
      <c r="BB356" s="143"/>
      <c r="BC356" s="144"/>
    </row>
    <row r="357" spans="28:55" ht="15">
      <c r="AB357" s="131"/>
      <c r="AC357" s="146"/>
      <c r="AD357" s="133"/>
      <c r="AE357" s="132"/>
      <c r="AF357" s="132"/>
      <c r="AG357" s="134"/>
      <c r="AL357" s="135"/>
      <c r="AM357" s="136"/>
      <c r="AN357" s="137"/>
      <c r="AO357" s="138"/>
      <c r="AV357" s="132"/>
      <c r="AW357" s="142"/>
      <c r="AX357" s="143"/>
      <c r="AY357" s="143"/>
      <c r="AZ357" s="143"/>
      <c r="BA357" s="143"/>
      <c r="BB357" s="143"/>
      <c r="BC357" s="144"/>
    </row>
    <row r="358" spans="28:55" ht="15">
      <c r="AB358" s="131"/>
      <c r="AC358" s="146"/>
      <c r="AD358" s="133"/>
      <c r="AE358" s="132"/>
      <c r="AF358" s="132"/>
      <c r="AG358" s="134"/>
      <c r="AL358" s="135"/>
      <c r="AM358" s="136"/>
      <c r="AN358" s="137"/>
      <c r="AO358" s="138"/>
      <c r="AV358" s="132"/>
      <c r="AW358" s="142"/>
      <c r="AX358" s="143"/>
      <c r="AY358" s="143"/>
      <c r="AZ358" s="143"/>
      <c r="BA358" s="143"/>
      <c r="BB358" s="143"/>
      <c r="BC358" s="144"/>
    </row>
    <row r="359" spans="28:55" ht="15">
      <c r="AB359" s="131"/>
      <c r="AC359" s="146"/>
      <c r="AD359" s="133"/>
      <c r="AE359" s="132"/>
      <c r="AF359" s="132"/>
      <c r="AG359" s="134"/>
      <c r="AL359" s="135"/>
      <c r="AM359" s="136"/>
      <c r="AN359" s="137"/>
      <c r="AO359" s="138"/>
      <c r="AV359" s="132"/>
      <c r="AW359" s="142"/>
      <c r="AX359" s="143"/>
      <c r="AY359" s="143"/>
      <c r="AZ359" s="143"/>
      <c r="BA359" s="143"/>
      <c r="BB359" s="143"/>
      <c r="BC359" s="144"/>
    </row>
    <row r="360" spans="28:55" ht="15">
      <c r="AB360" s="131"/>
      <c r="AC360" s="146"/>
      <c r="AD360" s="133"/>
      <c r="AE360" s="132"/>
      <c r="AF360" s="132"/>
      <c r="AG360" s="134"/>
      <c r="AL360" s="135"/>
      <c r="AM360" s="136"/>
      <c r="AN360" s="137"/>
      <c r="AO360" s="138"/>
      <c r="AV360" s="132"/>
      <c r="AW360" s="142"/>
      <c r="AX360" s="143"/>
      <c r="AY360" s="143"/>
      <c r="AZ360" s="143"/>
      <c r="BA360" s="143"/>
      <c r="BB360" s="143"/>
      <c r="BC360" s="144"/>
    </row>
    <row r="361" spans="28:55" ht="15">
      <c r="AB361" s="131"/>
      <c r="AC361" s="146"/>
      <c r="AD361" s="133"/>
      <c r="AE361" s="132"/>
      <c r="AF361" s="132"/>
      <c r="AG361" s="134"/>
      <c r="AL361" s="135"/>
      <c r="AM361" s="136"/>
      <c r="AN361" s="137"/>
      <c r="AO361" s="138"/>
      <c r="AV361" s="132"/>
      <c r="AW361" s="142"/>
      <c r="AX361" s="143"/>
      <c r="AY361" s="143"/>
      <c r="AZ361" s="143"/>
      <c r="BA361" s="143"/>
      <c r="BB361" s="143"/>
      <c r="BC361" s="144"/>
    </row>
    <row r="362" spans="28:55" ht="15">
      <c r="AB362" s="131"/>
      <c r="AC362" s="146"/>
      <c r="AD362" s="133"/>
      <c r="AE362" s="132"/>
      <c r="AF362" s="132"/>
      <c r="AG362" s="134"/>
      <c r="AL362" s="135"/>
      <c r="AM362" s="136"/>
      <c r="AN362" s="137"/>
      <c r="AO362" s="138"/>
      <c r="AV362" s="132"/>
      <c r="AW362" s="142"/>
      <c r="AX362" s="143"/>
      <c r="AY362" s="143"/>
      <c r="AZ362" s="143"/>
      <c r="BA362" s="143"/>
      <c r="BB362" s="143"/>
      <c r="BC362" s="144"/>
    </row>
    <row r="363" spans="28:55" ht="15">
      <c r="AB363" s="131"/>
      <c r="AC363" s="146"/>
      <c r="AD363" s="133"/>
      <c r="AE363" s="132"/>
      <c r="AF363" s="132"/>
      <c r="AG363" s="134"/>
      <c r="AL363" s="135"/>
      <c r="AM363" s="136"/>
      <c r="AN363" s="137"/>
      <c r="AO363" s="138"/>
      <c r="AV363" s="132"/>
      <c r="AW363" s="142"/>
      <c r="AX363" s="143"/>
      <c r="AY363" s="143"/>
      <c r="AZ363" s="143"/>
      <c r="BA363" s="143"/>
      <c r="BB363" s="143"/>
      <c r="BC363" s="144"/>
    </row>
    <row r="364" spans="28:55" ht="15">
      <c r="AB364" s="131"/>
      <c r="AC364" s="146"/>
      <c r="AD364" s="133"/>
      <c r="AE364" s="132"/>
      <c r="AF364" s="132"/>
      <c r="AG364" s="134"/>
      <c r="AL364" s="135"/>
      <c r="AM364" s="136"/>
      <c r="AN364" s="137"/>
      <c r="AO364" s="138"/>
      <c r="AV364" s="132"/>
      <c r="AW364" s="142"/>
      <c r="AX364" s="143"/>
      <c r="AY364" s="143"/>
      <c r="AZ364" s="143"/>
      <c r="BA364" s="143"/>
      <c r="BB364" s="143"/>
      <c r="BC364" s="144"/>
    </row>
    <row r="365" spans="28:55" ht="15">
      <c r="AB365" s="131"/>
      <c r="AC365" s="146"/>
      <c r="AD365" s="133"/>
      <c r="AE365" s="132"/>
      <c r="AF365" s="132"/>
      <c r="AG365" s="134"/>
      <c r="AL365" s="135"/>
      <c r="AM365" s="136"/>
      <c r="AN365" s="137"/>
      <c r="AO365" s="138"/>
      <c r="AV365" s="132"/>
      <c r="AW365" s="142"/>
      <c r="AX365" s="143"/>
      <c r="AY365" s="143"/>
      <c r="AZ365" s="143"/>
      <c r="BA365" s="143"/>
      <c r="BB365" s="143"/>
      <c r="BC365" s="144"/>
    </row>
    <row r="366" spans="28:55" ht="15">
      <c r="AB366" s="131"/>
      <c r="AC366" s="146"/>
      <c r="AD366" s="133"/>
      <c r="AE366" s="132"/>
      <c r="AF366" s="132"/>
      <c r="AG366" s="134"/>
      <c r="AL366" s="135"/>
      <c r="AM366" s="136"/>
      <c r="AN366" s="137"/>
      <c r="AO366" s="138"/>
      <c r="AV366" s="132"/>
      <c r="AW366" s="142"/>
      <c r="AX366" s="143"/>
      <c r="AY366" s="143"/>
      <c r="AZ366" s="143"/>
      <c r="BA366" s="143"/>
      <c r="BB366" s="143"/>
      <c r="BC366" s="144"/>
    </row>
    <row r="367" spans="28:55" ht="15">
      <c r="AB367" s="131"/>
      <c r="AC367" s="146"/>
      <c r="AD367" s="133"/>
      <c r="AE367" s="132"/>
      <c r="AF367" s="132"/>
      <c r="AG367" s="134"/>
      <c r="AL367" s="135"/>
      <c r="AM367" s="136"/>
      <c r="AN367" s="137"/>
      <c r="AO367" s="138"/>
      <c r="AV367" s="132"/>
      <c r="AW367" s="142"/>
      <c r="AX367" s="143"/>
      <c r="AY367" s="143"/>
      <c r="AZ367" s="143"/>
      <c r="BA367" s="143"/>
      <c r="BB367" s="143"/>
      <c r="BC367" s="144"/>
    </row>
    <row r="368" spans="28:55" ht="15">
      <c r="AB368" s="131"/>
      <c r="AC368" s="146"/>
      <c r="AD368" s="133"/>
      <c r="AE368" s="132"/>
      <c r="AF368" s="132"/>
      <c r="AG368" s="134"/>
      <c r="AL368" s="135"/>
      <c r="AM368" s="136"/>
      <c r="AN368" s="137"/>
      <c r="AO368" s="138"/>
      <c r="AV368" s="132"/>
      <c r="AW368" s="142"/>
      <c r="AX368" s="143"/>
      <c r="AY368" s="143"/>
      <c r="AZ368" s="143"/>
      <c r="BA368" s="143"/>
      <c r="BB368" s="143"/>
      <c r="BC368" s="144"/>
    </row>
    <row r="369" spans="28:55" ht="15">
      <c r="AB369" s="131"/>
      <c r="AC369" s="146"/>
      <c r="AD369" s="133"/>
      <c r="AE369" s="132"/>
      <c r="AF369" s="132"/>
      <c r="AG369" s="134"/>
      <c r="AL369" s="135"/>
      <c r="AM369" s="136"/>
      <c r="AN369" s="137"/>
      <c r="AO369" s="138"/>
      <c r="AV369" s="132"/>
      <c r="AW369" s="142"/>
      <c r="AX369" s="143"/>
      <c r="AY369" s="143"/>
      <c r="AZ369" s="143"/>
      <c r="BA369" s="143"/>
      <c r="BB369" s="143"/>
      <c r="BC369" s="144"/>
    </row>
    <row r="370" spans="28:55" ht="15">
      <c r="AB370" s="131"/>
      <c r="AC370" s="146"/>
      <c r="AD370" s="133"/>
      <c r="AE370" s="132"/>
      <c r="AF370" s="132"/>
      <c r="AG370" s="134"/>
      <c r="AL370" s="135"/>
      <c r="AM370" s="136"/>
      <c r="AN370" s="137"/>
      <c r="AO370" s="138"/>
      <c r="AV370" s="132"/>
      <c r="AW370" s="142"/>
      <c r="AX370" s="143"/>
      <c r="AY370" s="143"/>
      <c r="AZ370" s="143"/>
      <c r="BA370" s="143"/>
      <c r="BB370" s="143"/>
      <c r="BC370" s="144"/>
    </row>
    <row r="371" spans="28:55" ht="15">
      <c r="AB371" s="131"/>
      <c r="AC371" s="146"/>
      <c r="AD371" s="133"/>
      <c r="AE371" s="132"/>
      <c r="AF371" s="132"/>
      <c r="AG371" s="134"/>
      <c r="AL371" s="135"/>
      <c r="AM371" s="136"/>
      <c r="AN371" s="137"/>
      <c r="AO371" s="138"/>
      <c r="AV371" s="132"/>
      <c r="AW371" s="142"/>
      <c r="AX371" s="143"/>
      <c r="AY371" s="143"/>
      <c r="AZ371" s="143"/>
      <c r="BA371" s="143"/>
      <c r="BB371" s="143"/>
      <c r="BC371" s="144"/>
    </row>
    <row r="372" spans="28:55" ht="15">
      <c r="AB372" s="131"/>
      <c r="AC372" s="146"/>
      <c r="AD372" s="133"/>
      <c r="AE372" s="132"/>
      <c r="AF372" s="132"/>
      <c r="AG372" s="134"/>
      <c r="AL372" s="135"/>
      <c r="AM372" s="136"/>
      <c r="AN372" s="137"/>
      <c r="AO372" s="138"/>
      <c r="AV372" s="132"/>
      <c r="AW372" s="142"/>
      <c r="AX372" s="143"/>
      <c r="AY372" s="143"/>
      <c r="AZ372" s="143"/>
      <c r="BA372" s="143"/>
      <c r="BB372" s="143"/>
      <c r="BC372" s="144"/>
    </row>
    <row r="373" spans="28:55" ht="15">
      <c r="AB373" s="131"/>
      <c r="AC373" s="146"/>
      <c r="AD373" s="133"/>
      <c r="AE373" s="132"/>
      <c r="AF373" s="132"/>
      <c r="AG373" s="134"/>
      <c r="AL373" s="135"/>
      <c r="AM373" s="136"/>
      <c r="AN373" s="137"/>
      <c r="AO373" s="138"/>
      <c r="AV373" s="132"/>
      <c r="AW373" s="142"/>
      <c r="AX373" s="143"/>
      <c r="AY373" s="143"/>
      <c r="AZ373" s="143"/>
      <c r="BA373" s="143"/>
      <c r="BB373" s="143"/>
      <c r="BC373" s="144"/>
    </row>
    <row r="374" spans="28:55" ht="15">
      <c r="AB374" s="131"/>
      <c r="AC374" s="146"/>
      <c r="AD374" s="133"/>
      <c r="AE374" s="132"/>
      <c r="AF374" s="132"/>
      <c r="AG374" s="134"/>
      <c r="AL374" s="135"/>
      <c r="AM374" s="136"/>
      <c r="AN374" s="137"/>
      <c r="AO374" s="138"/>
      <c r="AV374" s="132"/>
      <c r="AW374" s="142"/>
      <c r="AX374" s="143"/>
      <c r="AY374" s="143"/>
      <c r="AZ374" s="143"/>
      <c r="BA374" s="143"/>
      <c r="BB374" s="143"/>
      <c r="BC374" s="144"/>
    </row>
    <row r="375" spans="28:55" ht="15">
      <c r="AB375" s="131"/>
      <c r="AC375" s="146"/>
      <c r="AD375" s="133"/>
      <c r="AE375" s="132"/>
      <c r="AF375" s="132"/>
      <c r="AG375" s="134"/>
      <c r="AL375" s="135"/>
      <c r="AM375" s="136"/>
      <c r="AN375" s="137"/>
      <c r="AO375" s="138"/>
      <c r="AV375" s="132"/>
      <c r="AW375" s="142"/>
      <c r="AX375" s="143"/>
      <c r="AY375" s="143"/>
      <c r="AZ375" s="143"/>
      <c r="BA375" s="143"/>
      <c r="BB375" s="143"/>
      <c r="BC375" s="144"/>
    </row>
    <row r="376" spans="28:55" ht="15">
      <c r="AB376" s="131"/>
      <c r="AC376" s="146"/>
      <c r="AD376" s="133"/>
      <c r="AE376" s="132"/>
      <c r="AF376" s="132"/>
      <c r="AG376" s="134"/>
      <c r="AL376" s="135"/>
      <c r="AM376" s="136"/>
      <c r="AN376" s="137"/>
      <c r="AO376" s="138"/>
      <c r="AV376" s="132"/>
      <c r="AW376" s="142"/>
      <c r="AX376" s="143"/>
      <c r="AY376" s="143"/>
      <c r="AZ376" s="143"/>
      <c r="BA376" s="143"/>
      <c r="BB376" s="143"/>
      <c r="BC376" s="144"/>
    </row>
    <row r="377" spans="28:55" ht="15">
      <c r="AB377" s="131"/>
      <c r="AC377" s="146"/>
      <c r="AD377" s="133"/>
      <c r="AE377" s="132"/>
      <c r="AF377" s="132"/>
      <c r="AG377" s="134"/>
      <c r="AL377" s="135"/>
      <c r="AM377" s="136"/>
      <c r="AN377" s="137"/>
      <c r="AO377" s="138"/>
      <c r="AV377" s="132"/>
      <c r="AW377" s="142"/>
      <c r="AX377" s="143"/>
      <c r="AY377" s="143"/>
      <c r="AZ377" s="143"/>
      <c r="BA377" s="143"/>
      <c r="BB377" s="143"/>
      <c r="BC377" s="144"/>
    </row>
    <row r="378" spans="28:55" ht="15">
      <c r="AB378" s="131"/>
      <c r="AC378" s="146"/>
      <c r="AD378" s="133"/>
      <c r="AE378" s="132"/>
      <c r="AF378" s="132"/>
      <c r="AG378" s="134"/>
      <c r="AL378" s="135"/>
      <c r="AM378" s="136"/>
      <c r="AN378" s="137"/>
      <c r="AO378" s="138"/>
      <c r="AV378" s="132"/>
      <c r="AW378" s="142"/>
      <c r="AX378" s="143"/>
      <c r="AY378" s="143"/>
      <c r="AZ378" s="143"/>
      <c r="BA378" s="143"/>
      <c r="BB378" s="143"/>
      <c r="BC378" s="144"/>
    </row>
    <row r="379" spans="28:55" ht="15">
      <c r="AB379" s="131"/>
      <c r="AC379" s="146"/>
      <c r="AD379" s="133"/>
      <c r="AE379" s="132"/>
      <c r="AF379" s="132"/>
      <c r="AG379" s="134"/>
      <c r="AL379" s="135"/>
      <c r="AM379" s="136"/>
      <c r="AN379" s="137"/>
      <c r="AO379" s="138"/>
      <c r="AV379" s="132"/>
      <c r="AW379" s="142"/>
      <c r="AX379" s="143"/>
      <c r="AY379" s="143"/>
      <c r="AZ379" s="143"/>
      <c r="BA379" s="143"/>
      <c r="BB379" s="143"/>
      <c r="BC379" s="144"/>
    </row>
    <row r="380" spans="28:55" ht="15">
      <c r="AB380" s="131"/>
      <c r="AC380" s="146"/>
      <c r="AD380" s="133"/>
      <c r="AE380" s="132"/>
      <c r="AF380" s="132"/>
      <c r="AG380" s="134"/>
      <c r="AL380" s="135"/>
      <c r="AM380" s="136"/>
      <c r="AN380" s="137"/>
      <c r="AO380" s="138"/>
      <c r="AV380" s="132"/>
      <c r="AW380" s="142"/>
      <c r="AX380" s="143"/>
      <c r="AY380" s="143"/>
      <c r="AZ380" s="143"/>
      <c r="BA380" s="143"/>
      <c r="BB380" s="143"/>
      <c r="BC380" s="144"/>
    </row>
    <row r="381" spans="28:55" ht="15">
      <c r="AB381" s="131"/>
      <c r="AC381" s="146"/>
      <c r="AD381" s="133"/>
      <c r="AE381" s="132"/>
      <c r="AF381" s="132"/>
      <c r="AG381" s="134"/>
      <c r="AL381" s="135"/>
      <c r="AM381" s="136"/>
      <c r="AN381" s="137"/>
      <c r="AO381" s="138"/>
      <c r="AV381" s="132"/>
      <c r="AW381" s="142"/>
      <c r="AX381" s="143"/>
      <c r="AY381" s="143"/>
      <c r="AZ381" s="143"/>
      <c r="BA381" s="143"/>
      <c r="BB381" s="143"/>
      <c r="BC381" s="144"/>
    </row>
    <row r="382" spans="28:55" ht="15">
      <c r="AB382" s="131"/>
      <c r="AC382" s="146"/>
      <c r="AD382" s="133"/>
      <c r="AE382" s="132"/>
      <c r="AF382" s="132"/>
      <c r="AG382" s="134"/>
      <c r="AL382" s="135"/>
      <c r="AM382" s="136"/>
      <c r="AN382" s="137"/>
      <c r="AO382" s="138"/>
      <c r="AV382" s="132"/>
      <c r="AW382" s="142"/>
      <c r="AX382" s="143"/>
      <c r="AY382" s="143"/>
      <c r="AZ382" s="143"/>
      <c r="BA382" s="143"/>
      <c r="BB382" s="143"/>
      <c r="BC382" s="144"/>
    </row>
    <row r="383" spans="28:55" ht="15">
      <c r="AB383" s="131"/>
      <c r="AC383" s="146"/>
      <c r="AD383" s="133"/>
      <c r="AE383" s="132"/>
      <c r="AF383" s="132"/>
      <c r="AG383" s="134"/>
      <c r="AL383" s="135"/>
      <c r="AM383" s="136"/>
      <c r="AN383" s="137"/>
      <c r="AO383" s="138"/>
      <c r="AV383" s="132"/>
      <c r="AW383" s="142"/>
      <c r="AX383" s="143"/>
      <c r="AY383" s="143"/>
      <c r="AZ383" s="143"/>
      <c r="BA383" s="143"/>
      <c r="BB383" s="143"/>
      <c r="BC383" s="144"/>
    </row>
    <row r="384" spans="28:55" ht="15">
      <c r="AB384" s="131"/>
      <c r="AC384" s="146"/>
      <c r="AD384" s="133"/>
      <c r="AE384" s="132"/>
      <c r="AF384" s="132"/>
      <c r="AG384" s="134"/>
      <c r="AL384" s="135"/>
      <c r="AM384" s="136"/>
      <c r="AN384" s="137"/>
      <c r="AO384" s="138"/>
      <c r="AV384" s="132"/>
      <c r="AW384" s="142"/>
      <c r="AX384" s="143"/>
      <c r="AY384" s="143"/>
      <c r="AZ384" s="143"/>
      <c r="BA384" s="143"/>
      <c r="BB384" s="143"/>
      <c r="BC384" s="144"/>
    </row>
    <row r="385" spans="28:55" ht="15">
      <c r="AB385" s="131"/>
      <c r="AC385" s="146"/>
      <c r="AD385" s="133"/>
      <c r="AE385" s="132"/>
      <c r="AF385" s="132"/>
      <c r="AG385" s="134"/>
      <c r="AL385" s="135"/>
      <c r="AM385" s="136"/>
      <c r="AN385" s="137"/>
      <c r="AO385" s="138"/>
      <c r="AV385" s="132"/>
      <c r="AW385" s="142"/>
      <c r="AX385" s="143"/>
      <c r="AY385" s="143"/>
      <c r="AZ385" s="143"/>
      <c r="BA385" s="143"/>
      <c r="BB385" s="143"/>
      <c r="BC385" s="144"/>
    </row>
    <row r="386" spans="28:55" ht="15">
      <c r="AB386" s="131"/>
      <c r="AC386" s="146"/>
      <c r="AD386" s="133"/>
      <c r="AE386" s="132"/>
      <c r="AF386" s="132"/>
      <c r="AG386" s="134"/>
      <c r="AL386" s="135"/>
      <c r="AM386" s="136"/>
      <c r="AN386" s="137"/>
      <c r="AO386" s="138"/>
      <c r="AV386" s="132"/>
      <c r="AW386" s="142"/>
      <c r="AX386" s="143"/>
      <c r="AY386" s="143"/>
      <c r="AZ386" s="143"/>
      <c r="BA386" s="143"/>
      <c r="BB386" s="143"/>
      <c r="BC386" s="144"/>
    </row>
    <row r="387" spans="28:55" ht="15">
      <c r="AB387" s="131"/>
      <c r="AC387" s="146"/>
      <c r="AD387" s="133"/>
      <c r="AE387" s="132"/>
      <c r="AF387" s="132"/>
      <c r="AG387" s="134"/>
      <c r="AL387" s="135"/>
      <c r="AM387" s="136"/>
      <c r="AN387" s="137"/>
      <c r="AO387" s="138"/>
      <c r="AV387" s="132"/>
      <c r="AW387" s="142"/>
      <c r="AX387" s="143"/>
      <c r="AY387" s="143"/>
      <c r="AZ387" s="143"/>
      <c r="BA387" s="143"/>
      <c r="BB387" s="143"/>
      <c r="BC387" s="144"/>
    </row>
    <row r="388" spans="28:55" ht="15">
      <c r="AB388" s="131"/>
      <c r="AC388" s="146"/>
      <c r="AD388" s="133"/>
      <c r="AE388" s="132"/>
      <c r="AF388" s="132"/>
      <c r="AG388" s="134"/>
      <c r="AL388" s="135"/>
      <c r="AM388" s="136"/>
      <c r="AN388" s="137"/>
      <c r="AO388" s="138"/>
      <c r="AV388" s="132"/>
      <c r="AW388" s="142"/>
      <c r="AX388" s="143"/>
      <c r="AY388" s="143"/>
      <c r="AZ388" s="143"/>
      <c r="BA388" s="143"/>
      <c r="BB388" s="143"/>
      <c r="BC388" s="144"/>
    </row>
    <row r="389" spans="28:55" ht="15">
      <c r="AB389" s="131"/>
      <c r="AC389" s="146"/>
      <c r="AD389" s="133"/>
      <c r="AE389" s="132"/>
      <c r="AF389" s="132"/>
      <c r="AG389" s="134"/>
      <c r="AL389" s="135"/>
      <c r="AM389" s="136"/>
      <c r="AN389" s="137"/>
      <c r="AO389" s="138"/>
      <c r="AV389" s="132"/>
      <c r="AW389" s="142"/>
      <c r="AX389" s="143"/>
      <c r="AY389" s="143"/>
      <c r="AZ389" s="143"/>
      <c r="BA389" s="143"/>
      <c r="BB389" s="143"/>
      <c r="BC389" s="144"/>
    </row>
    <row r="390" spans="28:55" ht="15">
      <c r="AB390" s="131"/>
      <c r="AC390" s="146"/>
      <c r="AD390" s="133"/>
      <c r="AE390" s="132"/>
      <c r="AF390" s="132"/>
      <c r="AG390" s="134"/>
      <c r="AL390" s="135"/>
      <c r="AM390" s="136"/>
      <c r="AN390" s="137"/>
      <c r="AO390" s="138"/>
      <c r="AV390" s="132"/>
      <c r="AW390" s="142"/>
      <c r="AX390" s="143"/>
      <c r="AY390" s="143"/>
      <c r="AZ390" s="143"/>
      <c r="BA390" s="143"/>
      <c r="BB390" s="143"/>
      <c r="BC390" s="144"/>
    </row>
    <row r="391" spans="28:55" ht="15">
      <c r="AB391" s="131"/>
      <c r="AC391" s="146"/>
      <c r="AD391" s="133"/>
      <c r="AE391" s="132"/>
      <c r="AF391" s="132"/>
      <c r="AG391" s="134"/>
      <c r="AL391" s="135"/>
      <c r="AM391" s="136"/>
      <c r="AN391" s="137"/>
      <c r="AO391" s="138"/>
      <c r="AV391" s="132"/>
      <c r="AW391" s="142"/>
      <c r="AX391" s="143"/>
      <c r="AY391" s="143"/>
      <c r="AZ391" s="143"/>
      <c r="BA391" s="143"/>
      <c r="BB391" s="143"/>
      <c r="BC391" s="144"/>
    </row>
    <row r="392" spans="28:55" ht="15">
      <c r="AB392" s="131"/>
      <c r="AC392" s="146"/>
      <c r="AD392" s="133"/>
      <c r="AE392" s="132"/>
      <c r="AF392" s="132"/>
      <c r="AG392" s="134"/>
      <c r="AL392" s="135"/>
      <c r="AM392" s="136"/>
      <c r="AN392" s="137"/>
      <c r="AO392" s="138"/>
      <c r="AV392" s="132"/>
      <c r="AW392" s="142"/>
      <c r="AX392" s="143"/>
      <c r="AY392" s="143"/>
      <c r="AZ392" s="143"/>
      <c r="BA392" s="143"/>
      <c r="BB392" s="143"/>
      <c r="BC392" s="144"/>
    </row>
    <row r="393" spans="28:55" ht="15">
      <c r="AB393" s="131"/>
      <c r="AC393" s="146"/>
      <c r="AD393" s="133"/>
      <c r="AE393" s="132"/>
      <c r="AF393" s="132"/>
      <c r="AG393" s="134"/>
      <c r="AL393" s="135"/>
      <c r="AM393" s="136"/>
      <c r="AN393" s="137"/>
      <c r="AO393" s="138"/>
      <c r="AV393" s="132"/>
      <c r="AW393" s="142"/>
      <c r="AX393" s="143"/>
      <c r="AY393" s="143"/>
      <c r="AZ393" s="143"/>
      <c r="BA393" s="143"/>
      <c r="BB393" s="143"/>
      <c r="BC393" s="144"/>
    </row>
    <row r="394" spans="28:55" ht="15">
      <c r="AB394" s="131"/>
      <c r="AC394" s="146"/>
      <c r="AD394" s="133"/>
      <c r="AE394" s="132"/>
      <c r="AF394" s="132"/>
      <c r="AG394" s="134"/>
      <c r="AL394" s="135"/>
      <c r="AM394" s="136"/>
      <c r="AN394" s="137"/>
      <c r="AO394" s="138"/>
      <c r="AV394" s="132"/>
      <c r="AW394" s="142"/>
      <c r="AX394" s="143"/>
      <c r="AY394" s="143"/>
      <c r="AZ394" s="143"/>
      <c r="BA394" s="143"/>
      <c r="BB394" s="143"/>
      <c r="BC394" s="144"/>
    </row>
    <row r="395" spans="28:55" ht="15">
      <c r="AB395" s="131"/>
      <c r="AC395" s="146"/>
      <c r="AD395" s="133"/>
      <c r="AE395" s="132"/>
      <c r="AF395" s="132"/>
      <c r="AG395" s="134"/>
      <c r="AL395" s="135"/>
      <c r="AM395" s="136"/>
      <c r="AN395" s="137"/>
      <c r="AO395" s="138"/>
      <c r="AV395" s="132"/>
      <c r="AW395" s="142"/>
      <c r="AX395" s="143"/>
      <c r="AY395" s="143"/>
      <c r="AZ395" s="143"/>
      <c r="BA395" s="143"/>
      <c r="BB395" s="143"/>
      <c r="BC395" s="144"/>
    </row>
    <row r="396" spans="28:55" ht="15">
      <c r="AB396" s="131"/>
      <c r="AC396" s="146"/>
      <c r="AD396" s="133"/>
      <c r="AE396" s="132"/>
      <c r="AF396" s="132"/>
      <c r="AG396" s="134"/>
      <c r="AL396" s="135"/>
      <c r="AM396" s="136"/>
      <c r="AN396" s="137"/>
      <c r="AO396" s="138"/>
      <c r="AV396" s="132"/>
      <c r="AW396" s="142"/>
      <c r="AX396" s="143"/>
      <c r="AY396" s="143"/>
      <c r="AZ396" s="143"/>
      <c r="BA396" s="143"/>
      <c r="BB396" s="143"/>
      <c r="BC396" s="144"/>
    </row>
    <row r="397" spans="28:55" ht="15">
      <c r="AB397" s="131"/>
      <c r="AC397" s="146"/>
      <c r="AD397" s="133"/>
      <c r="AE397" s="132"/>
      <c r="AF397" s="132"/>
      <c r="AG397" s="134"/>
      <c r="AL397" s="135"/>
      <c r="AM397" s="136"/>
      <c r="AN397" s="137"/>
      <c r="AO397" s="138"/>
      <c r="AV397" s="132"/>
      <c r="AW397" s="142"/>
      <c r="AX397" s="143"/>
      <c r="AY397" s="143"/>
      <c r="AZ397" s="143"/>
      <c r="BA397" s="143"/>
      <c r="BB397" s="143"/>
      <c r="BC397" s="144"/>
    </row>
    <row r="398" spans="28:55" ht="15">
      <c r="AB398" s="131"/>
      <c r="AC398" s="146"/>
      <c r="AD398" s="133"/>
      <c r="AE398" s="132"/>
      <c r="AF398" s="132"/>
      <c r="AG398" s="134"/>
      <c r="AL398" s="135"/>
      <c r="AM398" s="136"/>
      <c r="AN398" s="137"/>
      <c r="AO398" s="138"/>
      <c r="AV398" s="132"/>
      <c r="AW398" s="142"/>
      <c r="AX398" s="143"/>
      <c r="AY398" s="143"/>
      <c r="AZ398" s="143"/>
      <c r="BA398" s="143"/>
      <c r="BB398" s="143"/>
      <c r="BC398" s="144"/>
    </row>
    <row r="399" spans="28:55" ht="15">
      <c r="AB399" s="131"/>
      <c r="AC399" s="146"/>
      <c r="AD399" s="133"/>
      <c r="AE399" s="132"/>
      <c r="AF399" s="132"/>
      <c r="AG399" s="134"/>
      <c r="AL399" s="135"/>
      <c r="AM399" s="136"/>
      <c r="AN399" s="137"/>
      <c r="AO399" s="138"/>
      <c r="AV399" s="132"/>
      <c r="AW399" s="142"/>
      <c r="AX399" s="143"/>
      <c r="AY399" s="143"/>
      <c r="AZ399" s="143"/>
      <c r="BA399" s="143"/>
      <c r="BB399" s="143"/>
      <c r="BC399" s="144"/>
    </row>
    <row r="400" spans="28:55" ht="15">
      <c r="AB400" s="131"/>
      <c r="AC400" s="146"/>
      <c r="AD400" s="133"/>
      <c r="AE400" s="132"/>
      <c r="AF400" s="132"/>
      <c r="AG400" s="134"/>
      <c r="AL400" s="135"/>
      <c r="AM400" s="136"/>
      <c r="AN400" s="137"/>
      <c r="AO400" s="138"/>
      <c r="AV400" s="132"/>
      <c r="AW400" s="142"/>
      <c r="AX400" s="143"/>
      <c r="AY400" s="143"/>
      <c r="AZ400" s="143"/>
      <c r="BA400" s="143"/>
      <c r="BB400" s="143"/>
      <c r="BC400" s="144"/>
    </row>
    <row r="401" spans="28:55" ht="15">
      <c r="AB401" s="131"/>
      <c r="AC401" s="146"/>
      <c r="AD401" s="133"/>
      <c r="AE401" s="132"/>
      <c r="AF401" s="132"/>
      <c r="AG401" s="134"/>
      <c r="AL401" s="135"/>
      <c r="AM401" s="136"/>
      <c r="AN401" s="137"/>
      <c r="AO401" s="138"/>
      <c r="AV401" s="132"/>
      <c r="AW401" s="142"/>
      <c r="AX401" s="143"/>
      <c r="AY401" s="143"/>
      <c r="AZ401" s="143"/>
      <c r="BA401" s="143"/>
      <c r="BB401" s="143"/>
      <c r="BC401" s="144"/>
    </row>
    <row r="402" spans="28:55" ht="15">
      <c r="AB402" s="131"/>
      <c r="AC402" s="146"/>
      <c r="AD402" s="133"/>
      <c r="AE402" s="132"/>
      <c r="AF402" s="132"/>
      <c r="AG402" s="134"/>
      <c r="AL402" s="135"/>
      <c r="AM402" s="136"/>
      <c r="AN402" s="137"/>
      <c r="AO402" s="138"/>
      <c r="AV402" s="132"/>
      <c r="AW402" s="142"/>
      <c r="AX402" s="143"/>
      <c r="AY402" s="143"/>
      <c r="AZ402" s="143"/>
      <c r="BA402" s="143"/>
      <c r="BB402" s="143"/>
      <c r="BC402" s="144"/>
    </row>
    <row r="403" spans="28:55" ht="15">
      <c r="AB403" s="131"/>
      <c r="AC403" s="146"/>
      <c r="AD403" s="133"/>
      <c r="AE403" s="132"/>
      <c r="AF403" s="132"/>
      <c r="AG403" s="134"/>
      <c r="AL403" s="135"/>
      <c r="AM403" s="136"/>
      <c r="AN403" s="137"/>
      <c r="AO403" s="138"/>
      <c r="AV403" s="132"/>
      <c r="AW403" s="142"/>
      <c r="AX403" s="143"/>
      <c r="AY403" s="143"/>
      <c r="AZ403" s="143"/>
      <c r="BA403" s="143"/>
      <c r="BB403" s="143"/>
      <c r="BC403" s="144"/>
    </row>
    <row r="404" spans="28:55" ht="15">
      <c r="AB404" s="131"/>
      <c r="AC404" s="146"/>
      <c r="AD404" s="133"/>
      <c r="AE404" s="132"/>
      <c r="AF404" s="132"/>
      <c r="AG404" s="134"/>
      <c r="AL404" s="135"/>
      <c r="AM404" s="136"/>
      <c r="AN404" s="137"/>
      <c r="AO404" s="138"/>
      <c r="AV404" s="132"/>
      <c r="AW404" s="142"/>
      <c r="AX404" s="143"/>
      <c r="AY404" s="143"/>
      <c r="AZ404" s="143"/>
      <c r="BA404" s="143"/>
      <c r="BB404" s="143"/>
      <c r="BC404" s="144"/>
    </row>
    <row r="405" spans="28:55" ht="15">
      <c r="AB405" s="131"/>
      <c r="AC405" s="146"/>
      <c r="AD405" s="133"/>
      <c r="AE405" s="132"/>
      <c r="AF405" s="132"/>
      <c r="AG405" s="134"/>
      <c r="AL405" s="135"/>
      <c r="AM405" s="136"/>
      <c r="AN405" s="137"/>
      <c r="AO405" s="138"/>
      <c r="AV405" s="132"/>
      <c r="AW405" s="142"/>
      <c r="AX405" s="143"/>
      <c r="AY405" s="143"/>
      <c r="AZ405" s="143"/>
      <c r="BA405" s="143"/>
      <c r="BB405" s="143"/>
      <c r="BC405" s="144"/>
    </row>
    <row r="406" spans="28:55" ht="15">
      <c r="AB406" s="131"/>
      <c r="AC406" s="146"/>
      <c r="AD406" s="133"/>
      <c r="AE406" s="132"/>
      <c r="AF406" s="132"/>
      <c r="AG406" s="134"/>
      <c r="AL406" s="135"/>
      <c r="AM406" s="136"/>
      <c r="AN406" s="137"/>
      <c r="AO406" s="138"/>
      <c r="AV406" s="132"/>
      <c r="AW406" s="142"/>
      <c r="AX406" s="143"/>
      <c r="AY406" s="143"/>
      <c r="AZ406" s="143"/>
      <c r="BA406" s="143"/>
      <c r="BB406" s="143"/>
      <c r="BC406" s="144"/>
    </row>
    <row r="407" spans="28:55" ht="15">
      <c r="AB407" s="131"/>
      <c r="AC407" s="146"/>
      <c r="AD407" s="133"/>
      <c r="AE407" s="132"/>
      <c r="AF407" s="132"/>
      <c r="AG407" s="134"/>
      <c r="AL407" s="135"/>
      <c r="AM407" s="136"/>
      <c r="AN407" s="137"/>
      <c r="AO407" s="138"/>
      <c r="AV407" s="132"/>
      <c r="AW407" s="142"/>
      <c r="AX407" s="143"/>
      <c r="AY407" s="143"/>
      <c r="AZ407" s="143"/>
      <c r="BA407" s="143"/>
      <c r="BB407" s="143"/>
      <c r="BC407" s="144"/>
    </row>
    <row r="408" spans="28:55" ht="15">
      <c r="AB408" s="131"/>
      <c r="AC408" s="146"/>
      <c r="AD408" s="133"/>
      <c r="AE408" s="132"/>
      <c r="AF408" s="132"/>
      <c r="AG408" s="134"/>
      <c r="AL408" s="135"/>
      <c r="AM408" s="136"/>
      <c r="AN408" s="137"/>
      <c r="AO408" s="138"/>
      <c r="AV408" s="132"/>
      <c r="AW408" s="142"/>
      <c r="AX408" s="143"/>
      <c r="AY408" s="143"/>
      <c r="AZ408" s="143"/>
      <c r="BA408" s="143"/>
      <c r="BB408" s="143"/>
      <c r="BC408" s="144"/>
    </row>
    <row r="409" spans="28:55" ht="15">
      <c r="AB409" s="131"/>
      <c r="AC409" s="146"/>
      <c r="AD409" s="133"/>
      <c r="AE409" s="132"/>
      <c r="AF409" s="132"/>
      <c r="AG409" s="134"/>
      <c r="AL409" s="135"/>
      <c r="AM409" s="136"/>
      <c r="AN409" s="137"/>
      <c r="AO409" s="138"/>
      <c r="AV409" s="132"/>
      <c r="AW409" s="142"/>
      <c r="AX409" s="143"/>
      <c r="AY409" s="143"/>
      <c r="AZ409" s="143"/>
      <c r="BA409" s="143"/>
      <c r="BB409" s="143"/>
      <c r="BC409" s="144"/>
    </row>
    <row r="410" spans="28:55" ht="15">
      <c r="AB410" s="131"/>
      <c r="AC410" s="146"/>
      <c r="AD410" s="133"/>
      <c r="AE410" s="132"/>
      <c r="AF410" s="132"/>
      <c r="AG410" s="134"/>
      <c r="AL410" s="135"/>
      <c r="AM410" s="136"/>
      <c r="AN410" s="137"/>
      <c r="AO410" s="138"/>
      <c r="AV410" s="132"/>
      <c r="AW410" s="142"/>
      <c r="AX410" s="143"/>
      <c r="AY410" s="143"/>
      <c r="AZ410" s="143"/>
      <c r="BA410" s="143"/>
      <c r="BB410" s="143"/>
      <c r="BC410" s="144"/>
    </row>
    <row r="411" spans="28:55" ht="15">
      <c r="AB411" s="131"/>
      <c r="AC411" s="146"/>
      <c r="AD411" s="133"/>
      <c r="AE411" s="132"/>
      <c r="AF411" s="132"/>
      <c r="AG411" s="134"/>
      <c r="AL411" s="135"/>
      <c r="AM411" s="136"/>
      <c r="AN411" s="137"/>
      <c r="AO411" s="138"/>
      <c r="AV411" s="132"/>
      <c r="AW411" s="142"/>
      <c r="AX411" s="143"/>
      <c r="AY411" s="143"/>
      <c r="AZ411" s="143"/>
      <c r="BA411" s="143"/>
      <c r="BB411" s="143"/>
      <c r="BC411" s="144"/>
    </row>
    <row r="412" spans="28:55" ht="15">
      <c r="AB412" s="131"/>
      <c r="AC412" s="146"/>
      <c r="AD412" s="133"/>
      <c r="AE412" s="132"/>
      <c r="AF412" s="132"/>
      <c r="AG412" s="134"/>
      <c r="AL412" s="135"/>
      <c r="AM412" s="136"/>
      <c r="AN412" s="137"/>
      <c r="AO412" s="138"/>
      <c r="AV412" s="132"/>
      <c r="AW412" s="142"/>
      <c r="AX412" s="143"/>
      <c r="AY412" s="143"/>
      <c r="AZ412" s="143"/>
      <c r="BA412" s="143"/>
      <c r="BB412" s="143"/>
      <c r="BC412" s="144"/>
    </row>
    <row r="413" spans="28:55" ht="15">
      <c r="AB413" s="131"/>
      <c r="AC413" s="146"/>
      <c r="AD413" s="133"/>
      <c r="AE413" s="132"/>
      <c r="AF413" s="132"/>
      <c r="AG413" s="134"/>
      <c r="AL413" s="135"/>
      <c r="AM413" s="136"/>
      <c r="AN413" s="137"/>
      <c r="AO413" s="138"/>
      <c r="AV413" s="132"/>
      <c r="AW413" s="142"/>
      <c r="AX413" s="143"/>
      <c r="AY413" s="143"/>
      <c r="AZ413" s="143"/>
      <c r="BA413" s="143"/>
      <c r="BB413" s="143"/>
      <c r="BC413" s="144"/>
    </row>
    <row r="414" spans="28:55" ht="15">
      <c r="AB414" s="131"/>
      <c r="AC414" s="146"/>
      <c r="AD414" s="133"/>
      <c r="AE414" s="132"/>
      <c r="AF414" s="132"/>
      <c r="AG414" s="134"/>
      <c r="AL414" s="135"/>
      <c r="AM414" s="136"/>
      <c r="AN414" s="137"/>
      <c r="AO414" s="138"/>
      <c r="AV414" s="132"/>
      <c r="AW414" s="142"/>
      <c r="AX414" s="143"/>
      <c r="AY414" s="143"/>
      <c r="AZ414" s="143"/>
      <c r="BA414" s="143"/>
      <c r="BB414" s="143"/>
      <c r="BC414" s="144"/>
    </row>
    <row r="415" spans="28:55" ht="15">
      <c r="AB415" s="131"/>
      <c r="AC415" s="146"/>
      <c r="AD415" s="133"/>
      <c r="AE415" s="132"/>
      <c r="AF415" s="132"/>
      <c r="AG415" s="134"/>
      <c r="AL415" s="135"/>
      <c r="AM415" s="136"/>
      <c r="AN415" s="137"/>
      <c r="AO415" s="138"/>
      <c r="AV415" s="132"/>
      <c r="AW415" s="142"/>
      <c r="AX415" s="143"/>
      <c r="AY415" s="143"/>
      <c r="AZ415" s="143"/>
      <c r="BA415" s="143"/>
      <c r="BB415" s="143"/>
      <c r="BC415" s="144"/>
    </row>
    <row r="416" spans="28:55" ht="15">
      <c r="AB416" s="131"/>
      <c r="AC416" s="146"/>
      <c r="AD416" s="133"/>
      <c r="AE416" s="132"/>
      <c r="AF416" s="132"/>
      <c r="AG416" s="134"/>
      <c r="AL416" s="135"/>
      <c r="AM416" s="136"/>
      <c r="AN416" s="137"/>
      <c r="AO416" s="138"/>
      <c r="AV416" s="132"/>
      <c r="AW416" s="142"/>
      <c r="AX416" s="143"/>
      <c r="AY416" s="143"/>
      <c r="AZ416" s="143"/>
      <c r="BA416" s="143"/>
      <c r="BB416" s="143"/>
      <c r="BC416" s="144"/>
    </row>
    <row r="417" spans="28:55" ht="15">
      <c r="AB417" s="131"/>
      <c r="AC417" s="146"/>
      <c r="AD417" s="133"/>
      <c r="AE417" s="132"/>
      <c r="AF417" s="132"/>
      <c r="AG417" s="134"/>
      <c r="AL417" s="135"/>
      <c r="AM417" s="136"/>
      <c r="AN417" s="137"/>
      <c r="AO417" s="138"/>
      <c r="AV417" s="132"/>
      <c r="AW417" s="142"/>
      <c r="AX417" s="143"/>
      <c r="AY417" s="143"/>
      <c r="AZ417" s="143"/>
      <c r="BA417" s="143"/>
      <c r="BB417" s="143"/>
      <c r="BC417" s="144"/>
    </row>
    <row r="418" spans="28:55" ht="15">
      <c r="AB418" s="131"/>
      <c r="AC418" s="146"/>
      <c r="AD418" s="133"/>
      <c r="AE418" s="132"/>
      <c r="AF418" s="132"/>
      <c r="AG418" s="134"/>
      <c r="AL418" s="135"/>
      <c r="AM418" s="136"/>
      <c r="AN418" s="137"/>
      <c r="AO418" s="138"/>
      <c r="AV418" s="132"/>
      <c r="AW418" s="142"/>
      <c r="AX418" s="143"/>
      <c r="AY418" s="143"/>
      <c r="AZ418" s="143"/>
      <c r="BA418" s="143"/>
      <c r="BB418" s="143"/>
      <c r="BC418" s="144"/>
    </row>
    <row r="419" spans="28:55" ht="15">
      <c r="AB419" s="131"/>
      <c r="AC419" s="146"/>
      <c r="AD419" s="133"/>
      <c r="AE419" s="132"/>
      <c r="AF419" s="132"/>
      <c r="AG419" s="134"/>
      <c r="AL419" s="135"/>
      <c r="AM419" s="136"/>
      <c r="AN419" s="137"/>
      <c r="AO419" s="138"/>
      <c r="AV419" s="132"/>
      <c r="AW419" s="142"/>
      <c r="AX419" s="143"/>
      <c r="AY419" s="143"/>
      <c r="AZ419" s="143"/>
      <c r="BA419" s="143"/>
      <c r="BB419" s="143"/>
      <c r="BC419" s="144"/>
    </row>
    <row r="420" spans="28:55" ht="15">
      <c r="AB420" s="131"/>
      <c r="AC420" s="146"/>
      <c r="AD420" s="133"/>
      <c r="AE420" s="132"/>
      <c r="AF420" s="132"/>
      <c r="AG420" s="134"/>
      <c r="AL420" s="135"/>
      <c r="AM420" s="136"/>
      <c r="AN420" s="137"/>
      <c r="AO420" s="138"/>
      <c r="AV420" s="132"/>
      <c r="AW420" s="142"/>
      <c r="AX420" s="143"/>
      <c r="AY420" s="143"/>
      <c r="AZ420" s="143"/>
      <c r="BA420" s="143"/>
      <c r="BB420" s="143"/>
      <c r="BC420" s="144"/>
    </row>
    <row r="421" spans="28:55" ht="15">
      <c r="AB421" s="131"/>
      <c r="AC421" s="146"/>
      <c r="AD421" s="133"/>
      <c r="AE421" s="132"/>
      <c r="AF421" s="132"/>
      <c r="AG421" s="134"/>
      <c r="AL421" s="135"/>
      <c r="AM421" s="136"/>
      <c r="AN421" s="137"/>
      <c r="AO421" s="138"/>
      <c r="AV421" s="132"/>
      <c r="AW421" s="142"/>
      <c r="AX421" s="143"/>
      <c r="AY421" s="143"/>
      <c r="AZ421" s="143"/>
      <c r="BA421" s="143"/>
      <c r="BB421" s="143"/>
      <c r="BC421" s="144"/>
    </row>
    <row r="422" spans="28:55" ht="15">
      <c r="AB422" s="131"/>
      <c r="AC422" s="146"/>
      <c r="AD422" s="133"/>
      <c r="AE422" s="132"/>
      <c r="AF422" s="132"/>
      <c r="AG422" s="134"/>
      <c r="AL422" s="135"/>
      <c r="AM422" s="136"/>
      <c r="AN422" s="137"/>
      <c r="AO422" s="138"/>
      <c r="AV422" s="132"/>
      <c r="AW422" s="142"/>
      <c r="AX422" s="143"/>
      <c r="AY422" s="143"/>
      <c r="AZ422" s="143"/>
      <c r="BA422" s="143"/>
      <c r="BB422" s="143"/>
      <c r="BC422" s="144"/>
    </row>
    <row r="423" spans="28:55" ht="15">
      <c r="AB423" s="131"/>
      <c r="AC423" s="146"/>
      <c r="AD423" s="133"/>
      <c r="AE423" s="132"/>
      <c r="AF423" s="132"/>
      <c r="AG423" s="134"/>
      <c r="AL423" s="135"/>
      <c r="AM423" s="136"/>
      <c r="AN423" s="137"/>
      <c r="AO423" s="138"/>
      <c r="AV423" s="132"/>
      <c r="AW423" s="142"/>
      <c r="AX423" s="143"/>
      <c r="AY423" s="143"/>
      <c r="AZ423" s="143"/>
      <c r="BA423" s="143"/>
      <c r="BB423" s="143"/>
      <c r="BC423" s="144"/>
    </row>
    <row r="424" spans="28:55" ht="15">
      <c r="AB424" s="131"/>
      <c r="AC424" s="146"/>
      <c r="AD424" s="133"/>
      <c r="AE424" s="132"/>
      <c r="AF424" s="132"/>
      <c r="AG424" s="134"/>
      <c r="AL424" s="135"/>
      <c r="AM424" s="136"/>
      <c r="AN424" s="137"/>
      <c r="AO424" s="138"/>
      <c r="AV424" s="132"/>
      <c r="AW424" s="142"/>
      <c r="AX424" s="143"/>
      <c r="AY424" s="143"/>
      <c r="AZ424" s="143"/>
      <c r="BA424" s="143"/>
      <c r="BB424" s="143"/>
      <c r="BC424" s="144"/>
    </row>
    <row r="425" spans="28:55" ht="15">
      <c r="AB425" s="131"/>
      <c r="AC425" s="146"/>
      <c r="AD425" s="133"/>
      <c r="AE425" s="132"/>
      <c r="AF425" s="132"/>
      <c r="AG425" s="134"/>
      <c r="AL425" s="135"/>
      <c r="AM425" s="136"/>
      <c r="AN425" s="137"/>
      <c r="AO425" s="138"/>
      <c r="AV425" s="132"/>
      <c r="AW425" s="142"/>
      <c r="AX425" s="143"/>
      <c r="AY425" s="143"/>
      <c r="AZ425" s="143"/>
      <c r="BA425" s="143"/>
      <c r="BB425" s="143"/>
      <c r="BC425" s="144"/>
    </row>
    <row r="426" spans="28:55" ht="15">
      <c r="AB426" s="131"/>
      <c r="AC426" s="146"/>
      <c r="AD426" s="133"/>
      <c r="AE426" s="132"/>
      <c r="AF426" s="132"/>
      <c r="AG426" s="134"/>
      <c r="AL426" s="135"/>
      <c r="AM426" s="136"/>
      <c r="AN426" s="137"/>
      <c r="AO426" s="138"/>
      <c r="AV426" s="132"/>
      <c r="AW426" s="142"/>
      <c r="AX426" s="143"/>
      <c r="AY426" s="143"/>
      <c r="AZ426" s="143"/>
      <c r="BA426" s="143"/>
      <c r="BB426" s="143"/>
      <c r="BC426" s="144"/>
    </row>
    <row r="427" spans="28:55" ht="15">
      <c r="AB427" s="131"/>
      <c r="AC427" s="146"/>
      <c r="AD427" s="133"/>
      <c r="AE427" s="132"/>
      <c r="AF427" s="132"/>
      <c r="AG427" s="134"/>
      <c r="AL427" s="135"/>
      <c r="AM427" s="136"/>
      <c r="AN427" s="137"/>
      <c r="AO427" s="138"/>
      <c r="AV427" s="132"/>
      <c r="AW427" s="142"/>
      <c r="AX427" s="143"/>
      <c r="AY427" s="143"/>
      <c r="AZ427" s="143"/>
      <c r="BA427" s="143"/>
      <c r="BB427" s="143"/>
      <c r="BC427" s="144"/>
    </row>
    <row r="428" spans="28:55" ht="15">
      <c r="AB428" s="131"/>
      <c r="AC428" s="146"/>
      <c r="AD428" s="133"/>
      <c r="AE428" s="132"/>
      <c r="AF428" s="132"/>
      <c r="AG428" s="134"/>
      <c r="AL428" s="135"/>
      <c r="AM428" s="136"/>
      <c r="AN428" s="137"/>
      <c r="AO428" s="138"/>
      <c r="AV428" s="132"/>
      <c r="AW428" s="142"/>
      <c r="AX428" s="143"/>
      <c r="AY428" s="143"/>
      <c r="AZ428" s="143"/>
      <c r="BA428" s="143"/>
      <c r="BB428" s="143"/>
      <c r="BC428" s="144"/>
    </row>
    <row r="429" spans="28:55" ht="15">
      <c r="AB429" s="131"/>
      <c r="AC429" s="146"/>
      <c r="AD429" s="133"/>
      <c r="AE429" s="132"/>
      <c r="AF429" s="132"/>
      <c r="AG429" s="134"/>
      <c r="AL429" s="135"/>
      <c r="AM429" s="136"/>
      <c r="AN429" s="137"/>
      <c r="AO429" s="138"/>
      <c r="AV429" s="132"/>
      <c r="AW429" s="142"/>
      <c r="AX429" s="143"/>
      <c r="AY429" s="143"/>
      <c r="AZ429" s="143"/>
      <c r="BA429" s="143"/>
      <c r="BB429" s="143"/>
      <c r="BC429" s="144"/>
    </row>
    <row r="430" spans="28:55" ht="15">
      <c r="AB430" s="131"/>
      <c r="AC430" s="146"/>
      <c r="AD430" s="133"/>
      <c r="AE430" s="132"/>
      <c r="AF430" s="132"/>
      <c r="AG430" s="134"/>
      <c r="AL430" s="135"/>
      <c r="AM430" s="136"/>
      <c r="AN430" s="137"/>
      <c r="AO430" s="138"/>
      <c r="AV430" s="132"/>
      <c r="AW430" s="142"/>
      <c r="AX430" s="143"/>
      <c r="AY430" s="143"/>
      <c r="AZ430" s="143"/>
      <c r="BA430" s="143"/>
      <c r="BB430" s="143"/>
      <c r="BC430" s="144"/>
    </row>
    <row r="431" spans="28:55" ht="15">
      <c r="AB431" s="131"/>
      <c r="AC431" s="146"/>
      <c r="AD431" s="133"/>
      <c r="AE431" s="132"/>
      <c r="AF431" s="132"/>
      <c r="AG431" s="134"/>
      <c r="AL431" s="135"/>
      <c r="AM431" s="136"/>
      <c r="AN431" s="137"/>
      <c r="AO431" s="138"/>
      <c r="AV431" s="132"/>
      <c r="AW431" s="142"/>
      <c r="AX431" s="143"/>
      <c r="AY431" s="143"/>
      <c r="AZ431" s="143"/>
      <c r="BA431" s="143"/>
      <c r="BB431" s="143"/>
      <c r="BC431" s="144"/>
    </row>
    <row r="432" spans="28:55" ht="15">
      <c r="AB432" s="131"/>
      <c r="AC432" s="146"/>
      <c r="AD432" s="133"/>
      <c r="AE432" s="132"/>
      <c r="AF432" s="132"/>
      <c r="AG432" s="134"/>
      <c r="AL432" s="135"/>
      <c r="AM432" s="136"/>
      <c r="AN432" s="137"/>
      <c r="AO432" s="138"/>
      <c r="AV432" s="132"/>
      <c r="AW432" s="142"/>
      <c r="AX432" s="143"/>
      <c r="AY432" s="143"/>
      <c r="AZ432" s="143"/>
      <c r="BA432" s="143"/>
      <c r="BB432" s="143"/>
      <c r="BC432" s="144"/>
    </row>
    <row r="433" spans="28:55" ht="15">
      <c r="AB433" s="131"/>
      <c r="AC433" s="146"/>
      <c r="AD433" s="133"/>
      <c r="AE433" s="132"/>
      <c r="AF433" s="132"/>
      <c r="AG433" s="134"/>
      <c r="AL433" s="135"/>
      <c r="AM433" s="136"/>
      <c r="AN433" s="137"/>
      <c r="AO433" s="138"/>
      <c r="AV433" s="132"/>
      <c r="AW433" s="142"/>
      <c r="AX433" s="143"/>
      <c r="AY433" s="143"/>
      <c r="AZ433" s="143"/>
      <c r="BA433" s="143"/>
      <c r="BB433" s="143"/>
      <c r="BC433" s="144"/>
    </row>
    <row r="434" spans="28:55" ht="15">
      <c r="AB434" s="131"/>
      <c r="AC434" s="146"/>
      <c r="AD434" s="133"/>
      <c r="AE434" s="132"/>
      <c r="AF434" s="132"/>
      <c r="AG434" s="134"/>
      <c r="AL434" s="135"/>
      <c r="AM434" s="136"/>
      <c r="AN434" s="137"/>
      <c r="AO434" s="138"/>
      <c r="AV434" s="132"/>
      <c r="AW434" s="142"/>
      <c r="AX434" s="143"/>
      <c r="AY434" s="143"/>
      <c r="AZ434" s="143"/>
      <c r="BA434" s="143"/>
      <c r="BB434" s="143"/>
      <c r="BC434" s="144"/>
    </row>
    <row r="435" spans="28:55" ht="15">
      <c r="AB435" s="131"/>
      <c r="AC435" s="146"/>
      <c r="AD435" s="133"/>
      <c r="AE435" s="132"/>
      <c r="AF435" s="132"/>
      <c r="AG435" s="134"/>
      <c r="AL435" s="135"/>
      <c r="AM435" s="136"/>
      <c r="AN435" s="137"/>
      <c r="AO435" s="138"/>
      <c r="AV435" s="132"/>
      <c r="AW435" s="142"/>
      <c r="AX435" s="143"/>
      <c r="AY435" s="143"/>
      <c r="AZ435" s="143"/>
      <c r="BA435" s="143"/>
      <c r="BB435" s="143"/>
      <c r="BC435" s="144"/>
    </row>
    <row r="436" spans="28:55" ht="15">
      <c r="AB436" s="131"/>
      <c r="AC436" s="146"/>
      <c r="AD436" s="133"/>
      <c r="AE436" s="132"/>
      <c r="AF436" s="132"/>
      <c r="AG436" s="134"/>
      <c r="AL436" s="135"/>
      <c r="AM436" s="136"/>
      <c r="AN436" s="137"/>
      <c r="AO436" s="138"/>
      <c r="AV436" s="132"/>
      <c r="AW436" s="142"/>
      <c r="AX436" s="143"/>
      <c r="AY436" s="143"/>
      <c r="AZ436" s="143"/>
      <c r="BA436" s="143"/>
      <c r="BB436" s="143"/>
      <c r="BC436" s="144"/>
    </row>
    <row r="437" spans="28:55" ht="15">
      <c r="AB437" s="131"/>
      <c r="AC437" s="146"/>
      <c r="AD437" s="133"/>
      <c r="AE437" s="132"/>
      <c r="AF437" s="132"/>
      <c r="AG437" s="134"/>
      <c r="AL437" s="135"/>
      <c r="AM437" s="136"/>
      <c r="AN437" s="137"/>
      <c r="AO437" s="138"/>
      <c r="AV437" s="132"/>
      <c r="AW437" s="142"/>
      <c r="AX437" s="143"/>
      <c r="AY437" s="143"/>
      <c r="AZ437" s="143"/>
      <c r="BA437" s="143"/>
      <c r="BB437" s="143"/>
      <c r="BC437" s="144"/>
    </row>
    <row r="438" spans="28:55" ht="15">
      <c r="AB438" s="131"/>
      <c r="AC438" s="146"/>
      <c r="AD438" s="133"/>
      <c r="AE438" s="132"/>
      <c r="AF438" s="132"/>
      <c r="AG438" s="134"/>
      <c r="AL438" s="135"/>
      <c r="AM438" s="136"/>
      <c r="AN438" s="137"/>
      <c r="AO438" s="138"/>
      <c r="AV438" s="132"/>
      <c r="AW438" s="142"/>
      <c r="AX438" s="143"/>
      <c r="AY438" s="143"/>
      <c r="AZ438" s="143"/>
      <c r="BA438" s="143"/>
      <c r="BB438" s="143"/>
      <c r="BC438" s="144"/>
    </row>
    <row r="439" spans="28:55" ht="15">
      <c r="AB439" s="131"/>
      <c r="AC439" s="146"/>
      <c r="AD439" s="133"/>
      <c r="AE439" s="132"/>
      <c r="AF439" s="132"/>
      <c r="AG439" s="134"/>
      <c r="AL439" s="135"/>
      <c r="AM439" s="136"/>
      <c r="AN439" s="137"/>
      <c r="AO439" s="138"/>
      <c r="AV439" s="132"/>
      <c r="AW439" s="142"/>
      <c r="AX439" s="143"/>
      <c r="AY439" s="143"/>
      <c r="AZ439" s="143"/>
      <c r="BA439" s="143"/>
      <c r="BB439" s="143"/>
      <c r="BC439" s="144"/>
    </row>
    <row r="440" spans="28:55" ht="15">
      <c r="AB440" s="131"/>
      <c r="AC440" s="146"/>
      <c r="AD440" s="133"/>
      <c r="AE440" s="132"/>
      <c r="AF440" s="132"/>
      <c r="AG440" s="134"/>
      <c r="AL440" s="135"/>
      <c r="AM440" s="136"/>
      <c r="AN440" s="137"/>
      <c r="AO440" s="138"/>
      <c r="AV440" s="132"/>
      <c r="AW440" s="142"/>
      <c r="AX440" s="143"/>
      <c r="AY440" s="143"/>
      <c r="AZ440" s="143"/>
      <c r="BA440" s="143"/>
      <c r="BB440" s="143"/>
      <c r="BC440" s="144"/>
    </row>
    <row r="441" spans="28:55" ht="15">
      <c r="AB441" s="131"/>
      <c r="AC441" s="146"/>
      <c r="AD441" s="133"/>
      <c r="AE441" s="132"/>
      <c r="AF441" s="132"/>
      <c r="AG441" s="134"/>
      <c r="AL441" s="135"/>
      <c r="AM441" s="136"/>
      <c r="AN441" s="137"/>
      <c r="AO441" s="138"/>
      <c r="AV441" s="132"/>
      <c r="AW441" s="142"/>
      <c r="AX441" s="143"/>
      <c r="AY441" s="143"/>
      <c r="AZ441" s="143"/>
      <c r="BA441" s="143"/>
      <c r="BB441" s="143"/>
      <c r="BC441" s="144"/>
    </row>
    <row r="442" spans="28:55" ht="15">
      <c r="AB442" s="131"/>
      <c r="AC442" s="146"/>
      <c r="AD442" s="133"/>
      <c r="AE442" s="132"/>
      <c r="AF442" s="132"/>
      <c r="AG442" s="134"/>
      <c r="AL442" s="135"/>
      <c r="AM442" s="136"/>
      <c r="AN442" s="137"/>
      <c r="AO442" s="138"/>
      <c r="AV442" s="132"/>
      <c r="AW442" s="142"/>
      <c r="AX442" s="143"/>
      <c r="AY442" s="143"/>
      <c r="AZ442" s="143"/>
      <c r="BA442" s="143"/>
      <c r="BB442" s="143"/>
      <c r="BC442" s="144"/>
    </row>
    <row r="443" spans="28:55" ht="15">
      <c r="AB443" s="131"/>
      <c r="AC443" s="146"/>
      <c r="AD443" s="133"/>
      <c r="AE443" s="132"/>
      <c r="AF443" s="132"/>
      <c r="AG443" s="134"/>
      <c r="AL443" s="135"/>
      <c r="AM443" s="136"/>
      <c r="AN443" s="137"/>
      <c r="AO443" s="138"/>
      <c r="AV443" s="132"/>
      <c r="AW443" s="142"/>
      <c r="AX443" s="143"/>
      <c r="AY443" s="143"/>
      <c r="AZ443" s="143"/>
      <c r="BA443" s="143"/>
      <c r="BB443" s="143"/>
      <c r="BC443" s="144"/>
    </row>
    <row r="444" spans="28:55" ht="15">
      <c r="AB444" s="131"/>
      <c r="AC444" s="146"/>
      <c r="AD444" s="133"/>
      <c r="AE444" s="132"/>
      <c r="AF444" s="132"/>
      <c r="AG444" s="134"/>
      <c r="AL444" s="135"/>
      <c r="AM444" s="136"/>
      <c r="AN444" s="137"/>
      <c r="AO444" s="138"/>
      <c r="AV444" s="132"/>
      <c r="AW444" s="142"/>
      <c r="AX444" s="143"/>
      <c r="AY444" s="143"/>
      <c r="AZ444" s="143"/>
      <c r="BA444" s="143"/>
      <c r="BB444" s="143"/>
      <c r="BC444" s="144"/>
    </row>
    <row r="445" spans="28:55" ht="15">
      <c r="AB445" s="131"/>
      <c r="AC445" s="146"/>
      <c r="AD445" s="133"/>
      <c r="AE445" s="132"/>
      <c r="AF445" s="132"/>
      <c r="AG445" s="134"/>
      <c r="AL445" s="135"/>
      <c r="AM445" s="136"/>
      <c r="AN445" s="137"/>
      <c r="AO445" s="138"/>
      <c r="AV445" s="132"/>
      <c r="AW445" s="142"/>
      <c r="AX445" s="143"/>
      <c r="AY445" s="143"/>
      <c r="AZ445" s="143"/>
      <c r="BA445" s="143"/>
      <c r="BB445" s="143"/>
      <c r="BC445" s="144"/>
    </row>
    <row r="446" spans="28:55" ht="15">
      <c r="AB446" s="131"/>
      <c r="AC446" s="146"/>
      <c r="AD446" s="133"/>
      <c r="AE446" s="132"/>
      <c r="AF446" s="132"/>
      <c r="AG446" s="134"/>
      <c r="AL446" s="135"/>
      <c r="AM446" s="136"/>
      <c r="AN446" s="137"/>
      <c r="AO446" s="138"/>
      <c r="AV446" s="132"/>
      <c r="AW446" s="142"/>
      <c r="AX446" s="143"/>
      <c r="AY446" s="143"/>
      <c r="AZ446" s="143"/>
      <c r="BA446" s="143"/>
      <c r="BB446" s="143"/>
      <c r="BC446" s="144"/>
    </row>
    <row r="447" spans="28:55" ht="15">
      <c r="AB447" s="131"/>
      <c r="AC447" s="146"/>
      <c r="AD447" s="133"/>
      <c r="AE447" s="132"/>
      <c r="AF447" s="132"/>
      <c r="AG447" s="134"/>
      <c r="AL447" s="135"/>
      <c r="AM447" s="136"/>
      <c r="AN447" s="137"/>
      <c r="AO447" s="138"/>
      <c r="AV447" s="132"/>
      <c r="AW447" s="142"/>
      <c r="AX447" s="143"/>
      <c r="AY447" s="143"/>
      <c r="AZ447" s="143"/>
      <c r="BA447" s="143"/>
      <c r="BB447" s="143"/>
      <c r="BC447" s="144"/>
    </row>
    <row r="448" spans="28:55" ht="15">
      <c r="AB448" s="131"/>
      <c r="AC448" s="146"/>
      <c r="AD448" s="133"/>
      <c r="AE448" s="132"/>
      <c r="AF448" s="132"/>
      <c r="AG448" s="134"/>
      <c r="AL448" s="135"/>
      <c r="AM448" s="136"/>
      <c r="AN448" s="137"/>
      <c r="AO448" s="138"/>
      <c r="AV448" s="132"/>
      <c r="AW448" s="142"/>
      <c r="AX448" s="143"/>
      <c r="AY448" s="143"/>
      <c r="AZ448" s="143"/>
      <c r="BA448" s="143"/>
      <c r="BB448" s="143"/>
      <c r="BC448" s="144"/>
    </row>
    <row r="449" spans="28:55" ht="15">
      <c r="AB449" s="131"/>
      <c r="AC449" s="146"/>
      <c r="AD449" s="133"/>
      <c r="AE449" s="132"/>
      <c r="AF449" s="132"/>
      <c r="AG449" s="134"/>
      <c r="AL449" s="135"/>
      <c r="AM449" s="136"/>
      <c r="AN449" s="137"/>
      <c r="AO449" s="138"/>
      <c r="AV449" s="132"/>
      <c r="AW449" s="142"/>
      <c r="AX449" s="143"/>
      <c r="AY449" s="143"/>
      <c r="AZ449" s="143"/>
      <c r="BA449" s="143"/>
      <c r="BB449" s="143"/>
      <c r="BC449" s="144"/>
    </row>
    <row r="450" spans="28:55" ht="15">
      <c r="AB450" s="131"/>
      <c r="AC450" s="146"/>
      <c r="AD450" s="133"/>
      <c r="AE450" s="132"/>
      <c r="AF450" s="132"/>
      <c r="AG450" s="134"/>
      <c r="AL450" s="135"/>
      <c r="AM450" s="136"/>
      <c r="AN450" s="137"/>
      <c r="AO450" s="138"/>
      <c r="AV450" s="132"/>
      <c r="AW450" s="142"/>
      <c r="AX450" s="143"/>
      <c r="AY450" s="143"/>
      <c r="AZ450" s="143"/>
      <c r="BA450" s="143"/>
      <c r="BB450" s="143"/>
      <c r="BC450" s="144"/>
    </row>
    <row r="451" spans="28:55" ht="15">
      <c r="AB451" s="131"/>
      <c r="AC451" s="146"/>
      <c r="AD451" s="133"/>
      <c r="AE451" s="132"/>
      <c r="AF451" s="132"/>
      <c r="AG451" s="134"/>
      <c r="AL451" s="135"/>
      <c r="AM451" s="136"/>
      <c r="AN451" s="137"/>
      <c r="AO451" s="138"/>
      <c r="AV451" s="132"/>
      <c r="AW451" s="142"/>
      <c r="AX451" s="143"/>
      <c r="AY451" s="143"/>
      <c r="AZ451" s="143"/>
      <c r="BA451" s="143"/>
      <c r="BB451" s="143"/>
      <c r="BC451" s="144"/>
    </row>
    <row r="452" spans="28:55" ht="15">
      <c r="AD452" s="133"/>
      <c r="AE452" s="132"/>
      <c r="AF452" s="132"/>
      <c r="AG452" s="134"/>
      <c r="AL452" s="135"/>
      <c r="AM452" s="136"/>
      <c r="AN452" s="137"/>
      <c r="AO452" s="138"/>
      <c r="AV452" s="149"/>
      <c r="AW452" s="142"/>
      <c r="AX452" s="143"/>
      <c r="AY452" s="143"/>
      <c r="AZ452" s="143"/>
      <c r="BA452" s="143"/>
      <c r="BB452" s="143"/>
      <c r="BC452" s="144"/>
    </row>
    <row r="453" spans="28:55" ht="15">
      <c r="AD453" s="133"/>
      <c r="AE453" s="132"/>
      <c r="AF453" s="132"/>
      <c r="AG453" s="134"/>
      <c r="AL453" s="135"/>
      <c r="AM453" s="136"/>
      <c r="AN453" s="137"/>
      <c r="AO453" s="138"/>
      <c r="AV453" s="149"/>
      <c r="AW453" s="142"/>
      <c r="AX453" s="143"/>
      <c r="AY453" s="143"/>
      <c r="AZ453" s="143"/>
      <c r="BA453" s="143"/>
      <c r="BB453" s="143"/>
      <c r="BC453" s="144"/>
    </row>
    <row r="454" spans="28:55" ht="15">
      <c r="AD454" s="133"/>
      <c r="AE454" s="132"/>
      <c r="AF454" s="132"/>
      <c r="AG454" s="134"/>
      <c r="AL454" s="135"/>
      <c r="AM454" s="136"/>
      <c r="AN454" s="137"/>
      <c r="AO454" s="138"/>
      <c r="AV454" s="149"/>
      <c r="AW454" s="142"/>
      <c r="AX454" s="143"/>
      <c r="AY454" s="143"/>
      <c r="AZ454" s="143"/>
      <c r="BA454" s="143"/>
      <c r="BB454" s="143"/>
      <c r="BC454" s="144"/>
    </row>
    <row r="455" spans="28:55" ht="15">
      <c r="AD455" s="133"/>
      <c r="AE455" s="132"/>
      <c r="AF455" s="132"/>
      <c r="AG455" s="134"/>
      <c r="AL455" s="135"/>
      <c r="AM455" s="136"/>
      <c r="AN455" s="137"/>
      <c r="AO455" s="138"/>
      <c r="AV455" s="149"/>
      <c r="AW455" s="142"/>
      <c r="AX455" s="143"/>
      <c r="AY455" s="143"/>
      <c r="AZ455" s="143"/>
      <c r="BA455" s="143"/>
      <c r="BB455" s="143"/>
      <c r="BC455" s="144"/>
    </row>
    <row r="456" spans="28:55" ht="15">
      <c r="AD456" s="133"/>
      <c r="AE456" s="132"/>
      <c r="AF456" s="132"/>
      <c r="AG456" s="134"/>
      <c r="AL456" s="135"/>
      <c r="AM456" s="136"/>
      <c r="AN456" s="137"/>
      <c r="AO456" s="138"/>
      <c r="AV456" s="149"/>
      <c r="AW456" s="142"/>
      <c r="AX456" s="143"/>
      <c r="AY456" s="143"/>
      <c r="AZ456" s="143"/>
      <c r="BA456" s="143"/>
      <c r="BB456" s="143"/>
      <c r="BC456" s="144"/>
    </row>
    <row r="457" spans="28:55" ht="15">
      <c r="AD457" s="133"/>
      <c r="AE457" s="132"/>
      <c r="AF457" s="132"/>
      <c r="AG457" s="134"/>
      <c r="AL457" s="135"/>
      <c r="AM457" s="136"/>
      <c r="AN457" s="137"/>
      <c r="AO457" s="138"/>
      <c r="AV457" s="149"/>
      <c r="AW457" s="142"/>
      <c r="AX457" s="143"/>
      <c r="AY457" s="143"/>
      <c r="AZ457" s="143"/>
      <c r="BA457" s="143"/>
      <c r="BB457" s="143"/>
      <c r="BC457" s="144"/>
    </row>
    <row r="458" spans="28:55" ht="15">
      <c r="AD458" s="133"/>
      <c r="AE458" s="132"/>
      <c r="AF458" s="132"/>
      <c r="AG458" s="134"/>
      <c r="AL458" s="135"/>
      <c r="AM458" s="136"/>
      <c r="AN458" s="137"/>
      <c r="AO458" s="138"/>
      <c r="AV458" s="149"/>
      <c r="AW458" s="142"/>
      <c r="AX458" s="143"/>
      <c r="AY458" s="143"/>
      <c r="AZ458" s="143"/>
      <c r="BA458" s="143"/>
      <c r="BB458" s="143"/>
      <c r="BC458" s="144"/>
    </row>
    <row r="459" spans="28:55" ht="15">
      <c r="AD459" s="133"/>
      <c r="AE459" s="132"/>
      <c r="AF459" s="132"/>
      <c r="AG459" s="134"/>
      <c r="AL459" s="135"/>
      <c r="AM459" s="136"/>
      <c r="AN459" s="137"/>
      <c r="AO459" s="138"/>
      <c r="AV459" s="149"/>
      <c r="AW459" s="142"/>
      <c r="AX459" s="143"/>
      <c r="AY459" s="143"/>
      <c r="AZ459" s="143"/>
      <c r="BA459" s="143"/>
      <c r="BB459" s="143"/>
      <c r="BC459" s="144"/>
    </row>
    <row r="460" spans="28:55" ht="15">
      <c r="AD460" s="133"/>
      <c r="AE460" s="132"/>
      <c r="AF460" s="132"/>
      <c r="AG460" s="134"/>
      <c r="AL460" s="135"/>
      <c r="AM460" s="136"/>
      <c r="AN460" s="137"/>
      <c r="AO460" s="138"/>
      <c r="AV460" s="149"/>
      <c r="AW460" s="142"/>
      <c r="AX460" s="143"/>
      <c r="AY460" s="143"/>
      <c r="AZ460" s="143"/>
      <c r="BA460" s="143"/>
      <c r="BB460" s="143"/>
      <c r="BC460" s="144"/>
    </row>
    <row r="461" spans="28:55" ht="15">
      <c r="AD461" s="133"/>
      <c r="AE461" s="132"/>
      <c r="AF461" s="132"/>
      <c r="AG461" s="134"/>
      <c r="AL461" s="135"/>
      <c r="AM461" s="136"/>
      <c r="AN461" s="137"/>
      <c r="AO461" s="138"/>
      <c r="AV461" s="149"/>
      <c r="AW461" s="142"/>
      <c r="AX461" s="143"/>
      <c r="AY461" s="143"/>
      <c r="AZ461" s="143"/>
      <c r="BA461" s="143"/>
      <c r="BB461" s="143"/>
      <c r="BC461" s="144"/>
    </row>
    <row r="462" spans="28:55" ht="15">
      <c r="AD462" s="133"/>
      <c r="AE462" s="132"/>
      <c r="AF462" s="132"/>
      <c r="AG462" s="134"/>
      <c r="AL462" s="135"/>
      <c r="AM462" s="136"/>
      <c r="AN462" s="137"/>
      <c r="AO462" s="138"/>
      <c r="AV462" s="149"/>
      <c r="AW462" s="142"/>
      <c r="AX462" s="143"/>
      <c r="AY462" s="143"/>
      <c r="AZ462" s="143"/>
      <c r="BA462" s="143"/>
      <c r="BB462" s="143"/>
      <c r="BC462" s="144"/>
    </row>
    <row r="463" spans="28:55" ht="15">
      <c r="AD463" s="133"/>
      <c r="AE463" s="132"/>
      <c r="AF463" s="132"/>
      <c r="AG463" s="134"/>
      <c r="AL463" s="135"/>
      <c r="AM463" s="136"/>
      <c r="AN463" s="137"/>
      <c r="AO463" s="138"/>
      <c r="AV463" s="149"/>
      <c r="AW463" s="142"/>
      <c r="AX463" s="143"/>
      <c r="AY463" s="143"/>
      <c r="AZ463" s="143"/>
      <c r="BA463" s="143"/>
      <c r="BB463" s="143"/>
      <c r="BC463" s="144"/>
    </row>
    <row r="464" spans="28:55" ht="15">
      <c r="AD464" s="133"/>
      <c r="AE464" s="132"/>
      <c r="AF464" s="132"/>
      <c r="AG464" s="134"/>
      <c r="AL464" s="135"/>
      <c r="AM464" s="136"/>
      <c r="AN464" s="137"/>
      <c r="AO464" s="138"/>
      <c r="AV464" s="149"/>
      <c r="AW464" s="142"/>
      <c r="AX464" s="143"/>
      <c r="AY464" s="143"/>
      <c r="AZ464" s="143"/>
      <c r="BA464" s="143"/>
      <c r="BB464" s="143"/>
      <c r="BC464" s="144"/>
    </row>
    <row r="465" spans="29:55" ht="15">
      <c r="AD465" s="133"/>
      <c r="AE465" s="132"/>
      <c r="AF465" s="132"/>
      <c r="AG465" s="134"/>
      <c r="AL465" s="135"/>
      <c r="AM465" s="136"/>
      <c r="AN465" s="137"/>
      <c r="AO465" s="138"/>
      <c r="AV465" s="149"/>
      <c r="AW465" s="142"/>
      <c r="AX465" s="143"/>
      <c r="AY465" s="143"/>
      <c r="AZ465" s="143"/>
      <c r="BA465" s="143"/>
      <c r="BB465" s="143"/>
      <c r="BC465" s="144"/>
    </row>
    <row r="466" spans="29:55" ht="15">
      <c r="AD466" s="133"/>
      <c r="AE466" s="132"/>
      <c r="AF466" s="132"/>
      <c r="AG466" s="134"/>
      <c r="AL466" s="135"/>
      <c r="AM466" s="136"/>
      <c r="AN466" s="137"/>
      <c r="AO466" s="138"/>
      <c r="AV466" s="149"/>
      <c r="AW466" s="142"/>
      <c r="AX466" s="143"/>
      <c r="AY466" s="143"/>
      <c r="AZ466" s="143"/>
      <c r="BA466" s="143"/>
      <c r="BB466" s="143"/>
      <c r="BC466" s="144"/>
    </row>
    <row r="467" spans="29:55" ht="15">
      <c r="AD467" s="133"/>
      <c r="AE467" s="132"/>
      <c r="AF467" s="132"/>
      <c r="AG467" s="134"/>
      <c r="AL467" s="135"/>
      <c r="AM467" s="136"/>
      <c r="AN467" s="137"/>
      <c r="AO467" s="138"/>
      <c r="AV467" s="149"/>
      <c r="AW467" s="142"/>
      <c r="AX467" s="143"/>
      <c r="AY467" s="143"/>
      <c r="AZ467" s="143"/>
      <c r="BA467" s="143"/>
      <c r="BB467" s="143"/>
      <c r="BC467" s="144"/>
    </row>
    <row r="468" spans="29:55" ht="15">
      <c r="AD468" s="133"/>
      <c r="AE468" s="132"/>
      <c r="AF468" s="132"/>
      <c r="AG468" s="134"/>
      <c r="AL468" s="135"/>
      <c r="AM468" s="136"/>
      <c r="AN468" s="137"/>
      <c r="AO468" s="138"/>
      <c r="AV468" s="149"/>
      <c r="AW468" s="142"/>
      <c r="AX468" s="143"/>
      <c r="AY468" s="143"/>
      <c r="AZ468" s="143"/>
      <c r="BA468" s="143"/>
      <c r="BB468" s="143"/>
      <c r="BC468" s="144"/>
    </row>
    <row r="469" spans="29:55" ht="15">
      <c r="AD469" s="133"/>
      <c r="AE469" s="132"/>
      <c r="AF469" s="132"/>
      <c r="AG469" s="134"/>
      <c r="AL469" s="135"/>
      <c r="AM469" s="136"/>
      <c r="AN469" s="137"/>
      <c r="AO469" s="138"/>
      <c r="AV469" s="149"/>
      <c r="AW469" s="142"/>
      <c r="AX469" s="143"/>
      <c r="AY469" s="143"/>
      <c r="AZ469" s="143"/>
      <c r="BA469" s="143"/>
      <c r="BB469" s="143"/>
      <c r="BC469" s="144"/>
    </row>
    <row r="470" spans="29:55" ht="15">
      <c r="AD470" s="133"/>
      <c r="AE470" s="132"/>
      <c r="AF470" s="132"/>
      <c r="AG470" s="134"/>
      <c r="AL470" s="135"/>
      <c r="AM470" s="136"/>
      <c r="AN470" s="137"/>
      <c r="AO470" s="138"/>
      <c r="AV470" s="149"/>
      <c r="AW470" s="142"/>
      <c r="AX470" s="143"/>
      <c r="AY470" s="143"/>
      <c r="AZ470" s="143"/>
      <c r="BA470" s="143"/>
      <c r="BB470" s="143"/>
      <c r="BC470" s="144"/>
    </row>
    <row r="471" spans="29:55" ht="15">
      <c r="AD471" s="133"/>
      <c r="AE471" s="132"/>
      <c r="AF471" s="132"/>
      <c r="AG471" s="134"/>
      <c r="AL471" s="135"/>
      <c r="AM471" s="136"/>
      <c r="AN471" s="137"/>
      <c r="AO471" s="138"/>
      <c r="AV471" s="149"/>
      <c r="AW471" s="142"/>
      <c r="AX471" s="143"/>
      <c r="AY471" s="143"/>
      <c r="AZ471" s="143"/>
      <c r="BA471" s="143"/>
      <c r="BB471" s="143"/>
      <c r="BC471" s="144"/>
    </row>
    <row r="472" spans="29:55" ht="15">
      <c r="AD472" s="133"/>
      <c r="AE472" s="132"/>
      <c r="AF472" s="132"/>
      <c r="AG472" s="134"/>
      <c r="AL472" s="135"/>
      <c r="AM472" s="136"/>
      <c r="AN472" s="137"/>
      <c r="AO472" s="138"/>
      <c r="AV472" s="149"/>
      <c r="AW472" s="142"/>
      <c r="AX472" s="143"/>
      <c r="AY472" s="143"/>
      <c r="AZ472" s="143"/>
      <c r="BA472" s="143"/>
      <c r="BB472" s="143"/>
      <c r="BC472" s="144"/>
    </row>
    <row r="473" spans="29:55" ht="15">
      <c r="AD473" s="133"/>
      <c r="AE473" s="132"/>
      <c r="AF473" s="132"/>
      <c r="AG473" s="134"/>
      <c r="AL473" s="135"/>
      <c r="AM473" s="136"/>
      <c r="AN473" s="137"/>
      <c r="AO473" s="138"/>
      <c r="AV473" s="149"/>
      <c r="AW473" s="142"/>
      <c r="AX473" s="143"/>
      <c r="AY473" s="143"/>
      <c r="AZ473" s="143"/>
      <c r="BA473" s="143"/>
      <c r="BB473" s="143"/>
      <c r="BC473" s="144"/>
    </row>
    <row r="474" spans="29:55" ht="15">
      <c r="AD474" s="133"/>
      <c r="AE474" s="132"/>
      <c r="AF474" s="132"/>
      <c r="AG474" s="134"/>
      <c r="AL474" s="135"/>
      <c r="AM474" s="136"/>
      <c r="AN474" s="137"/>
      <c r="AO474" s="138"/>
      <c r="AV474" s="149"/>
      <c r="AW474" s="142"/>
      <c r="AX474" s="143"/>
      <c r="AY474" s="143"/>
      <c r="AZ474" s="143"/>
      <c r="BA474" s="143"/>
      <c r="BB474" s="143"/>
      <c r="BC474" s="144"/>
    </row>
    <row r="475" spans="29:55" ht="15">
      <c r="AD475" s="133"/>
      <c r="AE475" s="132"/>
      <c r="AF475" s="132"/>
      <c r="AG475" s="134"/>
      <c r="AL475" s="135"/>
      <c r="AM475" s="136"/>
      <c r="AN475" s="137"/>
      <c r="AO475" s="138"/>
      <c r="AV475" s="149"/>
      <c r="AW475" s="142"/>
      <c r="AX475" s="143"/>
      <c r="AY475" s="143"/>
      <c r="AZ475" s="143"/>
      <c r="BA475" s="143"/>
      <c r="BB475" s="143"/>
      <c r="BC475" s="144"/>
    </row>
    <row r="476" spans="29:55" ht="15">
      <c r="AD476" s="133"/>
      <c r="AE476" s="132"/>
      <c r="AF476" s="132"/>
      <c r="AG476" s="134"/>
      <c r="AL476" s="135"/>
      <c r="AM476" s="136"/>
      <c r="AN476" s="137"/>
      <c r="AO476" s="138"/>
      <c r="AV476" s="149"/>
      <c r="AW476" s="142"/>
      <c r="AX476" s="143"/>
      <c r="AY476" s="143"/>
      <c r="AZ476" s="143"/>
      <c r="BA476" s="143"/>
      <c r="BB476" s="143"/>
      <c r="BC476" s="144"/>
    </row>
    <row r="477" spans="29:55" ht="15">
      <c r="AC477" s="133"/>
      <c r="AD477" s="133"/>
      <c r="AE477" s="132"/>
      <c r="AF477" s="132"/>
      <c r="AG477" s="134"/>
      <c r="AL477" s="135"/>
      <c r="AM477" s="136"/>
      <c r="AN477" s="137"/>
      <c r="AO477" s="138"/>
      <c r="AV477" s="149"/>
      <c r="AW477" s="142"/>
      <c r="AX477" s="143"/>
      <c r="AY477" s="143"/>
      <c r="AZ477" s="143"/>
      <c r="BA477" s="143"/>
      <c r="BB477" s="143"/>
      <c r="BC477" s="144"/>
    </row>
    <row r="478" spans="29:55" ht="15">
      <c r="AC478" s="133"/>
      <c r="AD478" s="133"/>
      <c r="AE478" s="132"/>
      <c r="AF478" s="132"/>
      <c r="AG478" s="134"/>
      <c r="AL478" s="135"/>
      <c r="AM478" s="136"/>
      <c r="AN478" s="137"/>
      <c r="AO478" s="138"/>
      <c r="AV478" s="149"/>
      <c r="AW478" s="142"/>
      <c r="AX478" s="143"/>
      <c r="AY478" s="143"/>
      <c r="AZ478" s="143"/>
      <c r="BA478" s="143"/>
      <c r="BB478" s="143"/>
      <c r="BC478" s="144"/>
    </row>
    <row r="479" spans="29:55" ht="15">
      <c r="AC479" s="133"/>
      <c r="AD479" s="133"/>
      <c r="AE479" s="132"/>
      <c r="AF479" s="132"/>
      <c r="AG479" s="134"/>
      <c r="AL479" s="135"/>
      <c r="AM479" s="136"/>
      <c r="AN479" s="137"/>
      <c r="AO479" s="138"/>
      <c r="AV479" s="149"/>
      <c r="AW479" s="142"/>
      <c r="AX479" s="143"/>
      <c r="AY479" s="143"/>
      <c r="AZ479" s="143"/>
      <c r="BA479" s="143"/>
      <c r="BB479" s="143"/>
      <c r="BC479" s="144"/>
    </row>
    <row r="480" spans="29:55" ht="15">
      <c r="AD480" s="133"/>
      <c r="AE480" s="132"/>
      <c r="AF480" s="132"/>
      <c r="AG480" s="134"/>
      <c r="AL480" s="135"/>
      <c r="AM480" s="136"/>
      <c r="AN480" s="137"/>
      <c r="AO480" s="138"/>
      <c r="AV480" s="149"/>
      <c r="AW480" s="142"/>
      <c r="AX480" s="143"/>
      <c r="AY480" s="143"/>
      <c r="AZ480" s="143"/>
      <c r="BA480" s="143"/>
      <c r="BB480" s="143"/>
      <c r="BC480" s="144"/>
    </row>
    <row r="481" spans="30:55" ht="15">
      <c r="AD481" s="133"/>
      <c r="AE481" s="132"/>
      <c r="AF481" s="132"/>
      <c r="AG481" s="134"/>
      <c r="AL481" s="135"/>
      <c r="AM481" s="136"/>
      <c r="AN481" s="137"/>
      <c r="AO481" s="138"/>
      <c r="AV481" s="149"/>
      <c r="AW481" s="142"/>
      <c r="AX481" s="143"/>
      <c r="AY481" s="143"/>
      <c r="AZ481" s="143"/>
      <c r="BA481" s="143"/>
      <c r="BB481" s="143"/>
      <c r="BC481" s="144"/>
    </row>
    <row r="482" spans="30:55" ht="15">
      <c r="AD482" s="133"/>
      <c r="AE482" s="132"/>
      <c r="AF482" s="132"/>
      <c r="AG482" s="134"/>
      <c r="AL482" s="135"/>
      <c r="AM482" s="136"/>
      <c r="AN482" s="137"/>
      <c r="AO482" s="138"/>
      <c r="AV482" s="149"/>
      <c r="AW482" s="142"/>
      <c r="AX482" s="143"/>
      <c r="AY482" s="143"/>
      <c r="AZ482" s="143"/>
      <c r="BA482" s="143"/>
      <c r="BB482" s="143"/>
      <c r="BC482" s="144"/>
    </row>
    <row r="483" spans="30:55" ht="15">
      <c r="AD483" s="133"/>
      <c r="AE483" s="132"/>
      <c r="AF483" s="132"/>
      <c r="AG483" s="134"/>
      <c r="AL483" s="135"/>
      <c r="AM483" s="136"/>
      <c r="AN483" s="137"/>
      <c r="AO483" s="138"/>
      <c r="AV483" s="149"/>
      <c r="AW483" s="142"/>
      <c r="AX483" s="143"/>
      <c r="AY483" s="143"/>
      <c r="AZ483" s="143"/>
      <c r="BA483" s="143"/>
      <c r="BB483" s="143"/>
      <c r="BC483" s="144"/>
    </row>
    <row r="484" spans="30:55" ht="15">
      <c r="AD484" s="133"/>
      <c r="AE484" s="132"/>
      <c r="AF484" s="132"/>
      <c r="AG484" s="134"/>
      <c r="AL484" s="135"/>
      <c r="AM484" s="136"/>
      <c r="AN484" s="137"/>
      <c r="AO484" s="138"/>
      <c r="AV484" s="149"/>
      <c r="AW484" s="142"/>
      <c r="AX484" s="143"/>
      <c r="AY484" s="143"/>
      <c r="AZ484" s="143"/>
      <c r="BA484" s="143"/>
      <c r="BB484" s="143"/>
      <c r="BC484" s="144"/>
    </row>
    <row r="485" spans="30:55" ht="15">
      <c r="AD485" s="133"/>
      <c r="AE485" s="132"/>
      <c r="AF485" s="132"/>
      <c r="AG485" s="134"/>
      <c r="AL485" s="135"/>
      <c r="AM485" s="136"/>
      <c r="AN485" s="137"/>
      <c r="AO485" s="138"/>
      <c r="AV485" s="149"/>
      <c r="AW485" s="142"/>
      <c r="AX485" s="143"/>
      <c r="AY485" s="143"/>
      <c r="AZ485" s="143"/>
      <c r="BA485" s="143"/>
      <c r="BB485" s="143"/>
      <c r="BC485" s="144"/>
    </row>
    <row r="486" spans="30:55" ht="15">
      <c r="AD486" s="133"/>
      <c r="AE486" s="132"/>
      <c r="AF486" s="132"/>
      <c r="AG486" s="134"/>
      <c r="AL486" s="135"/>
      <c r="AM486" s="136"/>
      <c r="AN486" s="137"/>
      <c r="AO486" s="138"/>
      <c r="AV486" s="149"/>
      <c r="AW486" s="142"/>
      <c r="AX486" s="143"/>
      <c r="AY486" s="143"/>
      <c r="AZ486" s="143"/>
      <c r="BA486" s="143"/>
      <c r="BB486" s="143"/>
      <c r="BC486" s="144"/>
    </row>
    <row r="487" spans="30:55" ht="15">
      <c r="AD487" s="133"/>
      <c r="AE487" s="132"/>
      <c r="AF487" s="132"/>
      <c r="AG487" s="134"/>
      <c r="AL487" s="135"/>
      <c r="AM487" s="136"/>
      <c r="AN487" s="137"/>
      <c r="AO487" s="138"/>
      <c r="AV487" s="149"/>
      <c r="AW487" s="142"/>
      <c r="AX487" s="143"/>
      <c r="AY487" s="143"/>
      <c r="AZ487" s="143"/>
      <c r="BA487" s="143"/>
      <c r="BB487" s="143"/>
      <c r="BC487" s="144"/>
    </row>
    <row r="488" spans="30:55" ht="15">
      <c r="AD488" s="133"/>
      <c r="AE488" s="132"/>
      <c r="AF488" s="132"/>
      <c r="AG488" s="134"/>
      <c r="AL488" s="135"/>
      <c r="AM488" s="136"/>
      <c r="AN488" s="137"/>
      <c r="AO488" s="138"/>
      <c r="AV488" s="149"/>
      <c r="AW488" s="142"/>
      <c r="AX488" s="143"/>
      <c r="AY488" s="143"/>
      <c r="AZ488" s="143"/>
      <c r="BA488" s="143"/>
      <c r="BB488" s="143"/>
      <c r="BC488" s="144"/>
    </row>
    <row r="489" spans="30:55" ht="15">
      <c r="AD489" s="133"/>
      <c r="AE489" s="132"/>
      <c r="AF489" s="132"/>
      <c r="AG489" s="134"/>
      <c r="AL489" s="135"/>
      <c r="AM489" s="136"/>
      <c r="AN489" s="137"/>
      <c r="AO489" s="138"/>
      <c r="AV489" s="149"/>
      <c r="AW489" s="142"/>
      <c r="AX489" s="143"/>
      <c r="AY489" s="143"/>
      <c r="AZ489" s="143"/>
      <c r="BA489" s="143"/>
      <c r="BB489" s="143"/>
      <c r="BC489" s="144"/>
    </row>
    <row r="490" spans="30:55" ht="15">
      <c r="AD490" s="133"/>
      <c r="AE490" s="132"/>
      <c r="AF490" s="132"/>
      <c r="AG490" s="134"/>
      <c r="AL490" s="135"/>
      <c r="AM490" s="136"/>
      <c r="AN490" s="137"/>
      <c r="AO490" s="138"/>
      <c r="AV490" s="149"/>
      <c r="AW490" s="142"/>
      <c r="AX490" s="143"/>
      <c r="AY490" s="143"/>
      <c r="AZ490" s="143"/>
      <c r="BA490" s="143"/>
      <c r="BB490" s="143"/>
      <c r="BC490" s="144"/>
    </row>
    <row r="491" spans="30:55" ht="15">
      <c r="AD491" s="133"/>
      <c r="AE491" s="132"/>
      <c r="AF491" s="132"/>
      <c r="AG491" s="134"/>
      <c r="AL491" s="135"/>
      <c r="AM491" s="136"/>
      <c r="AN491" s="137"/>
      <c r="AO491" s="138"/>
      <c r="AV491" s="149"/>
      <c r="AW491" s="142"/>
      <c r="AX491" s="143"/>
      <c r="AY491" s="143"/>
      <c r="AZ491" s="143"/>
      <c r="BA491" s="143"/>
      <c r="BB491" s="143"/>
      <c r="BC491" s="144"/>
    </row>
    <row r="492" spans="30:55" ht="15">
      <c r="AD492" s="133"/>
      <c r="AE492" s="132"/>
      <c r="AF492" s="132"/>
      <c r="AG492" s="134"/>
      <c r="AL492" s="135"/>
      <c r="AM492" s="136"/>
      <c r="AN492" s="137"/>
      <c r="AO492" s="138"/>
      <c r="AV492" s="149"/>
      <c r="AW492" s="142"/>
      <c r="AX492" s="143"/>
      <c r="AY492" s="143"/>
      <c r="AZ492" s="143"/>
      <c r="BA492" s="143"/>
      <c r="BB492" s="143"/>
      <c r="BC492" s="144"/>
    </row>
    <row r="493" spans="30:55" ht="15">
      <c r="AD493" s="133"/>
      <c r="AE493" s="132"/>
      <c r="AF493" s="132"/>
      <c r="AG493" s="134"/>
      <c r="AL493" s="135"/>
      <c r="AM493" s="136"/>
      <c r="AN493" s="137"/>
      <c r="AO493" s="138"/>
      <c r="AV493" s="149"/>
      <c r="AW493" s="142"/>
      <c r="AX493" s="143"/>
      <c r="AY493" s="143"/>
      <c r="AZ493" s="143"/>
      <c r="BA493" s="143"/>
      <c r="BB493" s="143"/>
      <c r="BC493" s="144"/>
    </row>
    <row r="494" spans="30:55" ht="15">
      <c r="AD494" s="133"/>
      <c r="AE494" s="132"/>
      <c r="AF494" s="132"/>
      <c r="AG494" s="134"/>
      <c r="AL494" s="135"/>
      <c r="AM494" s="136"/>
      <c r="AN494" s="137"/>
      <c r="AO494" s="138"/>
      <c r="AV494" s="149"/>
      <c r="AW494" s="142"/>
      <c r="AX494" s="143"/>
      <c r="AY494" s="143"/>
      <c r="AZ494" s="143"/>
      <c r="BA494" s="143"/>
      <c r="BB494" s="143"/>
      <c r="BC494" s="144"/>
    </row>
    <row r="495" spans="30:55" ht="15">
      <c r="AD495" s="133"/>
      <c r="AE495" s="132"/>
      <c r="AF495" s="132"/>
      <c r="AG495" s="134"/>
      <c r="AL495" s="135"/>
      <c r="AM495" s="136"/>
      <c r="AN495" s="137"/>
      <c r="AO495" s="138"/>
      <c r="AV495" s="149"/>
      <c r="AW495" s="142"/>
      <c r="AX495" s="143"/>
      <c r="AY495" s="143"/>
      <c r="AZ495" s="143"/>
      <c r="BA495" s="143"/>
      <c r="BB495" s="143"/>
      <c r="BC495" s="144"/>
    </row>
    <row r="496" spans="30:55" ht="15">
      <c r="AD496" s="133"/>
      <c r="AE496" s="132"/>
      <c r="AF496" s="132"/>
      <c r="AG496" s="134"/>
      <c r="AL496" s="135"/>
      <c r="AM496" s="136"/>
      <c r="AN496" s="137"/>
      <c r="AO496" s="138"/>
      <c r="AV496" s="149"/>
      <c r="AW496" s="142"/>
      <c r="AX496" s="143"/>
      <c r="AY496" s="143"/>
      <c r="AZ496" s="143"/>
      <c r="BA496" s="143"/>
      <c r="BB496" s="143"/>
      <c r="BC496" s="144"/>
    </row>
    <row r="497" spans="29:55" ht="15">
      <c r="AD497" s="133"/>
      <c r="AE497" s="132"/>
      <c r="AF497" s="132"/>
      <c r="AG497" s="134"/>
      <c r="AL497" s="135"/>
      <c r="AM497" s="136"/>
      <c r="AN497" s="137"/>
      <c r="AO497" s="138"/>
      <c r="AV497" s="149"/>
      <c r="AW497" s="142"/>
      <c r="AX497" s="143"/>
      <c r="AY497" s="143"/>
      <c r="AZ497" s="143"/>
      <c r="BA497" s="143"/>
      <c r="BB497" s="143"/>
      <c r="BC497" s="144"/>
    </row>
    <row r="498" spans="29:55" ht="15">
      <c r="AD498" s="133"/>
      <c r="AE498" s="132"/>
      <c r="AF498" s="132"/>
      <c r="AG498" s="134"/>
      <c r="AL498" s="135"/>
      <c r="AM498" s="136"/>
      <c r="AN498" s="137"/>
      <c r="AO498" s="138"/>
      <c r="AV498" s="149"/>
      <c r="AW498" s="142"/>
      <c r="AX498" s="143"/>
      <c r="AY498" s="143"/>
      <c r="AZ498" s="143"/>
      <c r="BA498" s="143"/>
      <c r="BB498" s="143"/>
      <c r="BC498" s="144"/>
    </row>
    <row r="499" spans="29:55" ht="15">
      <c r="AD499" s="133"/>
      <c r="AE499" s="132"/>
      <c r="AF499" s="132"/>
      <c r="AG499" s="134"/>
      <c r="AL499" s="135"/>
      <c r="AM499" s="136"/>
      <c r="AN499" s="137"/>
      <c r="AO499" s="138"/>
      <c r="AV499" s="149"/>
      <c r="AW499" s="142"/>
      <c r="AX499" s="143"/>
      <c r="AY499" s="143"/>
      <c r="AZ499" s="143"/>
      <c r="BA499" s="143"/>
      <c r="BB499" s="143"/>
      <c r="BC499" s="144"/>
    </row>
    <row r="500" spans="29:55" ht="15">
      <c r="AD500" s="133"/>
      <c r="AE500" s="132"/>
      <c r="AF500" s="132"/>
      <c r="AG500" s="134"/>
      <c r="AL500" s="135"/>
      <c r="AM500" s="136"/>
      <c r="AN500" s="137"/>
      <c r="AO500" s="138"/>
      <c r="AV500" s="149"/>
      <c r="AW500" s="142"/>
      <c r="AX500" s="143"/>
      <c r="AY500" s="143"/>
      <c r="AZ500" s="143"/>
      <c r="BA500" s="143"/>
      <c r="BB500" s="143"/>
      <c r="BC500" s="144"/>
    </row>
    <row r="501" spans="29:55" ht="15">
      <c r="AD501" s="133"/>
      <c r="AE501" s="132"/>
      <c r="AF501" s="132"/>
      <c r="AG501" s="134"/>
      <c r="AL501" s="135"/>
      <c r="AM501" s="136"/>
      <c r="AN501" s="137"/>
      <c r="AO501" s="138"/>
      <c r="AV501" s="149"/>
      <c r="AW501" s="142"/>
      <c r="AX501" s="143"/>
      <c r="AY501" s="143"/>
      <c r="AZ501" s="143"/>
      <c r="BA501" s="143"/>
      <c r="BB501" s="143"/>
      <c r="BC501" s="144"/>
    </row>
    <row r="502" spans="29:55" ht="15">
      <c r="AD502" s="133"/>
      <c r="AE502" s="132"/>
      <c r="AF502" s="132"/>
      <c r="AG502" s="134"/>
      <c r="AL502" s="135"/>
      <c r="AM502" s="136"/>
      <c r="AN502" s="137"/>
      <c r="AO502" s="138"/>
      <c r="AV502" s="149"/>
      <c r="AW502" s="142"/>
      <c r="AX502" s="143"/>
      <c r="AY502" s="143"/>
      <c r="AZ502" s="143"/>
      <c r="BA502" s="143"/>
      <c r="BB502" s="143"/>
      <c r="BC502" s="144"/>
    </row>
    <row r="503" spans="29:55" ht="15">
      <c r="AD503" s="133"/>
      <c r="AE503" s="132"/>
      <c r="AF503" s="132"/>
      <c r="AG503" s="134"/>
      <c r="AL503" s="135"/>
      <c r="AM503" s="136"/>
      <c r="AN503" s="137"/>
      <c r="AO503" s="138"/>
      <c r="AV503" s="149"/>
      <c r="AW503" s="142"/>
      <c r="AX503" s="143"/>
      <c r="AY503" s="143"/>
      <c r="AZ503" s="143"/>
      <c r="BA503" s="143"/>
      <c r="BB503" s="143"/>
      <c r="BC503" s="144"/>
    </row>
    <row r="504" spans="29:55" ht="15">
      <c r="AD504" s="133"/>
      <c r="AE504" s="132"/>
      <c r="AF504" s="132"/>
      <c r="AG504" s="134"/>
      <c r="AL504" s="135"/>
      <c r="AM504" s="136"/>
      <c r="AN504" s="137"/>
      <c r="AO504" s="138"/>
      <c r="AV504" s="149"/>
      <c r="AW504" s="142"/>
      <c r="AX504" s="143"/>
      <c r="AY504" s="143"/>
      <c r="AZ504" s="143"/>
      <c r="BA504" s="143"/>
      <c r="BB504" s="143"/>
      <c r="BC504" s="144"/>
    </row>
    <row r="505" spans="29:55" ht="15">
      <c r="AD505" s="133"/>
      <c r="AE505" s="132"/>
      <c r="AF505" s="132"/>
      <c r="AG505" s="134"/>
      <c r="AL505" s="135"/>
      <c r="AM505" s="136"/>
      <c r="AN505" s="137"/>
      <c r="AO505" s="138"/>
      <c r="AV505" s="149"/>
      <c r="AW505" s="142"/>
      <c r="AX505" s="143"/>
      <c r="AY505" s="143"/>
      <c r="AZ505" s="143"/>
      <c r="BA505" s="143"/>
      <c r="BB505" s="143"/>
      <c r="BC505" s="144"/>
    </row>
    <row r="506" spans="29:55" ht="15">
      <c r="AD506" s="133"/>
      <c r="AE506" s="132"/>
      <c r="AF506" s="132"/>
      <c r="AG506" s="134"/>
      <c r="AL506" s="135"/>
      <c r="AM506" s="136"/>
      <c r="AN506" s="137"/>
      <c r="AO506" s="138"/>
      <c r="AV506" s="149"/>
      <c r="AW506" s="142"/>
      <c r="AX506" s="143"/>
      <c r="AY506" s="143"/>
      <c r="AZ506" s="143"/>
      <c r="BA506" s="143"/>
      <c r="BB506" s="143"/>
      <c r="BC506" s="144"/>
    </row>
    <row r="507" spans="29:55" ht="15">
      <c r="AD507" s="133"/>
      <c r="AE507" s="132"/>
      <c r="AF507" s="132"/>
      <c r="AG507" s="134"/>
      <c r="AL507" s="135"/>
      <c r="AM507" s="136"/>
      <c r="AN507" s="137"/>
      <c r="AO507" s="138"/>
      <c r="AV507" s="149"/>
      <c r="AW507" s="142"/>
      <c r="AX507" s="143"/>
      <c r="AY507" s="143"/>
      <c r="AZ507" s="143"/>
      <c r="BA507" s="143"/>
      <c r="BB507" s="143"/>
      <c r="BC507" s="144"/>
    </row>
    <row r="508" spans="29:55" ht="15">
      <c r="AD508" s="133"/>
      <c r="AE508" s="132"/>
      <c r="AF508" s="132"/>
      <c r="AG508" s="134"/>
      <c r="AL508" s="135"/>
      <c r="AM508" s="136"/>
      <c r="AN508" s="137"/>
      <c r="AO508" s="138"/>
      <c r="AV508" s="149"/>
      <c r="AW508" s="142"/>
      <c r="AX508" s="143"/>
      <c r="AY508" s="143"/>
      <c r="AZ508" s="143"/>
      <c r="BA508" s="143"/>
      <c r="BB508" s="143"/>
      <c r="BC508" s="144"/>
    </row>
    <row r="509" spans="29:55" ht="15">
      <c r="AC509" s="150"/>
      <c r="AD509" s="133"/>
      <c r="AE509" s="132"/>
      <c r="AF509" s="132"/>
      <c r="AG509" s="134"/>
      <c r="AL509" s="135"/>
      <c r="AM509" s="136"/>
      <c r="AN509" s="137"/>
      <c r="AO509" s="138"/>
      <c r="AV509" s="149"/>
      <c r="AW509" s="142"/>
      <c r="AX509" s="143"/>
      <c r="AY509" s="143"/>
      <c r="AZ509" s="143"/>
      <c r="BA509" s="143"/>
      <c r="BB509" s="143"/>
      <c r="BC509" s="144"/>
    </row>
    <row r="510" spans="29:55" ht="15">
      <c r="AD510" s="133"/>
      <c r="AE510" s="132"/>
      <c r="AF510" s="132"/>
      <c r="AG510" s="134"/>
      <c r="AL510" s="135"/>
      <c r="AM510" s="136"/>
      <c r="AN510" s="137"/>
      <c r="AO510" s="138"/>
      <c r="AV510" s="149"/>
      <c r="AW510" s="142"/>
      <c r="AX510" s="143"/>
      <c r="AY510" s="143"/>
      <c r="AZ510" s="143"/>
      <c r="BA510" s="143"/>
      <c r="BB510" s="143"/>
      <c r="BC510" s="144"/>
    </row>
    <row r="511" spans="29:55" ht="15">
      <c r="AD511" s="133"/>
      <c r="AE511" s="132"/>
      <c r="AF511" s="132"/>
      <c r="AG511" s="134"/>
      <c r="AL511" s="135"/>
      <c r="AM511" s="136"/>
      <c r="AN511" s="137"/>
      <c r="AO511" s="138"/>
      <c r="AV511" s="149"/>
      <c r="AW511" s="142"/>
      <c r="AX511" s="143"/>
      <c r="AY511" s="143"/>
      <c r="AZ511" s="143"/>
      <c r="BA511" s="143"/>
      <c r="BB511" s="143"/>
      <c r="BC511" s="144"/>
    </row>
    <row r="512" spans="29:55" ht="15">
      <c r="AD512" s="133"/>
      <c r="AE512" s="132"/>
      <c r="AF512" s="132"/>
      <c r="AG512" s="134"/>
      <c r="AL512" s="135"/>
      <c r="AM512" s="136"/>
      <c r="AN512" s="137"/>
      <c r="AO512" s="138"/>
      <c r="AV512" s="149"/>
      <c r="AW512" s="142"/>
      <c r="AX512" s="143"/>
      <c r="AY512" s="143"/>
      <c r="AZ512" s="143"/>
      <c r="BA512" s="143"/>
      <c r="BB512" s="143"/>
      <c r="BC512" s="144"/>
    </row>
    <row r="513" spans="30:55" ht="15">
      <c r="AD513" s="133"/>
      <c r="AE513" s="132"/>
      <c r="AF513" s="132"/>
      <c r="AG513" s="134"/>
      <c r="AL513" s="135"/>
      <c r="AM513" s="136"/>
      <c r="AN513" s="137"/>
      <c r="AO513" s="138"/>
      <c r="AV513" s="149"/>
      <c r="AW513" s="142"/>
      <c r="AX513" s="143"/>
      <c r="AY513" s="143"/>
      <c r="AZ513" s="143"/>
      <c r="BA513" s="143"/>
      <c r="BB513" s="143"/>
      <c r="BC513" s="144"/>
    </row>
    <row r="514" spans="30:55" ht="15">
      <c r="AD514" s="133"/>
      <c r="AE514" s="132"/>
      <c r="AF514" s="132"/>
      <c r="AG514" s="134"/>
      <c r="AL514" s="135"/>
      <c r="AM514" s="136"/>
      <c r="AN514" s="137"/>
      <c r="AO514" s="138"/>
      <c r="AV514" s="149"/>
      <c r="AW514" s="142"/>
      <c r="AX514" s="143"/>
      <c r="AY514" s="143"/>
      <c r="AZ514" s="143"/>
      <c r="BA514" s="143"/>
      <c r="BB514" s="143"/>
      <c r="BC514" s="144"/>
    </row>
    <row r="515" spans="30:55" ht="15">
      <c r="AD515" s="133"/>
      <c r="AE515" s="132"/>
      <c r="AF515" s="132"/>
      <c r="AG515" s="134"/>
      <c r="AL515" s="135"/>
      <c r="AM515" s="136"/>
      <c r="AN515" s="137"/>
      <c r="AO515" s="138"/>
      <c r="AV515" s="149"/>
      <c r="AW515" s="142"/>
      <c r="AX515" s="143"/>
      <c r="AY515" s="143"/>
      <c r="AZ515" s="143"/>
      <c r="BA515" s="143"/>
      <c r="BB515" s="143"/>
      <c r="BC515" s="144"/>
    </row>
    <row r="516" spans="30:55" ht="15">
      <c r="AD516" s="133"/>
      <c r="AE516" s="132"/>
      <c r="AF516" s="132"/>
      <c r="AG516" s="134"/>
      <c r="AL516" s="135"/>
      <c r="AM516" s="136"/>
      <c r="AN516" s="137"/>
      <c r="AO516" s="138"/>
      <c r="AV516" s="149"/>
      <c r="AW516" s="142"/>
      <c r="AX516" s="143"/>
      <c r="AY516" s="143"/>
      <c r="AZ516" s="143"/>
      <c r="BA516" s="143"/>
      <c r="BB516" s="143"/>
      <c r="BC516" s="144"/>
    </row>
    <row r="517" spans="30:55" ht="15">
      <c r="AD517" s="133"/>
      <c r="AE517" s="132"/>
      <c r="AF517" s="132"/>
      <c r="AG517" s="134"/>
      <c r="AL517" s="135"/>
      <c r="AM517" s="136"/>
      <c r="AN517" s="137"/>
      <c r="AO517" s="138"/>
      <c r="AV517" s="149"/>
      <c r="AW517" s="142"/>
      <c r="AX517" s="143"/>
      <c r="AY517" s="143"/>
      <c r="AZ517" s="143"/>
      <c r="BA517" s="143"/>
      <c r="BB517" s="143"/>
      <c r="BC517" s="144"/>
    </row>
    <row r="518" spans="30:55" ht="15">
      <c r="AD518" s="133"/>
      <c r="AE518" s="132"/>
      <c r="AF518" s="132"/>
      <c r="AG518" s="134"/>
      <c r="AL518" s="135"/>
      <c r="AM518" s="136"/>
      <c r="AN518" s="137"/>
      <c r="AO518" s="138"/>
      <c r="AV518" s="149"/>
      <c r="AW518" s="142"/>
      <c r="AX518" s="143"/>
      <c r="AY518" s="143"/>
      <c r="AZ518" s="143"/>
      <c r="BA518" s="143"/>
      <c r="BB518" s="143"/>
      <c r="BC518" s="144"/>
    </row>
    <row r="519" spans="30:55" ht="15">
      <c r="AD519" s="133"/>
      <c r="AE519" s="132"/>
      <c r="AF519" s="132"/>
      <c r="AG519" s="134"/>
      <c r="AL519" s="135"/>
      <c r="AM519" s="136"/>
      <c r="AN519" s="137"/>
      <c r="AO519" s="138"/>
      <c r="AV519" s="149"/>
      <c r="AW519" s="142"/>
      <c r="AX519" s="143"/>
      <c r="AY519" s="143"/>
      <c r="AZ519" s="143"/>
      <c r="BA519" s="143"/>
      <c r="BB519" s="143"/>
      <c r="BC519" s="144"/>
    </row>
    <row r="520" spans="30:55" ht="15">
      <c r="AD520" s="133"/>
      <c r="AE520" s="132"/>
      <c r="AF520" s="132"/>
      <c r="AG520" s="134"/>
      <c r="AL520" s="135"/>
      <c r="AM520" s="136"/>
      <c r="AN520" s="137"/>
      <c r="AO520" s="138"/>
      <c r="AV520" s="149"/>
      <c r="AW520" s="142"/>
      <c r="AX520" s="143"/>
      <c r="AY520" s="143"/>
      <c r="AZ520" s="143"/>
      <c r="BA520" s="143"/>
      <c r="BB520" s="143"/>
      <c r="BC520" s="144"/>
    </row>
    <row r="521" spans="30:55" ht="15">
      <c r="AD521" s="133"/>
      <c r="AE521" s="132"/>
      <c r="AF521" s="132"/>
      <c r="AG521" s="134"/>
      <c r="AL521" s="135"/>
      <c r="AM521" s="136"/>
      <c r="AN521" s="137"/>
      <c r="AO521" s="138"/>
      <c r="AV521" s="149"/>
      <c r="AW521" s="142"/>
      <c r="AX521" s="143"/>
      <c r="AY521" s="143"/>
      <c r="AZ521" s="143"/>
      <c r="BA521" s="143"/>
      <c r="BB521" s="143"/>
      <c r="BC521" s="144"/>
    </row>
    <row r="522" spans="30:55" ht="15">
      <c r="AD522" s="133"/>
      <c r="AE522" s="132"/>
      <c r="AF522" s="132"/>
      <c r="AG522" s="134"/>
      <c r="AL522" s="135"/>
      <c r="AM522" s="136"/>
      <c r="AN522" s="137"/>
      <c r="AO522" s="138"/>
      <c r="AV522" s="149"/>
      <c r="AW522" s="142"/>
      <c r="AX522" s="143"/>
      <c r="AY522" s="143"/>
      <c r="AZ522" s="143"/>
      <c r="BA522" s="143"/>
      <c r="BB522" s="143"/>
      <c r="BC522" s="144"/>
    </row>
    <row r="523" spans="30:55" ht="15">
      <c r="AD523" s="133"/>
      <c r="AE523" s="132"/>
      <c r="AF523" s="132"/>
      <c r="AG523" s="134"/>
      <c r="AL523" s="135"/>
      <c r="AM523" s="136"/>
      <c r="AN523" s="137"/>
      <c r="AO523" s="138"/>
      <c r="AV523" s="149"/>
      <c r="AW523" s="142"/>
      <c r="AX523" s="143"/>
      <c r="AY523" s="143"/>
      <c r="AZ523" s="143"/>
      <c r="BA523" s="143"/>
      <c r="BB523" s="143"/>
      <c r="BC523" s="144"/>
    </row>
    <row r="524" spans="30:55" ht="15">
      <c r="AD524" s="133"/>
      <c r="AE524" s="132"/>
      <c r="AF524" s="132"/>
      <c r="AG524" s="134"/>
      <c r="AL524" s="135"/>
      <c r="AM524" s="136"/>
      <c r="AN524" s="137"/>
      <c r="AO524" s="138"/>
      <c r="AV524" s="149"/>
      <c r="AW524" s="142"/>
      <c r="AX524" s="143"/>
      <c r="AY524" s="143"/>
      <c r="AZ524" s="143"/>
      <c r="BA524" s="143"/>
      <c r="BB524" s="143"/>
      <c r="BC524" s="144"/>
    </row>
    <row r="525" spans="30:55" ht="15">
      <c r="AD525" s="133"/>
      <c r="AE525" s="132"/>
      <c r="AF525" s="132"/>
      <c r="AG525" s="134"/>
      <c r="AL525" s="135"/>
      <c r="AM525" s="136"/>
      <c r="AN525" s="137"/>
      <c r="AO525" s="138"/>
      <c r="AV525" s="149"/>
      <c r="AW525" s="142"/>
      <c r="AX525" s="143"/>
      <c r="AY525" s="143"/>
      <c r="AZ525" s="143"/>
      <c r="BA525" s="143"/>
      <c r="BB525" s="143"/>
      <c r="BC525" s="144"/>
    </row>
    <row r="526" spans="30:55" ht="15">
      <c r="AD526" s="133"/>
      <c r="AE526" s="132"/>
      <c r="AF526" s="132"/>
      <c r="AG526" s="134"/>
      <c r="AL526" s="135"/>
      <c r="AM526" s="136"/>
      <c r="AN526" s="137"/>
      <c r="AO526" s="138"/>
      <c r="AV526" s="149"/>
      <c r="AW526" s="142"/>
      <c r="AX526" s="143"/>
      <c r="AY526" s="143"/>
      <c r="AZ526" s="143"/>
      <c r="BA526" s="143"/>
      <c r="BB526" s="143"/>
      <c r="BC526" s="144"/>
    </row>
    <row r="527" spans="30:55" ht="15">
      <c r="AD527" s="133"/>
      <c r="AE527" s="132"/>
      <c r="AF527" s="132"/>
      <c r="AG527" s="134"/>
      <c r="AL527" s="135"/>
      <c r="AM527" s="136"/>
      <c r="AN527" s="137"/>
      <c r="AO527" s="138"/>
      <c r="AV527" s="149"/>
      <c r="AW527" s="142"/>
      <c r="AX527" s="143"/>
      <c r="AY527" s="143"/>
      <c r="AZ527" s="143"/>
      <c r="BA527" s="143"/>
      <c r="BB527" s="143"/>
      <c r="BC527" s="144"/>
    </row>
    <row r="528" spans="30:55" ht="15">
      <c r="AD528" s="133"/>
      <c r="AE528" s="132"/>
      <c r="AF528" s="132"/>
      <c r="AG528" s="134"/>
      <c r="AL528" s="135"/>
      <c r="AM528" s="136"/>
      <c r="AN528" s="137"/>
      <c r="AO528" s="138"/>
      <c r="AV528" s="149"/>
      <c r="AW528" s="142"/>
      <c r="AX528" s="143"/>
      <c r="AY528" s="143"/>
      <c r="AZ528" s="143"/>
      <c r="BA528" s="143"/>
      <c r="BB528" s="143"/>
      <c r="BC528" s="144"/>
    </row>
    <row r="529" spans="30:55" ht="15">
      <c r="AD529" s="133"/>
      <c r="AE529" s="132"/>
      <c r="AF529" s="132"/>
      <c r="AG529" s="134"/>
      <c r="AL529" s="135"/>
      <c r="AM529" s="136"/>
      <c r="AN529" s="137"/>
      <c r="AO529" s="138"/>
      <c r="AV529" s="149"/>
      <c r="AW529" s="142"/>
      <c r="AX529" s="143"/>
      <c r="AY529" s="143"/>
      <c r="AZ529" s="143"/>
      <c r="BA529" s="143"/>
      <c r="BB529" s="143"/>
      <c r="BC529" s="144"/>
    </row>
    <row r="530" spans="30:55" ht="15">
      <c r="AD530" s="133"/>
      <c r="AE530" s="132"/>
      <c r="AF530" s="132"/>
      <c r="AG530" s="134"/>
      <c r="AL530" s="135"/>
      <c r="AM530" s="136"/>
      <c r="AN530" s="137"/>
      <c r="AO530" s="138"/>
      <c r="AV530" s="149"/>
      <c r="AW530" s="142"/>
      <c r="AX530" s="143"/>
      <c r="AY530" s="143"/>
      <c r="AZ530" s="143"/>
      <c r="BA530" s="143"/>
      <c r="BB530" s="143"/>
      <c r="BC530" s="144"/>
    </row>
    <row r="531" spans="30:55" ht="15">
      <c r="AD531" s="133"/>
      <c r="AE531" s="132"/>
      <c r="AF531" s="132"/>
      <c r="AG531" s="134"/>
      <c r="AL531" s="135"/>
      <c r="AM531" s="136"/>
      <c r="AN531" s="137"/>
      <c r="AO531" s="138"/>
      <c r="AV531" s="149"/>
      <c r="AW531" s="142"/>
      <c r="AX531" s="143"/>
      <c r="AY531" s="143"/>
      <c r="AZ531" s="143"/>
      <c r="BA531" s="143"/>
      <c r="BB531" s="143"/>
      <c r="BC531" s="144"/>
    </row>
    <row r="532" spans="30:55" ht="15">
      <c r="AD532" s="133"/>
      <c r="AE532" s="132"/>
      <c r="AF532" s="132"/>
      <c r="AG532" s="134"/>
      <c r="AL532" s="135"/>
      <c r="AM532" s="136"/>
      <c r="AN532" s="137"/>
      <c r="AO532" s="138"/>
      <c r="AV532" s="149"/>
      <c r="AW532" s="142"/>
      <c r="AX532" s="143"/>
      <c r="AY532" s="143"/>
      <c r="AZ532" s="143"/>
      <c r="BA532" s="143"/>
      <c r="BB532" s="143"/>
      <c r="BC532" s="144"/>
    </row>
    <row r="533" spans="30:55" ht="15">
      <c r="AD533" s="133"/>
      <c r="AE533" s="132"/>
      <c r="AF533" s="132"/>
      <c r="AG533" s="134"/>
      <c r="AL533" s="135"/>
      <c r="AM533" s="136"/>
      <c r="AN533" s="137"/>
      <c r="AO533" s="138"/>
      <c r="AV533" s="149"/>
      <c r="AW533" s="142"/>
      <c r="AX533" s="143"/>
      <c r="AY533" s="143"/>
      <c r="AZ533" s="143"/>
      <c r="BA533" s="143"/>
      <c r="BB533" s="143"/>
      <c r="BC533" s="144"/>
    </row>
    <row r="534" spans="30:55" ht="15">
      <c r="AD534" s="133"/>
      <c r="AE534" s="132"/>
      <c r="AF534" s="132"/>
      <c r="AG534" s="134"/>
      <c r="AL534" s="135"/>
      <c r="AM534" s="136"/>
      <c r="AN534" s="137"/>
      <c r="AO534" s="138"/>
      <c r="AV534" s="149"/>
      <c r="AW534" s="142"/>
      <c r="AX534" s="143"/>
      <c r="AY534" s="143"/>
      <c r="AZ534" s="143"/>
      <c r="BA534" s="143"/>
      <c r="BB534" s="143"/>
      <c r="BC534" s="144"/>
    </row>
    <row r="535" spans="30:55" ht="15">
      <c r="AD535" s="133"/>
      <c r="AE535" s="132"/>
      <c r="AF535" s="132"/>
      <c r="AG535" s="134"/>
      <c r="AL535" s="135"/>
      <c r="AM535" s="136"/>
      <c r="AN535" s="137"/>
      <c r="AO535" s="138"/>
      <c r="AV535" s="149"/>
      <c r="AW535" s="142"/>
      <c r="AX535" s="143"/>
      <c r="AY535" s="143"/>
      <c r="AZ535" s="143"/>
      <c r="BA535" s="143"/>
      <c r="BB535" s="143"/>
      <c r="BC535" s="144"/>
    </row>
    <row r="536" spans="30:55" ht="15">
      <c r="AD536" s="133"/>
      <c r="AE536" s="132"/>
      <c r="AF536" s="132"/>
      <c r="AG536" s="134"/>
      <c r="AL536" s="135"/>
      <c r="AM536" s="136"/>
      <c r="AN536" s="137"/>
      <c r="AO536" s="138"/>
      <c r="AV536" s="149"/>
      <c r="AW536" s="142"/>
      <c r="AX536" s="143"/>
      <c r="AY536" s="143"/>
      <c r="AZ536" s="143"/>
      <c r="BA536" s="143"/>
      <c r="BB536" s="143"/>
      <c r="BC536" s="144"/>
    </row>
    <row r="537" spans="30:55" ht="15">
      <c r="AD537" s="133"/>
      <c r="AE537" s="132"/>
      <c r="AF537" s="132"/>
      <c r="AG537" s="134"/>
      <c r="AL537" s="135"/>
      <c r="AM537" s="136"/>
      <c r="AN537" s="137"/>
      <c r="AO537" s="138"/>
      <c r="AV537" s="149"/>
      <c r="AW537" s="142"/>
      <c r="AX537" s="143"/>
      <c r="AY537" s="143"/>
      <c r="AZ537" s="143"/>
      <c r="BA537" s="143"/>
      <c r="BB537" s="143"/>
      <c r="BC537" s="144"/>
    </row>
    <row r="538" spans="30:55" ht="15">
      <c r="AD538" s="133"/>
      <c r="AE538" s="132"/>
      <c r="AF538" s="132"/>
      <c r="AG538" s="134"/>
      <c r="AL538" s="135"/>
      <c r="AM538" s="136"/>
      <c r="AN538" s="137"/>
      <c r="AO538" s="138"/>
      <c r="AV538" s="149"/>
      <c r="AW538" s="142"/>
      <c r="AX538" s="143"/>
      <c r="AY538" s="143"/>
      <c r="AZ538" s="143"/>
      <c r="BA538" s="143"/>
      <c r="BB538" s="143"/>
      <c r="BC538" s="144"/>
    </row>
    <row r="539" spans="30:55" ht="15">
      <c r="AD539" s="133"/>
      <c r="AE539" s="132"/>
      <c r="AF539" s="132"/>
      <c r="AG539" s="134"/>
      <c r="AL539" s="135"/>
      <c r="AM539" s="136"/>
      <c r="AN539" s="137"/>
      <c r="AO539" s="138"/>
      <c r="AV539" s="149"/>
      <c r="AW539" s="142"/>
      <c r="AX539" s="143"/>
      <c r="AY539" s="143"/>
      <c r="AZ539" s="143"/>
      <c r="BA539" s="143"/>
      <c r="BB539" s="143"/>
      <c r="BC539" s="144"/>
    </row>
    <row r="540" spans="30:55" ht="15">
      <c r="AD540" s="133"/>
      <c r="AE540" s="132"/>
      <c r="AF540" s="132"/>
      <c r="AG540" s="134"/>
      <c r="AL540" s="135"/>
      <c r="AM540" s="136"/>
      <c r="AN540" s="137"/>
      <c r="AO540" s="138"/>
      <c r="AV540" s="149"/>
      <c r="AW540" s="142"/>
      <c r="AX540" s="143"/>
      <c r="AY540" s="143"/>
      <c r="AZ540" s="143"/>
      <c r="BA540" s="143"/>
      <c r="BB540" s="143"/>
      <c r="BC540" s="144"/>
    </row>
    <row r="541" spans="30:55" ht="15">
      <c r="AD541" s="133"/>
      <c r="AE541" s="132"/>
      <c r="AF541" s="132"/>
      <c r="AG541" s="134"/>
      <c r="AL541" s="135"/>
      <c r="AM541" s="136"/>
      <c r="AN541" s="137"/>
      <c r="AO541" s="138"/>
      <c r="AV541" s="149"/>
      <c r="AW541" s="142"/>
      <c r="AX541" s="143"/>
      <c r="AY541" s="143"/>
      <c r="AZ541" s="143"/>
      <c r="BA541" s="143"/>
      <c r="BB541" s="143"/>
      <c r="BC541" s="144"/>
    </row>
    <row r="542" spans="30:55" ht="15">
      <c r="AD542" s="133"/>
      <c r="AE542" s="132"/>
      <c r="AF542" s="132"/>
      <c r="AG542" s="134"/>
      <c r="AL542" s="135"/>
      <c r="AM542" s="136"/>
      <c r="AN542" s="137"/>
      <c r="AO542" s="138"/>
      <c r="AV542" s="149"/>
      <c r="AW542" s="142"/>
      <c r="AX542" s="143"/>
      <c r="AY542" s="143"/>
      <c r="AZ542" s="143"/>
      <c r="BA542" s="143"/>
      <c r="BB542" s="143"/>
      <c r="BC542" s="144"/>
    </row>
    <row r="543" spans="30:55" ht="15">
      <c r="AD543" s="133"/>
      <c r="AE543" s="132"/>
      <c r="AF543" s="132"/>
      <c r="AG543" s="134"/>
      <c r="AL543" s="135"/>
      <c r="AM543" s="136"/>
      <c r="AN543" s="137"/>
      <c r="AO543" s="138"/>
      <c r="AV543" s="149"/>
      <c r="AW543" s="142"/>
      <c r="AX543" s="143"/>
      <c r="AY543" s="143"/>
      <c r="AZ543" s="143"/>
      <c r="BA543" s="143"/>
      <c r="BB543" s="143"/>
      <c r="BC543" s="144"/>
    </row>
    <row r="544" spans="30:55" ht="15">
      <c r="AD544" s="133"/>
      <c r="AE544" s="132"/>
      <c r="AF544" s="132"/>
      <c r="AG544" s="134"/>
      <c r="AL544" s="135"/>
      <c r="AM544" s="136"/>
      <c r="AN544" s="137"/>
      <c r="AO544" s="138"/>
      <c r="AV544" s="149"/>
      <c r="AW544" s="142"/>
      <c r="AX544" s="143"/>
      <c r="AY544" s="143"/>
      <c r="AZ544" s="143"/>
      <c r="BA544" s="143"/>
      <c r="BB544" s="143"/>
      <c r="BC544" s="144"/>
    </row>
    <row r="545" spans="30:55" ht="15">
      <c r="AD545" s="133"/>
      <c r="AE545" s="132"/>
      <c r="AF545" s="132"/>
      <c r="AG545" s="134"/>
      <c r="AL545" s="135"/>
      <c r="AM545" s="136"/>
      <c r="AN545" s="137"/>
      <c r="AO545" s="138"/>
      <c r="AV545" s="149"/>
      <c r="AW545" s="142"/>
      <c r="AX545" s="143"/>
      <c r="AY545" s="143"/>
      <c r="AZ545" s="143"/>
      <c r="BA545" s="143"/>
      <c r="BB545" s="143"/>
      <c r="BC545" s="144"/>
    </row>
    <row r="546" spans="30:55" ht="15">
      <c r="AD546" s="133"/>
      <c r="AE546" s="132"/>
      <c r="AF546" s="132"/>
      <c r="AG546" s="134"/>
      <c r="AL546" s="135"/>
      <c r="AM546" s="136"/>
      <c r="AN546" s="137"/>
      <c r="AO546" s="138"/>
      <c r="AV546" s="149"/>
      <c r="AW546" s="142"/>
      <c r="AX546" s="143"/>
      <c r="AY546" s="143"/>
      <c r="AZ546" s="143"/>
      <c r="BA546" s="143"/>
      <c r="BB546" s="143"/>
      <c r="BC546" s="144"/>
    </row>
    <row r="547" spans="30:55" ht="15">
      <c r="AD547" s="133"/>
      <c r="AE547" s="132"/>
      <c r="AF547" s="132"/>
      <c r="AG547" s="134"/>
      <c r="AL547" s="135"/>
      <c r="AM547" s="136"/>
      <c r="AN547" s="137"/>
      <c r="AO547" s="138"/>
      <c r="AV547" s="149"/>
      <c r="AW547" s="142"/>
      <c r="AX547" s="143"/>
      <c r="AY547" s="143"/>
      <c r="AZ547" s="143"/>
      <c r="BA547" s="143"/>
      <c r="BB547" s="143"/>
      <c r="BC547" s="144"/>
    </row>
    <row r="548" spans="30:55" ht="15">
      <c r="AD548" s="133"/>
      <c r="AE548" s="132"/>
      <c r="AF548" s="132"/>
      <c r="AG548" s="134"/>
      <c r="AL548" s="135"/>
      <c r="AM548" s="136"/>
      <c r="AN548" s="137"/>
      <c r="AO548" s="138"/>
      <c r="AV548" s="149"/>
      <c r="AW548" s="142"/>
      <c r="AX548" s="143"/>
      <c r="AY548" s="143"/>
      <c r="AZ548" s="143"/>
      <c r="BA548" s="143"/>
      <c r="BB548" s="143"/>
      <c r="BC548" s="144"/>
    </row>
    <row r="549" spans="30:55" ht="15">
      <c r="AD549" s="133"/>
      <c r="AE549" s="132"/>
      <c r="AF549" s="132"/>
      <c r="AG549" s="134"/>
      <c r="AL549" s="135"/>
      <c r="AM549" s="136"/>
      <c r="AN549" s="137"/>
      <c r="AO549" s="138"/>
      <c r="AV549" s="149"/>
      <c r="AW549" s="142"/>
      <c r="AX549" s="143"/>
      <c r="AY549" s="143"/>
      <c r="AZ549" s="143"/>
      <c r="BA549" s="143"/>
      <c r="BB549" s="143"/>
      <c r="BC549" s="144"/>
    </row>
    <row r="550" spans="30:55" ht="15">
      <c r="AD550" s="133"/>
      <c r="AE550" s="132"/>
      <c r="AF550" s="132"/>
      <c r="AG550" s="134"/>
      <c r="AL550" s="135"/>
      <c r="AM550" s="136"/>
      <c r="AN550" s="137"/>
      <c r="AO550" s="138"/>
      <c r="AV550" s="149"/>
      <c r="AW550" s="142"/>
      <c r="AX550" s="143"/>
      <c r="AY550" s="143"/>
      <c r="AZ550" s="143"/>
      <c r="BA550" s="143"/>
      <c r="BB550" s="143"/>
      <c r="BC550" s="144"/>
    </row>
    <row r="551" spans="30:55" ht="15">
      <c r="AD551" s="133"/>
      <c r="AE551" s="132"/>
      <c r="AF551" s="132"/>
      <c r="AG551" s="134"/>
      <c r="AL551" s="135"/>
      <c r="AM551" s="136"/>
      <c r="AN551" s="137"/>
      <c r="AO551" s="138"/>
      <c r="AV551" s="149"/>
      <c r="AW551" s="142"/>
      <c r="AX551" s="143"/>
      <c r="AY551" s="143"/>
      <c r="AZ551" s="143"/>
      <c r="BA551" s="143"/>
      <c r="BB551" s="143"/>
      <c r="BC551" s="144"/>
    </row>
    <row r="552" spans="30:55" ht="15">
      <c r="AD552" s="133"/>
      <c r="AE552" s="132"/>
      <c r="AF552" s="132"/>
      <c r="AG552" s="134"/>
      <c r="AL552" s="135"/>
      <c r="AM552" s="136"/>
      <c r="AN552" s="137"/>
      <c r="AO552" s="138"/>
      <c r="AV552" s="149"/>
      <c r="AW552" s="142"/>
      <c r="AX552" s="143"/>
      <c r="AY552" s="143"/>
      <c r="AZ552" s="143"/>
      <c r="BA552" s="143"/>
      <c r="BB552" s="143"/>
      <c r="BC552" s="144"/>
    </row>
    <row r="553" spans="30:55" ht="15">
      <c r="AD553" s="133"/>
      <c r="AE553" s="132"/>
      <c r="AF553" s="132"/>
      <c r="AG553" s="134"/>
      <c r="AL553" s="135"/>
      <c r="AM553" s="136"/>
      <c r="AN553" s="137"/>
      <c r="AO553" s="138"/>
      <c r="AV553" s="149"/>
      <c r="AW553" s="142"/>
      <c r="AX553" s="143"/>
      <c r="AY553" s="143"/>
      <c r="AZ553" s="143"/>
      <c r="BA553" s="143"/>
      <c r="BB553" s="143"/>
      <c r="BC553" s="144"/>
    </row>
    <row r="554" spans="30:55" ht="15">
      <c r="AD554" s="133"/>
      <c r="AE554" s="132"/>
      <c r="AF554" s="132"/>
      <c r="AG554" s="134"/>
      <c r="AL554" s="135"/>
      <c r="AM554" s="136"/>
      <c r="AN554" s="137"/>
      <c r="AO554" s="138"/>
      <c r="AV554" s="149"/>
      <c r="AW554" s="142"/>
      <c r="AX554" s="143"/>
      <c r="AY554" s="143"/>
      <c r="AZ554" s="143"/>
      <c r="BA554" s="143"/>
      <c r="BB554" s="143"/>
      <c r="BC554" s="144"/>
    </row>
    <row r="555" spans="30:55" ht="15">
      <c r="AD555" s="133"/>
      <c r="AE555" s="132"/>
      <c r="AF555" s="132"/>
      <c r="AG555" s="134"/>
      <c r="AL555" s="135"/>
      <c r="AM555" s="136"/>
      <c r="AN555" s="137"/>
      <c r="AO555" s="138"/>
      <c r="AV555" s="149"/>
      <c r="AW555" s="142"/>
      <c r="AX555" s="143"/>
      <c r="AY555" s="143"/>
      <c r="AZ555" s="143"/>
      <c r="BA555" s="143"/>
      <c r="BB555" s="143"/>
      <c r="BC555" s="144"/>
    </row>
    <row r="556" spans="30:55" ht="15">
      <c r="AD556" s="133"/>
      <c r="AE556" s="132"/>
      <c r="AF556" s="132"/>
      <c r="AG556" s="134"/>
      <c r="AL556" s="135"/>
      <c r="AM556" s="136"/>
      <c r="AN556" s="137"/>
      <c r="AO556" s="138"/>
      <c r="AV556" s="149"/>
      <c r="AW556" s="142"/>
      <c r="AX556" s="143"/>
      <c r="AY556" s="143"/>
      <c r="AZ556" s="143"/>
      <c r="BA556" s="143"/>
      <c r="BB556" s="143"/>
      <c r="BC556" s="144"/>
    </row>
    <row r="557" spans="30:55" ht="15">
      <c r="AD557" s="133"/>
      <c r="AE557" s="132"/>
      <c r="AF557" s="132"/>
      <c r="AG557" s="134"/>
      <c r="AL557" s="135"/>
      <c r="AM557" s="136"/>
      <c r="AN557" s="137"/>
      <c r="AO557" s="138"/>
      <c r="AV557" s="149"/>
      <c r="AW557" s="142"/>
      <c r="AX557" s="143"/>
      <c r="AY557" s="143"/>
      <c r="AZ557" s="143"/>
      <c r="BA557" s="143"/>
      <c r="BB557" s="143"/>
      <c r="BC557" s="144"/>
    </row>
    <row r="558" spans="30:55" ht="15">
      <c r="AD558" s="133"/>
      <c r="AE558" s="132"/>
      <c r="AF558" s="132"/>
      <c r="AG558" s="134"/>
      <c r="AL558" s="135"/>
      <c r="AM558" s="136"/>
      <c r="AN558" s="137"/>
      <c r="AO558" s="138"/>
      <c r="AV558" s="149"/>
      <c r="AW558" s="142"/>
      <c r="AX558" s="143"/>
      <c r="AY558" s="143"/>
      <c r="AZ558" s="143"/>
      <c r="BA558" s="143"/>
      <c r="BB558" s="143"/>
      <c r="BC558" s="144"/>
    </row>
    <row r="559" spans="30:55" ht="15">
      <c r="AD559" s="133"/>
      <c r="AE559" s="132"/>
      <c r="AF559" s="132"/>
      <c r="AG559" s="134"/>
      <c r="AL559" s="135"/>
      <c r="AM559" s="136"/>
      <c r="AN559" s="137"/>
      <c r="AO559" s="138"/>
      <c r="AV559" s="149"/>
      <c r="AW559" s="142"/>
      <c r="AX559" s="143"/>
      <c r="AY559" s="143"/>
      <c r="AZ559" s="143"/>
      <c r="BA559" s="143"/>
      <c r="BB559" s="143"/>
      <c r="BC559" s="144"/>
    </row>
    <row r="560" spans="30:55" ht="15">
      <c r="AD560" s="133"/>
      <c r="AE560" s="132"/>
      <c r="AF560" s="132"/>
      <c r="AG560" s="134"/>
      <c r="AL560" s="135"/>
      <c r="AM560" s="136"/>
      <c r="AN560" s="137"/>
      <c r="AO560" s="138"/>
      <c r="AV560" s="149"/>
      <c r="AW560" s="142"/>
      <c r="AX560" s="143"/>
      <c r="AY560" s="143"/>
      <c r="AZ560" s="143"/>
      <c r="BA560" s="143"/>
      <c r="BB560" s="143"/>
      <c r="BC560" s="144"/>
    </row>
    <row r="561" spans="30:55" ht="15">
      <c r="AD561" s="133"/>
      <c r="AE561" s="132"/>
      <c r="AF561" s="132"/>
      <c r="AG561" s="134"/>
      <c r="AL561" s="135"/>
      <c r="AM561" s="136"/>
      <c r="AN561" s="137"/>
      <c r="AO561" s="138"/>
      <c r="AV561" s="149"/>
      <c r="AW561" s="142"/>
      <c r="AX561" s="143"/>
      <c r="AY561" s="143"/>
      <c r="AZ561" s="143"/>
      <c r="BA561" s="143"/>
      <c r="BB561" s="143"/>
      <c r="BC561" s="144"/>
    </row>
    <row r="562" spans="30:55" ht="15">
      <c r="AD562" s="133"/>
      <c r="AE562" s="132"/>
      <c r="AF562" s="132"/>
      <c r="AG562" s="134"/>
      <c r="AL562" s="135"/>
      <c r="AM562" s="136"/>
      <c r="AN562" s="137"/>
      <c r="AO562" s="138"/>
      <c r="AV562" s="149"/>
      <c r="AW562" s="142"/>
      <c r="AX562" s="143"/>
      <c r="AY562" s="143"/>
      <c r="AZ562" s="143"/>
      <c r="BA562" s="143"/>
      <c r="BB562" s="143"/>
      <c r="BC562" s="144"/>
    </row>
    <row r="563" spans="30:55" ht="15">
      <c r="AD563" s="133"/>
      <c r="AE563" s="132"/>
      <c r="AF563" s="132"/>
      <c r="AG563" s="134"/>
      <c r="AL563" s="135"/>
      <c r="AM563" s="136"/>
      <c r="AN563" s="137"/>
      <c r="AO563" s="138"/>
      <c r="AV563" s="149"/>
      <c r="AW563" s="142"/>
      <c r="AX563" s="143"/>
      <c r="AY563" s="143"/>
      <c r="AZ563" s="143"/>
      <c r="BA563" s="143"/>
      <c r="BB563" s="143"/>
      <c r="BC563" s="144"/>
    </row>
    <row r="564" spans="30:55" ht="15">
      <c r="AD564" s="133"/>
      <c r="AE564" s="132"/>
      <c r="AF564" s="132"/>
      <c r="AG564" s="134"/>
      <c r="AL564" s="135"/>
      <c r="AM564" s="136"/>
      <c r="AN564" s="137"/>
      <c r="AO564" s="138"/>
      <c r="AV564" s="149"/>
      <c r="AW564" s="142"/>
      <c r="AX564" s="143"/>
      <c r="AY564" s="143"/>
      <c r="AZ564" s="143"/>
      <c r="BA564" s="143"/>
      <c r="BB564" s="143"/>
      <c r="BC564" s="144"/>
    </row>
    <row r="565" spans="30:55" ht="15">
      <c r="AD565" s="133"/>
      <c r="AE565" s="132"/>
      <c r="AF565" s="132"/>
      <c r="AG565" s="134"/>
      <c r="AL565" s="135"/>
      <c r="AM565" s="136"/>
      <c r="AN565" s="137"/>
      <c r="AO565" s="138"/>
      <c r="AV565" s="149"/>
      <c r="AW565" s="142"/>
      <c r="AX565" s="143"/>
      <c r="AY565" s="143"/>
      <c r="AZ565" s="143"/>
      <c r="BA565" s="143"/>
      <c r="BB565" s="143"/>
      <c r="BC565" s="144"/>
    </row>
    <row r="566" spans="30:55" ht="15">
      <c r="AD566" s="133"/>
      <c r="AE566" s="132"/>
      <c r="AF566" s="132"/>
      <c r="AG566" s="134"/>
      <c r="AL566" s="135"/>
      <c r="AM566" s="136"/>
      <c r="AN566" s="137"/>
      <c r="AO566" s="138"/>
      <c r="AV566" s="149"/>
      <c r="AW566" s="142"/>
      <c r="AX566" s="143"/>
      <c r="AY566" s="143"/>
      <c r="AZ566" s="143"/>
      <c r="BA566" s="143"/>
      <c r="BB566" s="143"/>
      <c r="BC566" s="144"/>
    </row>
    <row r="567" spans="30:55" ht="15">
      <c r="AD567" s="133"/>
      <c r="AE567" s="132"/>
      <c r="AF567" s="132"/>
      <c r="AG567" s="134"/>
      <c r="AL567" s="135"/>
      <c r="AM567" s="136"/>
      <c r="AN567" s="137"/>
      <c r="AO567" s="138"/>
      <c r="AV567" s="149"/>
      <c r="AW567" s="142"/>
      <c r="AX567" s="143"/>
      <c r="AY567" s="143"/>
      <c r="AZ567" s="143"/>
      <c r="BA567" s="143"/>
      <c r="BB567" s="143"/>
      <c r="BC567" s="144"/>
    </row>
    <row r="568" spans="30:55" ht="15">
      <c r="AD568" s="133"/>
      <c r="AE568" s="132"/>
      <c r="AF568" s="132"/>
      <c r="AG568" s="134"/>
      <c r="AL568" s="135"/>
      <c r="AM568" s="136"/>
      <c r="AN568" s="137"/>
      <c r="AO568" s="138"/>
      <c r="AV568" s="149"/>
      <c r="AW568" s="142"/>
      <c r="AX568" s="143"/>
      <c r="AY568" s="143"/>
      <c r="AZ568" s="143"/>
      <c r="BA568" s="143"/>
      <c r="BB568" s="143"/>
      <c r="BC568" s="144"/>
    </row>
    <row r="569" spans="30:55" ht="15">
      <c r="AD569" s="133"/>
      <c r="AE569" s="132"/>
      <c r="AF569" s="132"/>
      <c r="AG569" s="134"/>
      <c r="AL569" s="135"/>
      <c r="AM569" s="136"/>
      <c r="AN569" s="137"/>
      <c r="AO569" s="138"/>
      <c r="AV569" s="149"/>
      <c r="AW569" s="142"/>
      <c r="AX569" s="143"/>
      <c r="AY569" s="143"/>
      <c r="AZ569" s="143"/>
      <c r="BA569" s="143"/>
      <c r="BB569" s="143"/>
      <c r="BC569" s="144"/>
    </row>
    <row r="570" spans="30:55" ht="15">
      <c r="AD570" s="133"/>
      <c r="AE570" s="132"/>
      <c r="AF570" s="132"/>
      <c r="AG570" s="134"/>
      <c r="AL570" s="135"/>
      <c r="AM570" s="136"/>
      <c r="AN570" s="137"/>
      <c r="AO570" s="138"/>
      <c r="AV570" s="149"/>
      <c r="AW570" s="142"/>
      <c r="AX570" s="143"/>
      <c r="AY570" s="143"/>
      <c r="AZ570" s="143"/>
      <c r="BA570" s="143"/>
      <c r="BB570" s="143"/>
      <c r="BC570" s="144"/>
    </row>
    <row r="571" spans="30:55" ht="15">
      <c r="AD571" s="133"/>
      <c r="AE571" s="132"/>
      <c r="AF571" s="132"/>
      <c r="AG571" s="134"/>
      <c r="AL571" s="135"/>
      <c r="AM571" s="136"/>
      <c r="AN571" s="137"/>
      <c r="AO571" s="138"/>
      <c r="AV571" s="149"/>
      <c r="AW571" s="142"/>
      <c r="AX571" s="143"/>
      <c r="AY571" s="143"/>
      <c r="AZ571" s="143"/>
      <c r="BA571" s="143"/>
      <c r="BB571" s="143"/>
      <c r="BC571" s="144"/>
    </row>
    <row r="572" spans="30:55" ht="15">
      <c r="AD572" s="133"/>
      <c r="AE572" s="132"/>
      <c r="AF572" s="132"/>
      <c r="AG572" s="134"/>
      <c r="AL572" s="135"/>
      <c r="AM572" s="136"/>
      <c r="AN572" s="137"/>
      <c r="AO572" s="138"/>
      <c r="AV572" s="149"/>
      <c r="AW572" s="142"/>
      <c r="AX572" s="143"/>
      <c r="AY572" s="143"/>
      <c r="AZ572" s="143"/>
      <c r="BA572" s="143"/>
      <c r="BB572" s="143"/>
      <c r="BC572" s="144"/>
    </row>
    <row r="573" spans="30:55" ht="15">
      <c r="AD573" s="133"/>
      <c r="AE573" s="132"/>
      <c r="AF573" s="132"/>
      <c r="AG573" s="134"/>
      <c r="AL573" s="135"/>
      <c r="AM573" s="136"/>
      <c r="AN573" s="137"/>
      <c r="AO573" s="138"/>
      <c r="AV573" s="149"/>
      <c r="AW573" s="142"/>
      <c r="AX573" s="143"/>
      <c r="AY573" s="143"/>
      <c r="AZ573" s="143"/>
      <c r="BA573" s="143"/>
      <c r="BB573" s="143"/>
      <c r="BC573" s="144"/>
    </row>
    <row r="574" spans="30:55" ht="15">
      <c r="AD574" s="133"/>
      <c r="AE574" s="132"/>
      <c r="AF574" s="132"/>
      <c r="AG574" s="134"/>
      <c r="AL574" s="135"/>
      <c r="AM574" s="136"/>
      <c r="AN574" s="137"/>
      <c r="AO574" s="138"/>
      <c r="AV574" s="149"/>
      <c r="AW574" s="142"/>
      <c r="AX574" s="143"/>
      <c r="AY574" s="143"/>
      <c r="AZ574" s="143"/>
      <c r="BA574" s="143"/>
      <c r="BB574" s="143"/>
      <c r="BC574" s="144"/>
    </row>
    <row r="575" spans="30:55" ht="15">
      <c r="AD575" s="133"/>
      <c r="AE575" s="132"/>
      <c r="AF575" s="132"/>
      <c r="AG575" s="134"/>
      <c r="AL575" s="135"/>
      <c r="AM575" s="136"/>
      <c r="AN575" s="137"/>
      <c r="AO575" s="138"/>
      <c r="AV575" s="149"/>
      <c r="AW575" s="142"/>
      <c r="AX575" s="143"/>
      <c r="AY575" s="143"/>
      <c r="AZ575" s="143"/>
      <c r="BA575" s="143"/>
      <c r="BB575" s="143"/>
      <c r="BC575" s="144"/>
    </row>
    <row r="576" spans="30:55" ht="15">
      <c r="AD576" s="133"/>
      <c r="AE576" s="132"/>
      <c r="AF576" s="132"/>
      <c r="AG576" s="134"/>
      <c r="AL576" s="135"/>
      <c r="AM576" s="136"/>
      <c r="AN576" s="137"/>
      <c r="AO576" s="138"/>
      <c r="AV576" s="149"/>
      <c r="AW576" s="142"/>
      <c r="AX576" s="143"/>
      <c r="AY576" s="143"/>
      <c r="AZ576" s="143"/>
      <c r="BA576" s="143"/>
      <c r="BB576" s="143"/>
      <c r="BC576" s="144"/>
    </row>
    <row r="577" spans="29:55" ht="15">
      <c r="AD577" s="133"/>
      <c r="AE577" s="132"/>
      <c r="AF577" s="132"/>
      <c r="AG577" s="134"/>
      <c r="AL577" s="135"/>
      <c r="AM577" s="136"/>
      <c r="AN577" s="137"/>
      <c r="AO577" s="138"/>
      <c r="AV577" s="149"/>
      <c r="AW577" s="142"/>
      <c r="AX577" s="143"/>
      <c r="AY577" s="143"/>
      <c r="AZ577" s="143"/>
      <c r="BA577" s="143"/>
      <c r="BB577" s="143"/>
      <c r="BC577" s="144"/>
    </row>
    <row r="578" spans="29:55" ht="15">
      <c r="AD578" s="133"/>
      <c r="AE578" s="132"/>
      <c r="AF578" s="132"/>
      <c r="AG578" s="134"/>
      <c r="AL578" s="135"/>
      <c r="AM578" s="136"/>
      <c r="AN578" s="137"/>
      <c r="AO578" s="138"/>
      <c r="AV578" s="149"/>
      <c r="AW578" s="142"/>
      <c r="AX578" s="143"/>
      <c r="AY578" s="143"/>
      <c r="AZ578" s="143"/>
      <c r="BA578" s="143"/>
      <c r="BB578" s="143"/>
      <c r="BC578" s="144"/>
    </row>
    <row r="579" spans="29:55" ht="15">
      <c r="AD579" s="133"/>
      <c r="AE579" s="132"/>
      <c r="AF579" s="132"/>
      <c r="AG579" s="134"/>
      <c r="AL579" s="135"/>
      <c r="AM579" s="136"/>
      <c r="AN579" s="137"/>
      <c r="AO579" s="138"/>
      <c r="AV579" s="149"/>
      <c r="AW579" s="142"/>
      <c r="AX579" s="143"/>
      <c r="AY579" s="143"/>
      <c r="AZ579" s="143"/>
      <c r="BA579" s="143"/>
      <c r="BB579" s="143"/>
      <c r="BC579" s="144"/>
    </row>
    <row r="580" spans="29:55" ht="15">
      <c r="AD580" s="133"/>
      <c r="AE580" s="132"/>
      <c r="AF580" s="132"/>
      <c r="AG580" s="134"/>
      <c r="AL580" s="135"/>
      <c r="AM580" s="136"/>
      <c r="AN580" s="137"/>
      <c r="AO580" s="138"/>
      <c r="AV580" s="149"/>
      <c r="AW580" s="142"/>
      <c r="AX580" s="143"/>
      <c r="AY580" s="143"/>
      <c r="AZ580" s="143"/>
      <c r="BA580" s="143"/>
      <c r="BB580" s="143"/>
      <c r="BC580" s="144"/>
    </row>
    <row r="581" spans="29:55" ht="15">
      <c r="AD581" s="133"/>
      <c r="AE581" s="132"/>
      <c r="AF581" s="132"/>
      <c r="AG581" s="134"/>
      <c r="AL581" s="135"/>
      <c r="AM581" s="136"/>
      <c r="AN581" s="137"/>
      <c r="AO581" s="138"/>
      <c r="AV581" s="149"/>
      <c r="AW581" s="142"/>
      <c r="AX581" s="143"/>
      <c r="AY581" s="143"/>
      <c r="AZ581" s="143"/>
      <c r="BA581" s="143"/>
      <c r="BB581" s="143"/>
      <c r="BC581" s="144"/>
    </row>
    <row r="582" spans="29:55" ht="15">
      <c r="AD582" s="133"/>
      <c r="AE582" s="132"/>
      <c r="AF582" s="132"/>
      <c r="AG582" s="134"/>
      <c r="AL582" s="135"/>
      <c r="AM582" s="136"/>
      <c r="AN582" s="137"/>
      <c r="AO582" s="138"/>
      <c r="AV582" s="149"/>
      <c r="AW582" s="142"/>
      <c r="AX582" s="143"/>
      <c r="AY582" s="143"/>
      <c r="AZ582" s="143"/>
      <c r="BA582" s="143"/>
      <c r="BB582" s="143"/>
      <c r="BC582" s="144"/>
    </row>
    <row r="583" spans="29:55" ht="15">
      <c r="AD583" s="133"/>
      <c r="AE583" s="132"/>
      <c r="AF583" s="132"/>
      <c r="AG583" s="134"/>
      <c r="AL583" s="135"/>
      <c r="AM583" s="136"/>
      <c r="AN583" s="137"/>
      <c r="AO583" s="138"/>
      <c r="AV583" s="149"/>
      <c r="AW583" s="142"/>
      <c r="AX583" s="143"/>
      <c r="AY583" s="143"/>
      <c r="AZ583" s="143"/>
      <c r="BA583" s="143"/>
      <c r="BB583" s="143"/>
      <c r="BC583" s="144"/>
    </row>
    <row r="584" spans="29:55" ht="15">
      <c r="AD584" s="133"/>
      <c r="AE584" s="132"/>
      <c r="AF584" s="132"/>
      <c r="AG584" s="134"/>
      <c r="AL584" s="135"/>
      <c r="AM584" s="136"/>
      <c r="AN584" s="137"/>
      <c r="AO584" s="138"/>
      <c r="AV584" s="149"/>
      <c r="AW584" s="142"/>
      <c r="AX584" s="143"/>
      <c r="AY584" s="143"/>
      <c r="AZ584" s="143"/>
      <c r="BA584" s="143"/>
      <c r="BB584" s="143"/>
      <c r="BC584" s="144"/>
    </row>
    <row r="585" spans="29:55" ht="15">
      <c r="AD585" s="133"/>
      <c r="AE585" s="132"/>
      <c r="AF585" s="132"/>
      <c r="AG585" s="134"/>
      <c r="AL585" s="135"/>
      <c r="AM585" s="136"/>
      <c r="AN585" s="137"/>
      <c r="AO585" s="138"/>
      <c r="AV585" s="149"/>
      <c r="AW585" s="142"/>
      <c r="AX585" s="143"/>
      <c r="AY585" s="143"/>
      <c r="AZ585" s="143"/>
      <c r="BA585" s="143"/>
      <c r="BB585" s="143"/>
      <c r="BC585" s="144"/>
    </row>
    <row r="586" spans="29:55" ht="15">
      <c r="AC586" s="132"/>
      <c r="AD586" s="133"/>
      <c r="AE586" s="132"/>
      <c r="AF586" s="132"/>
      <c r="AG586" s="134"/>
      <c r="AL586" s="135"/>
      <c r="AM586" s="136"/>
      <c r="AN586" s="137"/>
      <c r="AO586" s="138"/>
      <c r="AV586" s="149"/>
      <c r="AW586" s="142"/>
      <c r="AX586" s="143"/>
      <c r="AY586" s="143"/>
      <c r="AZ586" s="143"/>
      <c r="BA586" s="143"/>
      <c r="BB586" s="143"/>
      <c r="BC586" s="144"/>
    </row>
    <row r="587" spans="29:55" ht="15">
      <c r="AC587" s="132"/>
      <c r="AD587" s="133"/>
      <c r="AE587" s="132"/>
      <c r="AF587" s="132"/>
      <c r="AG587" s="134"/>
      <c r="AL587" s="135"/>
      <c r="AM587" s="136"/>
      <c r="AN587" s="137"/>
      <c r="AO587" s="138"/>
      <c r="AV587" s="149"/>
      <c r="AW587" s="142"/>
      <c r="AX587" s="143"/>
      <c r="AY587" s="143"/>
      <c r="AZ587" s="143"/>
      <c r="BA587" s="143"/>
      <c r="BB587" s="143"/>
      <c r="BC587" s="144"/>
    </row>
    <row r="588" spans="29:55" ht="15">
      <c r="AC588" s="132"/>
      <c r="AD588" s="133"/>
      <c r="AE588" s="132"/>
      <c r="AF588" s="132"/>
      <c r="AG588" s="134"/>
      <c r="AL588" s="135"/>
      <c r="AM588" s="136"/>
      <c r="AN588" s="137"/>
      <c r="AO588" s="138"/>
      <c r="AV588" s="149"/>
      <c r="AW588" s="142"/>
      <c r="AX588" s="143"/>
      <c r="AY588" s="143"/>
      <c r="AZ588" s="143"/>
      <c r="BA588" s="143"/>
      <c r="BB588" s="143"/>
      <c r="BC588" s="144"/>
    </row>
    <row r="589" spans="29:55" ht="15">
      <c r="AC589" s="132"/>
      <c r="AD589" s="133"/>
      <c r="AE589" s="132"/>
      <c r="AF589" s="132"/>
      <c r="AG589" s="134"/>
      <c r="AL589" s="135"/>
      <c r="AM589" s="136"/>
      <c r="AN589" s="137"/>
      <c r="AO589" s="138"/>
      <c r="AV589" s="149"/>
      <c r="AW589" s="142"/>
      <c r="AX589" s="143"/>
      <c r="AY589" s="143"/>
      <c r="AZ589" s="143"/>
      <c r="BA589" s="143"/>
      <c r="BB589" s="143"/>
      <c r="BC589" s="144"/>
    </row>
    <row r="590" spans="29:55" ht="15">
      <c r="AD590" s="133"/>
      <c r="AE590" s="132"/>
      <c r="AF590" s="132"/>
      <c r="AG590" s="134"/>
      <c r="AL590" s="135"/>
      <c r="AM590" s="136"/>
      <c r="AN590" s="137"/>
      <c r="AO590" s="138"/>
      <c r="AV590" s="149"/>
      <c r="AW590" s="142"/>
      <c r="AX590" s="143"/>
      <c r="AY590" s="143"/>
      <c r="AZ590" s="143"/>
      <c r="BA590" s="143"/>
      <c r="BB590" s="143"/>
      <c r="BC590" s="144"/>
    </row>
    <row r="591" spans="29:55" ht="15">
      <c r="AD591" s="133"/>
      <c r="AE591" s="132"/>
      <c r="AF591" s="132"/>
      <c r="AG591" s="134"/>
      <c r="AL591" s="135"/>
      <c r="AM591" s="136"/>
      <c r="AN591" s="137"/>
      <c r="AO591" s="138"/>
      <c r="AV591" s="149"/>
      <c r="AW591" s="142"/>
      <c r="AX591" s="143"/>
      <c r="AY591" s="143"/>
      <c r="AZ591" s="143"/>
      <c r="BA591" s="143"/>
      <c r="BB591" s="143"/>
      <c r="BC591" s="144"/>
    </row>
    <row r="592" spans="29:55" ht="15">
      <c r="AL592" s="135"/>
      <c r="AM592" s="136"/>
      <c r="AN592" s="137"/>
      <c r="AO592" s="138"/>
      <c r="AV592" s="149"/>
      <c r="AW592" s="142"/>
      <c r="AX592" s="143"/>
      <c r="AY592" s="143"/>
      <c r="AZ592" s="143"/>
      <c r="BA592" s="143"/>
      <c r="BB592" s="143"/>
      <c r="BC592" s="144"/>
    </row>
    <row r="593" spans="38:55" ht="15">
      <c r="AL593" s="135"/>
      <c r="AM593" s="136"/>
      <c r="AN593" s="137"/>
      <c r="AO593" s="138"/>
      <c r="AV593" s="149"/>
      <c r="AW593" s="142"/>
      <c r="AX593" s="143"/>
      <c r="AY593" s="143"/>
      <c r="AZ593" s="143"/>
      <c r="BA593" s="143"/>
      <c r="BB593" s="143"/>
      <c r="BC593" s="144"/>
    </row>
    <row r="594" spans="38:55" ht="15">
      <c r="AL594" s="135"/>
      <c r="AM594" s="136"/>
      <c r="AN594" s="137"/>
      <c r="AO594" s="138"/>
      <c r="AV594" s="149"/>
      <c r="AW594" s="142"/>
      <c r="AX594" s="143"/>
      <c r="AY594" s="143"/>
      <c r="AZ594" s="143"/>
      <c r="BA594" s="143"/>
      <c r="BB594" s="143"/>
      <c r="BC594" s="144"/>
    </row>
    <row r="595" spans="38:55" ht="15">
      <c r="AL595" s="135"/>
      <c r="AM595" s="136"/>
      <c r="AN595" s="137"/>
      <c r="AO595" s="138"/>
      <c r="AV595" s="149"/>
      <c r="AW595" s="142"/>
      <c r="AX595" s="143"/>
      <c r="AY595" s="143"/>
      <c r="AZ595" s="143"/>
      <c r="BA595" s="143"/>
      <c r="BB595" s="143"/>
      <c r="BC595" s="144"/>
    </row>
    <row r="596" spans="38:55" ht="15">
      <c r="AL596" s="135"/>
      <c r="AM596" s="136"/>
      <c r="AN596" s="137"/>
      <c r="AO596" s="138"/>
      <c r="AV596" s="149"/>
      <c r="AW596" s="142"/>
      <c r="AX596" s="143"/>
      <c r="AY596" s="143"/>
      <c r="AZ596" s="143"/>
      <c r="BA596" s="143"/>
      <c r="BB596" s="143"/>
      <c r="BC596" s="144"/>
    </row>
    <row r="597" spans="38:55" ht="15">
      <c r="AL597" s="135"/>
      <c r="AM597" s="136"/>
      <c r="AN597" s="137"/>
      <c r="AO597" s="138"/>
      <c r="AV597" s="149"/>
      <c r="AW597" s="142"/>
      <c r="AX597" s="143"/>
      <c r="AY597" s="143"/>
      <c r="AZ597" s="143"/>
      <c r="BA597" s="143"/>
      <c r="BB597" s="143"/>
      <c r="BC597" s="144"/>
    </row>
    <row r="598" spans="38:55" ht="15">
      <c r="AL598" s="135"/>
      <c r="AM598" s="136"/>
      <c r="AN598" s="137"/>
      <c r="AO598" s="138"/>
      <c r="AV598" s="149"/>
      <c r="AW598" s="142"/>
      <c r="AX598" s="143"/>
      <c r="AY598" s="143"/>
      <c r="AZ598" s="143"/>
      <c r="BA598" s="143"/>
      <c r="BB598" s="143"/>
      <c r="BC598" s="144"/>
    </row>
    <row r="599" spans="38:55" ht="15">
      <c r="AL599" s="135"/>
      <c r="AM599" s="136"/>
      <c r="AN599" s="137"/>
      <c r="AO599" s="138"/>
      <c r="AV599" s="149"/>
      <c r="AW599" s="142"/>
      <c r="AX599" s="143"/>
      <c r="AY599" s="143"/>
      <c r="AZ599" s="143"/>
      <c r="BA599" s="143"/>
      <c r="BB599" s="143"/>
      <c r="BC599" s="144"/>
    </row>
    <row r="600" spans="38:55" ht="15">
      <c r="AL600" s="135"/>
      <c r="AM600" s="136"/>
      <c r="AN600" s="137"/>
      <c r="AO600" s="138"/>
      <c r="AV600" s="149"/>
      <c r="AW600" s="142"/>
      <c r="AX600" s="143"/>
      <c r="AY600" s="143"/>
      <c r="AZ600" s="143"/>
      <c r="BA600" s="143"/>
      <c r="BB600" s="143"/>
      <c r="BC600" s="144"/>
    </row>
    <row r="601" spans="38:55" ht="15">
      <c r="AL601" s="135"/>
      <c r="AM601" s="136"/>
      <c r="AN601" s="137"/>
      <c r="AO601" s="138"/>
      <c r="AV601" s="149"/>
      <c r="AW601" s="142"/>
      <c r="AX601" s="143"/>
      <c r="AY601" s="143"/>
      <c r="AZ601" s="143"/>
      <c r="BA601" s="143"/>
      <c r="BB601" s="143"/>
      <c r="BC601" s="144"/>
    </row>
    <row r="602" spans="38:55" ht="15">
      <c r="AL602" s="135"/>
      <c r="AM602" s="136"/>
      <c r="AN602" s="137"/>
      <c r="AO602" s="138"/>
      <c r="AV602" s="149"/>
      <c r="AW602" s="142"/>
      <c r="AX602" s="143"/>
      <c r="AY602" s="143"/>
      <c r="AZ602" s="143"/>
      <c r="BA602" s="143"/>
      <c r="BB602" s="143"/>
      <c r="BC602" s="144"/>
    </row>
    <row r="603" spans="38:55" ht="15">
      <c r="AL603" s="135"/>
      <c r="AM603" s="136"/>
      <c r="AN603" s="137"/>
      <c r="AO603" s="138"/>
      <c r="AV603" s="149"/>
      <c r="AW603" s="142"/>
      <c r="AX603" s="143"/>
      <c r="AY603" s="143"/>
      <c r="AZ603" s="143"/>
      <c r="BA603" s="143"/>
      <c r="BB603" s="143"/>
      <c r="BC603" s="144"/>
    </row>
    <row r="604" spans="38:55" ht="15">
      <c r="AL604" s="135"/>
      <c r="AM604" s="136"/>
      <c r="AN604" s="137"/>
      <c r="AO604" s="138"/>
      <c r="AV604" s="149"/>
      <c r="AW604" s="142"/>
      <c r="AX604" s="143"/>
      <c r="AY604" s="143"/>
      <c r="AZ604" s="143"/>
      <c r="BA604" s="143"/>
      <c r="BB604" s="143"/>
      <c r="BC604" s="144"/>
    </row>
    <row r="605" spans="38:55" ht="15">
      <c r="AL605" s="135"/>
      <c r="AM605" s="136"/>
      <c r="AN605" s="137"/>
      <c r="AO605" s="138"/>
      <c r="AV605" s="149"/>
      <c r="AW605" s="142"/>
      <c r="AX605" s="143"/>
      <c r="AY605" s="143"/>
      <c r="AZ605" s="143"/>
      <c r="BA605" s="143"/>
      <c r="BB605" s="143"/>
      <c r="BC605" s="144"/>
    </row>
    <row r="606" spans="38:55" ht="15">
      <c r="AL606" s="135"/>
      <c r="AM606" s="136"/>
      <c r="AN606" s="137"/>
      <c r="AO606" s="138"/>
      <c r="AV606" s="149"/>
      <c r="AW606" s="142"/>
      <c r="AX606" s="143"/>
      <c r="AY606" s="143"/>
      <c r="AZ606" s="143"/>
      <c r="BA606" s="143"/>
      <c r="BB606" s="143"/>
      <c r="BC606" s="144"/>
    </row>
    <row r="607" spans="38:55" ht="15">
      <c r="AL607" s="135"/>
      <c r="AM607" s="136"/>
      <c r="AN607" s="137"/>
      <c r="AO607" s="138"/>
      <c r="AV607" s="149"/>
      <c r="AW607" s="142"/>
      <c r="AX607" s="143"/>
      <c r="AY607" s="143"/>
      <c r="AZ607" s="143"/>
      <c r="BA607" s="143"/>
      <c r="BB607" s="143"/>
      <c r="BC607" s="144"/>
    </row>
    <row r="608" spans="38:55" ht="15">
      <c r="AL608" s="135"/>
      <c r="AM608" s="136"/>
      <c r="AN608" s="137"/>
      <c r="AO608" s="138"/>
      <c r="AV608" s="149"/>
      <c r="AW608" s="142"/>
      <c r="AX608" s="143"/>
      <c r="AY608" s="143"/>
      <c r="AZ608" s="143"/>
      <c r="BA608" s="143"/>
      <c r="BB608" s="143"/>
      <c r="BC608" s="144"/>
    </row>
    <row r="609" spans="38:55" ht="15">
      <c r="AL609" s="135"/>
      <c r="AM609" s="136"/>
      <c r="AN609" s="137"/>
      <c r="AO609" s="138"/>
      <c r="AV609" s="149"/>
      <c r="AW609" s="142"/>
      <c r="AX609" s="143"/>
      <c r="AY609" s="143"/>
      <c r="AZ609" s="143"/>
      <c r="BA609" s="143"/>
      <c r="BB609" s="143"/>
      <c r="BC609" s="144"/>
    </row>
    <row r="610" spans="38:55" ht="15">
      <c r="AL610" s="135"/>
      <c r="AM610" s="136"/>
      <c r="AN610" s="137"/>
      <c r="AO610" s="138"/>
      <c r="AV610" s="149"/>
      <c r="AW610" s="142"/>
      <c r="AX610" s="143"/>
      <c r="AY610" s="143"/>
      <c r="AZ610" s="143"/>
      <c r="BA610" s="143"/>
      <c r="BB610" s="143"/>
      <c r="BC610" s="144"/>
    </row>
    <row r="611" spans="38:55" ht="15">
      <c r="AL611" s="135"/>
      <c r="AM611" s="136"/>
      <c r="AN611" s="137"/>
      <c r="AO611" s="138"/>
      <c r="AV611" s="149"/>
      <c r="AW611" s="142"/>
      <c r="AX611" s="143"/>
      <c r="AY611" s="143"/>
      <c r="AZ611" s="143"/>
      <c r="BA611" s="143"/>
      <c r="BB611" s="143"/>
      <c r="BC611" s="144"/>
    </row>
    <row r="612" spans="38:55" ht="15">
      <c r="AL612" s="135"/>
      <c r="AM612" s="136"/>
      <c r="AN612" s="137"/>
      <c r="AO612" s="138"/>
      <c r="AV612" s="149"/>
      <c r="AW612" s="142"/>
      <c r="AX612" s="143"/>
      <c r="AY612" s="143"/>
      <c r="AZ612" s="143"/>
      <c r="BA612" s="143"/>
      <c r="BB612" s="143"/>
      <c r="BC612" s="144"/>
    </row>
    <row r="613" spans="38:55" ht="15">
      <c r="AL613" s="135"/>
      <c r="AM613" s="136"/>
      <c r="AN613" s="137"/>
      <c r="AO613" s="138"/>
      <c r="AV613" s="149"/>
      <c r="AW613" s="142"/>
      <c r="AX613" s="143"/>
      <c r="AY613" s="143"/>
      <c r="AZ613" s="143"/>
      <c r="BA613" s="143"/>
      <c r="BB613" s="143"/>
      <c r="BC613" s="144"/>
    </row>
    <row r="614" spans="38:55" ht="15">
      <c r="AL614" s="135"/>
      <c r="AM614" s="136"/>
      <c r="AN614" s="137"/>
      <c r="AO614" s="138"/>
      <c r="AV614" s="149"/>
      <c r="AW614" s="142"/>
      <c r="AX614" s="143"/>
      <c r="AY614" s="143"/>
      <c r="AZ614" s="143"/>
      <c r="BA614" s="143"/>
      <c r="BB614" s="143"/>
      <c r="BC614" s="144"/>
    </row>
    <row r="615" spans="38:55" ht="15">
      <c r="AL615" s="135"/>
      <c r="AM615" s="136"/>
      <c r="AN615" s="137"/>
      <c r="AO615" s="138"/>
      <c r="AV615" s="149"/>
      <c r="AW615" s="142"/>
      <c r="AX615" s="143"/>
      <c r="AY615" s="143"/>
      <c r="AZ615" s="143"/>
      <c r="BA615" s="143"/>
      <c r="BB615" s="143"/>
      <c r="BC615" s="144"/>
    </row>
    <row r="616" spans="38:55" ht="15">
      <c r="AL616" s="135"/>
      <c r="AM616" s="136"/>
      <c r="AN616" s="137"/>
      <c r="AO616" s="138"/>
      <c r="AV616" s="149"/>
      <c r="AW616" s="142"/>
      <c r="AX616" s="143"/>
      <c r="AY616" s="143"/>
      <c r="AZ616" s="143"/>
      <c r="BA616" s="143"/>
      <c r="BB616" s="143"/>
      <c r="BC616" s="144"/>
    </row>
    <row r="617" spans="38:55" ht="15">
      <c r="AL617" s="135"/>
      <c r="AM617" s="136"/>
      <c r="AN617" s="137"/>
      <c r="AO617" s="138"/>
      <c r="AV617" s="149"/>
      <c r="AW617" s="142"/>
      <c r="AX617" s="143"/>
      <c r="AY617" s="143"/>
      <c r="AZ617" s="143"/>
      <c r="BA617" s="143"/>
      <c r="BB617" s="143"/>
      <c r="BC617" s="144"/>
    </row>
    <row r="618" spans="38:55" ht="15">
      <c r="AL618" s="135"/>
      <c r="AM618" s="136"/>
      <c r="AN618" s="137"/>
      <c r="AO618" s="138"/>
      <c r="AV618" s="149"/>
      <c r="AW618" s="142"/>
      <c r="AX618" s="143"/>
      <c r="AY618" s="143"/>
      <c r="AZ618" s="143"/>
      <c r="BA618" s="143"/>
      <c r="BB618" s="143"/>
      <c r="BC618" s="144"/>
    </row>
    <row r="619" spans="38:55" ht="15">
      <c r="AL619" s="135"/>
      <c r="AM619" s="136"/>
      <c r="AN619" s="137"/>
      <c r="AO619" s="138"/>
      <c r="AV619" s="149"/>
      <c r="AW619" s="142"/>
      <c r="AX619" s="143"/>
      <c r="AY619" s="143"/>
      <c r="AZ619" s="143"/>
      <c r="BA619" s="143"/>
      <c r="BB619" s="143"/>
      <c r="BC619" s="144"/>
    </row>
    <row r="620" spans="38:55" ht="15">
      <c r="AL620" s="135"/>
      <c r="AM620" s="136"/>
      <c r="AN620" s="137"/>
      <c r="AO620" s="138"/>
      <c r="AV620" s="149"/>
      <c r="AW620" s="142"/>
      <c r="AX620" s="143"/>
      <c r="AY620" s="143"/>
      <c r="AZ620" s="143"/>
      <c r="BA620" s="143"/>
      <c r="BB620" s="143"/>
      <c r="BC620" s="144"/>
    </row>
    <row r="621" spans="38:55" ht="15">
      <c r="AL621" s="135"/>
      <c r="AM621" s="136"/>
      <c r="AN621" s="137"/>
      <c r="AO621" s="138"/>
      <c r="AV621" s="149"/>
      <c r="AW621" s="142"/>
      <c r="AX621" s="143"/>
      <c r="AY621" s="143"/>
      <c r="AZ621" s="143"/>
      <c r="BA621" s="143"/>
      <c r="BB621" s="143"/>
      <c r="BC621" s="144"/>
    </row>
    <row r="622" spans="38:55" ht="15">
      <c r="AL622" s="135"/>
      <c r="AM622" s="136"/>
      <c r="AN622" s="137"/>
      <c r="AO622" s="138"/>
      <c r="AV622" s="149"/>
      <c r="AW622" s="142"/>
      <c r="AX622" s="143"/>
      <c r="AY622" s="143"/>
      <c r="AZ622" s="143"/>
      <c r="BA622" s="143"/>
      <c r="BB622" s="143"/>
      <c r="BC622" s="144"/>
    </row>
    <row r="623" spans="38:55" ht="15">
      <c r="AL623" s="135"/>
      <c r="AM623" s="136"/>
      <c r="AN623" s="137"/>
      <c r="AO623" s="138"/>
      <c r="AV623" s="149"/>
      <c r="AW623" s="142"/>
      <c r="AX623" s="143"/>
      <c r="AY623" s="143"/>
      <c r="AZ623" s="143"/>
      <c r="BA623" s="143"/>
      <c r="BB623" s="143"/>
      <c r="BC623" s="144"/>
    </row>
    <row r="624" spans="38:55" ht="15">
      <c r="AL624" s="135"/>
      <c r="AM624" s="136"/>
      <c r="AN624" s="137"/>
      <c r="AO624" s="138"/>
      <c r="AV624" s="149"/>
      <c r="AW624" s="142"/>
      <c r="AX624" s="143"/>
      <c r="AY624" s="143"/>
      <c r="AZ624" s="143"/>
      <c r="BA624" s="143"/>
      <c r="BB624" s="143"/>
      <c r="BC624" s="144"/>
    </row>
    <row r="625" spans="29:55" ht="15">
      <c r="AL625" s="135"/>
      <c r="AM625" s="136"/>
      <c r="AN625" s="137"/>
      <c r="AO625" s="138"/>
      <c r="AV625" s="149"/>
      <c r="AW625" s="142"/>
      <c r="AX625" s="143"/>
      <c r="AY625" s="143"/>
      <c r="AZ625" s="143"/>
      <c r="BA625" s="143"/>
      <c r="BB625" s="143"/>
      <c r="BC625" s="144"/>
    </row>
    <row r="626" spans="29:55" ht="15">
      <c r="AL626" s="135"/>
      <c r="AM626" s="136"/>
      <c r="AN626" s="137"/>
      <c r="AO626" s="138"/>
      <c r="AV626" s="149"/>
      <c r="AW626" s="142"/>
      <c r="AX626" s="143"/>
      <c r="AY626" s="143"/>
      <c r="AZ626" s="143"/>
      <c r="BA626" s="143"/>
      <c r="BB626" s="143"/>
      <c r="BC626" s="144"/>
    </row>
    <row r="627" spans="29:55" ht="15">
      <c r="AL627" s="135"/>
      <c r="AM627" s="136"/>
      <c r="AN627" s="137"/>
      <c r="AO627" s="138"/>
      <c r="AV627" s="149"/>
      <c r="AW627" s="142"/>
      <c r="AX627" s="143"/>
      <c r="AY627" s="143"/>
      <c r="AZ627" s="143"/>
      <c r="BA627" s="143"/>
      <c r="BB627" s="143"/>
      <c r="BC627" s="144"/>
    </row>
    <row r="628" spans="29:55" ht="15">
      <c r="AL628" s="135"/>
      <c r="AM628" s="136"/>
      <c r="AN628" s="137"/>
      <c r="AO628" s="138"/>
      <c r="AV628" s="149"/>
      <c r="AW628" s="142"/>
      <c r="AX628" s="143"/>
      <c r="AY628" s="143"/>
      <c r="AZ628" s="143"/>
      <c r="BA628" s="143"/>
      <c r="BB628" s="143"/>
      <c r="BC628" s="144"/>
    </row>
    <row r="629" spans="29:55" ht="15">
      <c r="AL629" s="135"/>
      <c r="AM629" s="136"/>
      <c r="AN629" s="137"/>
      <c r="AO629" s="138"/>
      <c r="AV629" s="149"/>
      <c r="AW629" s="142"/>
      <c r="AX629" s="143"/>
      <c r="AY629" s="143"/>
      <c r="AZ629" s="143"/>
      <c r="BA629" s="143"/>
      <c r="BB629" s="143"/>
      <c r="BC629" s="144"/>
    </row>
    <row r="630" spans="29:55" ht="15">
      <c r="AL630" s="135"/>
      <c r="AM630" s="136"/>
      <c r="AN630" s="137"/>
      <c r="AO630" s="138"/>
      <c r="AV630" s="149"/>
      <c r="AW630" s="142"/>
      <c r="AX630" s="143"/>
      <c r="AY630" s="143"/>
      <c r="AZ630" s="143"/>
      <c r="BA630" s="143"/>
      <c r="BB630" s="143"/>
      <c r="BC630" s="144"/>
    </row>
    <row r="631" spans="29:55" ht="15">
      <c r="AL631" s="135"/>
      <c r="AM631" s="136"/>
      <c r="AN631" s="137"/>
      <c r="AO631" s="138"/>
      <c r="AV631" s="149"/>
      <c r="AW631" s="142"/>
      <c r="AX631" s="143"/>
      <c r="AY631" s="143"/>
      <c r="AZ631" s="143"/>
      <c r="BA631" s="143"/>
      <c r="BB631" s="143"/>
      <c r="BC631" s="144"/>
    </row>
    <row r="632" spans="29:55" ht="15">
      <c r="AL632" s="135"/>
      <c r="AM632" s="136"/>
      <c r="AN632" s="137"/>
      <c r="AO632" s="138"/>
      <c r="AV632" s="149"/>
      <c r="AW632" s="142"/>
      <c r="AX632" s="143"/>
      <c r="AY632" s="143"/>
      <c r="AZ632" s="143"/>
      <c r="BA632" s="143"/>
      <c r="BB632" s="143"/>
      <c r="BC632" s="144"/>
    </row>
    <row r="633" spans="29:55" ht="15">
      <c r="AL633" s="135"/>
      <c r="AM633" s="136"/>
      <c r="AN633" s="137"/>
      <c r="AO633" s="138"/>
      <c r="AV633" s="149"/>
      <c r="AW633" s="142"/>
      <c r="AX633" s="143"/>
      <c r="AY633" s="143"/>
      <c r="AZ633" s="143"/>
      <c r="BA633" s="143"/>
      <c r="BB633" s="143"/>
      <c r="BC633" s="144"/>
    </row>
    <row r="634" spans="29:55" ht="15">
      <c r="AL634" s="135"/>
      <c r="AM634" s="136"/>
      <c r="AN634" s="137"/>
      <c r="AO634" s="138"/>
      <c r="AV634" s="149"/>
      <c r="AW634" s="142"/>
      <c r="AX634" s="143"/>
      <c r="AY634" s="143"/>
      <c r="AZ634" s="143"/>
      <c r="BA634" s="143"/>
      <c r="BB634" s="143"/>
      <c r="BC634" s="144"/>
    </row>
    <row r="635" spans="29:55" ht="15">
      <c r="AL635" s="135"/>
      <c r="AM635" s="136"/>
      <c r="AN635" s="137"/>
      <c r="AO635" s="138"/>
      <c r="AV635" s="149"/>
      <c r="AW635" s="142"/>
      <c r="AX635" s="143"/>
      <c r="AY635" s="143"/>
      <c r="AZ635" s="143"/>
      <c r="BA635" s="143"/>
      <c r="BB635" s="143"/>
      <c r="BC635" s="144"/>
    </row>
    <row r="636" spans="29:55" ht="15">
      <c r="AD636" s="133"/>
      <c r="AE636" s="143"/>
      <c r="AF636" s="143"/>
      <c r="AG636" s="144"/>
      <c r="AL636" s="135"/>
      <c r="AM636" s="136"/>
      <c r="AN636" s="137"/>
      <c r="AO636" s="138"/>
      <c r="AV636" s="149"/>
      <c r="AW636" s="142"/>
      <c r="AX636" s="143"/>
      <c r="AY636" s="143"/>
      <c r="AZ636" s="143"/>
      <c r="BA636" s="143"/>
      <c r="BB636" s="143"/>
      <c r="BC636" s="144"/>
    </row>
    <row r="637" spans="29:55" ht="15">
      <c r="AD637" s="133"/>
      <c r="AE637" s="143"/>
      <c r="AF637" s="143"/>
      <c r="AG637" s="144"/>
      <c r="AL637" s="135"/>
      <c r="AM637" s="136"/>
      <c r="AN637" s="137"/>
      <c r="AO637" s="138"/>
      <c r="AV637" s="149"/>
      <c r="AW637" s="142"/>
      <c r="AX637" s="143"/>
      <c r="AY637" s="143"/>
      <c r="AZ637" s="143"/>
      <c r="BA637" s="143"/>
      <c r="BB637" s="143"/>
      <c r="BC637" s="144"/>
    </row>
    <row r="638" spans="29:55" ht="15">
      <c r="AD638" s="133"/>
      <c r="AE638" s="143"/>
      <c r="AF638" s="143"/>
      <c r="AG638" s="144"/>
      <c r="AL638" s="135"/>
      <c r="AM638" s="136"/>
      <c r="AN638" s="137"/>
      <c r="AO638" s="138"/>
      <c r="AV638" s="149"/>
      <c r="AW638" s="142"/>
      <c r="AX638" s="143"/>
      <c r="AY638" s="143"/>
      <c r="AZ638" s="143"/>
      <c r="BA638" s="143"/>
      <c r="BB638" s="143"/>
      <c r="BC638" s="144"/>
    </row>
    <row r="639" spans="29:55" ht="15">
      <c r="AC639" s="132"/>
      <c r="AD639" s="133"/>
      <c r="AE639" s="143"/>
      <c r="AF639" s="143"/>
      <c r="AG639" s="144"/>
      <c r="AL639" s="135"/>
      <c r="AM639" s="136"/>
      <c r="AN639" s="137"/>
      <c r="AO639" s="138"/>
      <c r="AV639" s="149"/>
      <c r="AW639" s="142"/>
      <c r="AX639" s="143"/>
      <c r="AY639" s="143"/>
      <c r="AZ639" s="143"/>
      <c r="BA639" s="143"/>
      <c r="BB639" s="143"/>
      <c r="BC639" s="144"/>
    </row>
    <row r="640" spans="29:55" ht="15">
      <c r="AL640" s="135"/>
      <c r="AM640" s="136"/>
      <c r="AN640" s="137"/>
      <c r="AO640" s="138"/>
      <c r="AV640" s="149"/>
      <c r="AW640" s="142"/>
      <c r="AX640" s="143"/>
      <c r="AY640" s="143"/>
      <c r="AZ640" s="143"/>
      <c r="BA640" s="143"/>
      <c r="BB640" s="143"/>
      <c r="BC640" s="144"/>
    </row>
    <row r="641" spans="29:55" ht="15">
      <c r="AL641" s="135"/>
      <c r="AM641" s="136"/>
      <c r="AN641" s="137"/>
      <c r="AO641" s="138"/>
      <c r="AV641" s="149"/>
      <c r="AW641" s="142"/>
      <c r="AX641" s="143"/>
      <c r="AY641" s="143"/>
      <c r="AZ641" s="143"/>
      <c r="BA641" s="143"/>
      <c r="BB641" s="143"/>
      <c r="BC641" s="144"/>
    </row>
    <row r="642" spans="29:55" ht="15">
      <c r="AL642" s="135"/>
      <c r="AM642" s="136"/>
      <c r="AN642" s="137"/>
      <c r="AO642" s="138"/>
      <c r="AV642" s="149"/>
      <c r="AW642" s="142"/>
      <c r="AX642" s="143"/>
      <c r="AY642" s="143"/>
      <c r="AZ642" s="143"/>
      <c r="BA642" s="143"/>
      <c r="BB642" s="143"/>
      <c r="BC642" s="144"/>
    </row>
    <row r="643" spans="29:55" ht="15">
      <c r="AL643" s="135"/>
      <c r="AM643" s="136"/>
      <c r="AN643" s="137"/>
      <c r="AO643" s="138"/>
      <c r="AV643" s="149"/>
      <c r="AW643" s="142"/>
      <c r="AX643" s="143"/>
      <c r="AY643" s="143"/>
      <c r="AZ643" s="143"/>
      <c r="BA643" s="143"/>
      <c r="BB643" s="143"/>
      <c r="BC643" s="144"/>
    </row>
    <row r="644" spans="29:55" ht="15">
      <c r="AL644" s="135"/>
      <c r="AM644" s="136"/>
      <c r="AN644" s="137"/>
      <c r="AO644" s="138"/>
      <c r="AV644" s="149"/>
      <c r="AW644" s="142"/>
      <c r="AX644" s="143"/>
      <c r="AY644" s="143"/>
      <c r="AZ644" s="143"/>
      <c r="BA644" s="143"/>
      <c r="BB644" s="143"/>
      <c r="BC644" s="144"/>
    </row>
    <row r="645" spans="29:55" ht="15">
      <c r="AL645" s="135"/>
      <c r="AM645" s="136"/>
      <c r="AN645" s="137"/>
      <c r="AO645" s="138"/>
      <c r="AV645" s="149"/>
      <c r="AW645" s="142"/>
      <c r="AX645" s="143"/>
      <c r="AY645" s="143"/>
      <c r="AZ645" s="143"/>
      <c r="BA645" s="143"/>
      <c r="BB645" s="143"/>
      <c r="BC645" s="144"/>
    </row>
    <row r="646" spans="29:55" ht="15">
      <c r="AC646" s="132"/>
      <c r="AL646" s="135"/>
      <c r="AM646" s="136"/>
      <c r="AN646" s="137"/>
      <c r="AO646" s="138"/>
      <c r="AV646" s="149"/>
      <c r="AW646" s="142"/>
      <c r="AX646" s="143"/>
      <c r="AY646" s="143"/>
      <c r="AZ646" s="143"/>
      <c r="BA646" s="143"/>
      <c r="BB646" s="143"/>
      <c r="BC646" s="144"/>
    </row>
    <row r="647" spans="29:55" ht="15">
      <c r="AL647" s="135"/>
      <c r="AM647" s="136"/>
      <c r="AN647" s="137"/>
      <c r="AO647" s="138"/>
      <c r="AV647" s="149"/>
      <c r="AW647" s="142"/>
      <c r="AX647" s="143"/>
      <c r="AY647" s="143"/>
      <c r="AZ647" s="143"/>
      <c r="BA647" s="143"/>
      <c r="BB647" s="143"/>
      <c r="BC647" s="144"/>
    </row>
    <row r="648" spans="29:55" ht="15">
      <c r="AJ648" s="93"/>
      <c r="AL648" s="135"/>
      <c r="AM648" s="136"/>
      <c r="AN648" s="137"/>
      <c r="AO648" s="138"/>
      <c r="AV648" s="149"/>
      <c r="AW648" s="142"/>
      <c r="AX648" s="143"/>
      <c r="AY648" s="143"/>
      <c r="AZ648" s="143"/>
      <c r="BA648" s="143"/>
      <c r="BB648" s="143"/>
      <c r="BC648" s="144"/>
    </row>
    <row r="649" spans="29:55" ht="15">
      <c r="AL649" s="135"/>
      <c r="AM649" s="136"/>
      <c r="AN649" s="137"/>
      <c r="AO649" s="138"/>
      <c r="AV649" s="149"/>
      <c r="AW649" s="142"/>
      <c r="AX649" s="143"/>
      <c r="AY649" s="143"/>
      <c r="AZ649" s="143"/>
      <c r="BA649" s="143"/>
      <c r="BB649" s="143"/>
      <c r="BC649" s="144"/>
    </row>
    <row r="650" spans="29:55" ht="15">
      <c r="AL650" s="135"/>
      <c r="AM650" s="136"/>
      <c r="AN650" s="137"/>
      <c r="AO650" s="138"/>
      <c r="AV650" s="149"/>
      <c r="AW650" s="142"/>
      <c r="AX650" s="143"/>
      <c r="AY650" s="143"/>
      <c r="AZ650" s="143"/>
      <c r="BA650" s="143"/>
      <c r="BB650" s="143"/>
      <c r="BC650" s="144"/>
    </row>
    <row r="651" spans="29:55" ht="15">
      <c r="AL651" s="135"/>
      <c r="AM651" s="136"/>
      <c r="AN651" s="137"/>
      <c r="AO651" s="138"/>
      <c r="AV651" s="149"/>
      <c r="AW651" s="142"/>
      <c r="AX651" s="143"/>
      <c r="AY651" s="143"/>
      <c r="AZ651" s="143"/>
      <c r="BA651" s="143"/>
      <c r="BB651" s="143"/>
      <c r="BC651" s="144"/>
    </row>
    <row r="652" spans="29:55" ht="15">
      <c r="AL652" s="135"/>
      <c r="AM652" s="136"/>
      <c r="AN652" s="137"/>
      <c r="AO652" s="138"/>
      <c r="AV652" s="149"/>
      <c r="AW652" s="142"/>
      <c r="AX652" s="143"/>
      <c r="AY652" s="143"/>
      <c r="AZ652" s="143"/>
      <c r="BA652" s="143"/>
      <c r="BB652" s="143"/>
      <c r="BC652" s="144"/>
    </row>
    <row r="653" spans="29:55" ht="15">
      <c r="AL653" s="135"/>
      <c r="AM653" s="136"/>
      <c r="AN653" s="137"/>
      <c r="AO653" s="138"/>
      <c r="AV653" s="149"/>
      <c r="AW653" s="142"/>
      <c r="AX653" s="143"/>
      <c r="AY653" s="143"/>
      <c r="AZ653" s="143"/>
      <c r="BA653" s="143"/>
      <c r="BB653" s="143"/>
      <c r="BC653" s="144"/>
    </row>
    <row r="654" spans="29:55" ht="15">
      <c r="AL654" s="135"/>
      <c r="AM654" s="136"/>
      <c r="AN654" s="137"/>
      <c r="AO654" s="138"/>
      <c r="AV654" s="149"/>
      <c r="AW654" s="142"/>
      <c r="AX654" s="143"/>
      <c r="AY654" s="143"/>
      <c r="AZ654" s="143"/>
      <c r="BA654" s="143"/>
      <c r="BB654" s="143"/>
      <c r="BC654" s="144"/>
    </row>
    <row r="655" spans="29:55" ht="15">
      <c r="AL655" s="135"/>
      <c r="AM655" s="136"/>
      <c r="AN655" s="137"/>
      <c r="AO655" s="138"/>
      <c r="AV655" s="149"/>
      <c r="AW655" s="142"/>
      <c r="AX655" s="143"/>
      <c r="AY655" s="143"/>
      <c r="AZ655" s="143"/>
      <c r="BA655" s="143"/>
      <c r="BB655" s="143"/>
      <c r="BC655" s="144"/>
    </row>
    <row r="656" spans="29:55" ht="15">
      <c r="AC656" s="132"/>
      <c r="AE656" s="151"/>
      <c r="AF656" s="151"/>
      <c r="AG656" s="151"/>
      <c r="AL656" s="135"/>
      <c r="AM656" s="136"/>
      <c r="AN656" s="137"/>
      <c r="AO656" s="138"/>
      <c r="AV656" s="149"/>
      <c r="AW656" s="142"/>
      <c r="AX656" s="143"/>
      <c r="AY656" s="143"/>
      <c r="AZ656" s="143"/>
      <c r="BA656" s="143"/>
      <c r="BB656" s="143"/>
      <c r="BC656" s="144"/>
    </row>
    <row r="657" spans="29:55" ht="15">
      <c r="AC657" s="132"/>
      <c r="AE657" s="151"/>
      <c r="AF657" s="151"/>
      <c r="AG657" s="151"/>
      <c r="AL657" s="135"/>
      <c r="AM657" s="136"/>
      <c r="AN657" s="137"/>
      <c r="AO657" s="138"/>
      <c r="AV657" s="149"/>
      <c r="AW657" s="142"/>
      <c r="AX657" s="143"/>
      <c r="AY657" s="143"/>
      <c r="AZ657" s="143"/>
      <c r="BA657" s="143"/>
      <c r="BB657" s="143"/>
      <c r="BC657" s="144"/>
    </row>
    <row r="658" spans="29:55" ht="15">
      <c r="AC658" s="146"/>
      <c r="AE658" s="151"/>
      <c r="AF658" s="151"/>
      <c r="AG658" s="151"/>
      <c r="AL658" s="135"/>
      <c r="AM658" s="136"/>
      <c r="AN658" s="137"/>
      <c r="AO658" s="138"/>
      <c r="AV658" s="149"/>
      <c r="AW658" s="142"/>
      <c r="AX658" s="143"/>
      <c r="AY658" s="143"/>
      <c r="AZ658" s="143"/>
      <c r="BA658" s="143"/>
      <c r="BB658" s="143"/>
      <c r="BC658" s="144"/>
    </row>
    <row r="659" spans="29:55" ht="15">
      <c r="AC659" s="132"/>
      <c r="AE659" s="151"/>
      <c r="AF659" s="151"/>
      <c r="AG659" s="151"/>
      <c r="AL659" s="135"/>
      <c r="AM659" s="136"/>
      <c r="AN659" s="137"/>
      <c r="AO659" s="138"/>
      <c r="AV659" s="149"/>
      <c r="AW659" s="142"/>
      <c r="AX659" s="143"/>
      <c r="AY659" s="143"/>
      <c r="AZ659" s="143"/>
      <c r="BA659" s="143"/>
      <c r="BB659" s="143"/>
      <c r="BC659" s="144"/>
    </row>
    <row r="660" spans="29:55" ht="15">
      <c r="AC660" s="132"/>
      <c r="AE660" s="151"/>
      <c r="AF660" s="151"/>
      <c r="AG660" s="151"/>
      <c r="AL660" s="135"/>
      <c r="AM660" s="136"/>
      <c r="AN660" s="137"/>
      <c r="AO660" s="138"/>
      <c r="AV660" s="149"/>
      <c r="AW660" s="142"/>
      <c r="AX660" s="143"/>
      <c r="AY660" s="143"/>
      <c r="AZ660" s="143"/>
      <c r="BA660" s="143"/>
      <c r="BB660" s="143"/>
      <c r="BC660" s="144"/>
    </row>
    <row r="661" spans="29:55" ht="15">
      <c r="AC661" s="132"/>
      <c r="AE661" s="151"/>
      <c r="AF661" s="151"/>
      <c r="AG661" s="151"/>
      <c r="AL661" s="135"/>
      <c r="AM661" s="136"/>
      <c r="AN661" s="137"/>
      <c r="AO661" s="138"/>
      <c r="AV661" s="149"/>
      <c r="AW661" s="142"/>
      <c r="AX661" s="143"/>
      <c r="AY661" s="143"/>
      <c r="AZ661" s="143"/>
      <c r="BA661" s="143"/>
      <c r="BB661" s="143"/>
      <c r="BC661" s="144"/>
    </row>
    <row r="662" spans="29:55" ht="15">
      <c r="AC662" s="132"/>
      <c r="AE662" s="151"/>
      <c r="AF662" s="151"/>
      <c r="AG662" s="151"/>
      <c r="AL662" s="135"/>
      <c r="AM662" s="136"/>
      <c r="AN662" s="137"/>
      <c r="AO662" s="138"/>
      <c r="AV662" s="149"/>
      <c r="AW662" s="142"/>
      <c r="AX662" s="143"/>
      <c r="AY662" s="143"/>
      <c r="AZ662" s="143"/>
      <c r="BA662" s="143"/>
      <c r="BB662" s="143"/>
      <c r="BC662" s="144"/>
    </row>
    <row r="663" spans="29:55" ht="15">
      <c r="AC663" s="132"/>
      <c r="AE663" s="151"/>
      <c r="AF663" s="151"/>
      <c r="AG663" s="151"/>
      <c r="AL663" s="135"/>
      <c r="AM663" s="136"/>
      <c r="AN663" s="137"/>
      <c r="AO663" s="138"/>
      <c r="AV663" s="149"/>
      <c r="AW663" s="142"/>
      <c r="AX663" s="143"/>
      <c r="AY663" s="143"/>
      <c r="AZ663" s="143"/>
      <c r="BA663" s="143"/>
      <c r="BB663" s="143"/>
      <c r="BC663" s="144"/>
    </row>
    <row r="664" spans="29:55" ht="15">
      <c r="AC664" s="132"/>
      <c r="AE664" s="151"/>
      <c r="AF664" s="151"/>
      <c r="AG664" s="151"/>
      <c r="AL664" s="135"/>
      <c r="AM664" s="136"/>
      <c r="AN664" s="137"/>
      <c r="AO664" s="138"/>
      <c r="AV664" s="149"/>
      <c r="AW664" s="142"/>
      <c r="AX664" s="143"/>
      <c r="AY664" s="143"/>
      <c r="AZ664" s="143"/>
      <c r="BA664" s="143"/>
      <c r="BB664" s="143"/>
      <c r="BC664" s="144"/>
    </row>
    <row r="665" spans="29:55" ht="15">
      <c r="AC665" s="132"/>
      <c r="AE665" s="151"/>
      <c r="AF665" s="151"/>
      <c r="AG665" s="151"/>
      <c r="AL665" s="135"/>
      <c r="AM665" s="136"/>
      <c r="AN665" s="137"/>
      <c r="AO665" s="138"/>
      <c r="AV665" s="149"/>
      <c r="AW665" s="142"/>
      <c r="AX665" s="143"/>
      <c r="AY665" s="143"/>
      <c r="AZ665" s="143"/>
      <c r="BA665" s="143"/>
      <c r="BB665" s="143"/>
      <c r="BC665" s="144"/>
    </row>
    <row r="666" spans="29:55" ht="15">
      <c r="AC666" s="132"/>
      <c r="AE666" s="151"/>
      <c r="AF666" s="151"/>
      <c r="AG666" s="151"/>
      <c r="AL666" s="135"/>
      <c r="AM666" s="136"/>
      <c r="AN666" s="137"/>
      <c r="AO666" s="138"/>
      <c r="AV666" s="149"/>
      <c r="AW666" s="142"/>
      <c r="AX666" s="143"/>
      <c r="AY666" s="143"/>
      <c r="AZ666" s="143"/>
      <c r="BA666" s="143"/>
      <c r="BB666" s="143"/>
      <c r="BC666" s="144"/>
    </row>
    <row r="667" spans="29:55" ht="15">
      <c r="AC667" s="132"/>
      <c r="AE667" s="151"/>
      <c r="AF667" s="151"/>
      <c r="AG667" s="151"/>
      <c r="AL667" s="135"/>
      <c r="AM667" s="136"/>
      <c r="AN667" s="137"/>
      <c r="AO667" s="138"/>
      <c r="AV667" s="149"/>
      <c r="AW667" s="142"/>
      <c r="AX667" s="143"/>
      <c r="AY667" s="143"/>
      <c r="AZ667" s="143"/>
      <c r="BA667" s="143"/>
      <c r="BB667" s="143"/>
      <c r="BC667" s="144"/>
    </row>
    <row r="668" spans="29:55" ht="15">
      <c r="AC668" s="132"/>
      <c r="AE668" s="151"/>
      <c r="AF668" s="151"/>
      <c r="AG668" s="151"/>
      <c r="AL668" s="135"/>
      <c r="AM668" s="136"/>
      <c r="AN668" s="137"/>
      <c r="AO668" s="138"/>
      <c r="AV668" s="149"/>
      <c r="AW668" s="142"/>
      <c r="AX668" s="143"/>
      <c r="AY668" s="143"/>
      <c r="AZ668" s="143"/>
      <c r="BA668" s="143"/>
      <c r="BB668" s="143"/>
      <c r="BC668" s="144"/>
    </row>
    <row r="669" spans="29:55" ht="15">
      <c r="AC669" s="132"/>
      <c r="AE669" s="151"/>
      <c r="AF669" s="151"/>
      <c r="AG669" s="151"/>
      <c r="AL669" s="135"/>
      <c r="AM669" s="136"/>
      <c r="AN669" s="137"/>
      <c r="AO669" s="138"/>
      <c r="AV669" s="149"/>
      <c r="AW669" s="142"/>
      <c r="AX669" s="143"/>
      <c r="AY669" s="143"/>
      <c r="AZ669" s="143"/>
      <c r="BA669" s="143"/>
      <c r="BB669" s="143"/>
      <c r="BC669" s="144"/>
    </row>
    <row r="670" spans="29:55" ht="15">
      <c r="AC670" s="132"/>
      <c r="AE670" s="151"/>
      <c r="AF670" s="151"/>
      <c r="AG670" s="151"/>
      <c r="AL670" s="135"/>
      <c r="AM670" s="136"/>
      <c r="AN670" s="137"/>
      <c r="AO670" s="138"/>
      <c r="AV670" s="149"/>
      <c r="AW670" s="142"/>
      <c r="AX670" s="143"/>
      <c r="AY670" s="143"/>
      <c r="AZ670" s="143"/>
      <c r="BA670" s="143"/>
      <c r="BB670" s="143"/>
      <c r="BC670" s="144"/>
    </row>
    <row r="671" spans="29:55" ht="15">
      <c r="AC671" s="132"/>
      <c r="AE671" s="151"/>
      <c r="AF671" s="151"/>
      <c r="AG671" s="151"/>
      <c r="AL671" s="135"/>
      <c r="AM671" s="136"/>
      <c r="AN671" s="137"/>
      <c r="AO671" s="138"/>
      <c r="AV671" s="149"/>
      <c r="AW671" s="142"/>
      <c r="AX671" s="143"/>
      <c r="AY671" s="143"/>
      <c r="AZ671" s="143"/>
      <c r="BA671" s="143"/>
      <c r="BB671" s="143"/>
      <c r="BC671" s="144"/>
    </row>
    <row r="672" spans="29:55" ht="15">
      <c r="AC672" s="132"/>
      <c r="AE672" s="151"/>
      <c r="AF672" s="151"/>
      <c r="AG672" s="151"/>
      <c r="AL672" s="135"/>
      <c r="AM672" s="136"/>
      <c r="AN672" s="137"/>
      <c r="AO672" s="138"/>
      <c r="AV672" s="149"/>
      <c r="AW672" s="142"/>
      <c r="AX672" s="143"/>
      <c r="AY672" s="143"/>
      <c r="AZ672" s="143"/>
      <c r="BA672" s="143"/>
      <c r="BB672" s="143"/>
      <c r="BC672" s="144"/>
    </row>
    <row r="673" spans="29:55" ht="15">
      <c r="AC673"/>
      <c r="AL673" s="135"/>
      <c r="AM673" s="136"/>
      <c r="AN673" s="137"/>
      <c r="AO673" s="138"/>
      <c r="AV673" s="149"/>
      <c r="AW673" s="142"/>
      <c r="AX673" s="143"/>
      <c r="AY673" s="143"/>
      <c r="AZ673" s="143"/>
      <c r="BA673" s="143"/>
      <c r="BB673" s="143"/>
      <c r="BC673" s="144"/>
    </row>
    <row r="674" spans="29:55" ht="15">
      <c r="AC674"/>
      <c r="AL674" s="135"/>
      <c r="AM674" s="136"/>
      <c r="AN674" s="137"/>
      <c r="AO674" s="138"/>
      <c r="AV674" s="149"/>
      <c r="AW674" s="142"/>
      <c r="AX674" s="143"/>
      <c r="AY674" s="143"/>
      <c r="AZ674" s="143"/>
      <c r="BA674" s="143"/>
      <c r="BB674" s="143"/>
      <c r="BC674" s="144"/>
    </row>
    <row r="675" spans="29:55" ht="15">
      <c r="AC675"/>
      <c r="AL675" s="135"/>
      <c r="AM675" s="136"/>
      <c r="AN675" s="137"/>
      <c r="AO675" s="138"/>
      <c r="AV675" s="149"/>
      <c r="AW675" s="142"/>
      <c r="AX675" s="143"/>
      <c r="AY675" s="143"/>
      <c r="AZ675" s="143"/>
      <c r="BA675" s="143"/>
      <c r="BB675" s="143"/>
      <c r="BC675" s="144"/>
    </row>
    <row r="676" spans="29:55" ht="15">
      <c r="AC676"/>
      <c r="AL676" s="135"/>
      <c r="AM676" s="136"/>
      <c r="AN676" s="137"/>
      <c r="AO676" s="138"/>
      <c r="AV676" s="149"/>
      <c r="AW676" s="142"/>
      <c r="AX676" s="143"/>
      <c r="AY676" s="143"/>
      <c r="AZ676" s="143"/>
      <c r="BA676" s="143"/>
      <c r="BB676" s="143"/>
      <c r="BC676" s="144"/>
    </row>
    <row r="677" spans="29:55" ht="15">
      <c r="AC677"/>
      <c r="AL677" s="135"/>
      <c r="AM677" s="136"/>
      <c r="AN677" s="137"/>
      <c r="AO677" s="138"/>
      <c r="AV677" s="149"/>
      <c r="AW677" s="142"/>
      <c r="AX677" s="143"/>
      <c r="AY677" s="143"/>
      <c r="AZ677" s="143"/>
      <c r="BA677" s="143"/>
      <c r="BB677" s="143"/>
      <c r="BC677" s="144"/>
    </row>
    <row r="678" spans="29:55" ht="15">
      <c r="AC678"/>
      <c r="AL678" s="135"/>
      <c r="AM678" s="136"/>
      <c r="AN678" s="137"/>
      <c r="AO678" s="138"/>
      <c r="AV678" s="149"/>
      <c r="AW678" s="142"/>
      <c r="AX678" s="143"/>
      <c r="AY678" s="143"/>
      <c r="AZ678" s="143"/>
      <c r="BA678" s="143"/>
      <c r="BB678" s="143"/>
      <c r="BC678" s="144"/>
    </row>
    <row r="679" spans="29:55" ht="15">
      <c r="AC679"/>
      <c r="AL679" s="135"/>
      <c r="AM679" s="136"/>
      <c r="AN679" s="137"/>
      <c r="AO679" s="138"/>
      <c r="AV679" s="149"/>
      <c r="AW679" s="142"/>
      <c r="AX679" s="143"/>
      <c r="AY679" s="143"/>
      <c r="AZ679" s="143"/>
      <c r="BA679" s="143"/>
      <c r="BB679" s="143"/>
      <c r="BC679" s="144"/>
    </row>
    <row r="680" spans="29:55" ht="15">
      <c r="AC680"/>
      <c r="AL680" s="135"/>
      <c r="AM680" s="136"/>
      <c r="AN680" s="137"/>
      <c r="AO680" s="138"/>
      <c r="AV680" s="149"/>
      <c r="AW680" s="142"/>
      <c r="AX680" s="143"/>
      <c r="AY680" s="143"/>
      <c r="AZ680" s="143"/>
      <c r="BA680" s="143"/>
      <c r="BB680" s="143"/>
      <c r="BC680" s="144"/>
    </row>
    <row r="681" spans="29:55" ht="15">
      <c r="AC681"/>
      <c r="AL681" s="135"/>
      <c r="AM681" s="136"/>
      <c r="AN681" s="137"/>
      <c r="AO681" s="138"/>
      <c r="AV681" s="149"/>
      <c r="AW681" s="142"/>
      <c r="AX681" s="143"/>
      <c r="AY681" s="143"/>
      <c r="AZ681" s="143"/>
      <c r="BA681" s="143"/>
      <c r="BB681" s="143"/>
      <c r="BC681" s="144"/>
    </row>
    <row r="682" spans="29:55" ht="15">
      <c r="AC682"/>
      <c r="AL682" s="135"/>
      <c r="AM682" s="136"/>
      <c r="AN682" s="137"/>
      <c r="AO682" s="138"/>
      <c r="AV682" s="149"/>
      <c r="AW682" s="142"/>
      <c r="AX682" s="143"/>
      <c r="AY682" s="143"/>
      <c r="AZ682" s="143"/>
      <c r="BA682" s="143"/>
      <c r="BB682" s="143"/>
      <c r="BC682" s="144"/>
    </row>
    <row r="683" spans="29:55" ht="15">
      <c r="AC683"/>
      <c r="AL683" s="135"/>
      <c r="AM683" s="136"/>
      <c r="AN683" s="137"/>
      <c r="AO683" s="138"/>
      <c r="AV683" s="149"/>
      <c r="AW683" s="142"/>
      <c r="AX683" s="143"/>
      <c r="AY683" s="143"/>
      <c r="AZ683" s="143"/>
      <c r="BA683" s="143"/>
      <c r="BB683" s="143"/>
      <c r="BC683" s="144"/>
    </row>
    <row r="684" spans="29:55" ht="15">
      <c r="AC684"/>
      <c r="AL684" s="135"/>
      <c r="AM684" s="136"/>
      <c r="AN684" s="137"/>
      <c r="AO684" s="138"/>
      <c r="AV684" s="149"/>
      <c r="AW684" s="142"/>
      <c r="AX684" s="143"/>
      <c r="AY684" s="143"/>
      <c r="AZ684" s="143"/>
      <c r="BA684" s="143"/>
      <c r="BB684" s="143"/>
      <c r="BC684" s="144"/>
    </row>
    <row r="685" spans="29:55" ht="15">
      <c r="AC685"/>
      <c r="AL685" s="135"/>
      <c r="AM685" s="136"/>
      <c r="AN685" s="137"/>
      <c r="AO685" s="138"/>
      <c r="AV685" s="149"/>
      <c r="AW685" s="142"/>
      <c r="AX685" s="143"/>
      <c r="AY685" s="143"/>
      <c r="AZ685" s="143"/>
      <c r="BA685" s="143"/>
      <c r="BB685" s="143"/>
      <c r="BC685" s="144"/>
    </row>
    <row r="686" spans="29:55" ht="15">
      <c r="AC686"/>
      <c r="AL686" s="135"/>
      <c r="AM686" s="136"/>
      <c r="AN686" s="137"/>
      <c r="AO686" s="138"/>
      <c r="AV686" s="149"/>
      <c r="AW686" s="142"/>
      <c r="AX686" s="143"/>
      <c r="AY686" s="143"/>
      <c r="AZ686" s="143"/>
      <c r="BA686" s="143"/>
      <c r="BB686" s="143"/>
      <c r="BC686" s="144"/>
    </row>
    <row r="687" spans="29:55" ht="15">
      <c r="AC687"/>
      <c r="AL687" s="135"/>
      <c r="AM687" s="136"/>
      <c r="AN687" s="137"/>
      <c r="AO687" s="138"/>
      <c r="AV687" s="149"/>
      <c r="AW687" s="142"/>
      <c r="AX687" s="143"/>
      <c r="AY687" s="143"/>
      <c r="AZ687" s="143"/>
      <c r="BA687" s="143"/>
      <c r="BB687" s="143"/>
      <c r="BC687" s="144"/>
    </row>
    <row r="688" spans="29:55" ht="15">
      <c r="AC688"/>
      <c r="AL688" s="135"/>
      <c r="AM688" s="136"/>
      <c r="AN688" s="137"/>
      <c r="AO688" s="138"/>
      <c r="AV688" s="149"/>
      <c r="AW688" s="142"/>
      <c r="AX688" s="143"/>
      <c r="AY688" s="143"/>
      <c r="AZ688" s="143"/>
      <c r="BA688" s="143"/>
      <c r="BB688" s="143"/>
      <c r="BC688" s="144"/>
    </row>
    <row r="689" spans="29:55" ht="15">
      <c r="AC689" s="132"/>
      <c r="AL689" s="135"/>
      <c r="AM689" s="136"/>
      <c r="AN689" s="137"/>
      <c r="AO689" s="138"/>
      <c r="AV689" s="149"/>
      <c r="AW689" s="142"/>
      <c r="AX689" s="143"/>
      <c r="AY689" s="143"/>
      <c r="AZ689" s="143"/>
      <c r="BA689" s="143"/>
      <c r="BB689" s="143"/>
      <c r="BC689" s="144"/>
    </row>
    <row r="690" spans="29:55" ht="15">
      <c r="AC690" s="132"/>
      <c r="AL690" s="135"/>
      <c r="AM690" s="136"/>
      <c r="AN690" s="137"/>
      <c r="AO690" s="138"/>
      <c r="AV690" s="149"/>
      <c r="AW690" s="142"/>
      <c r="AX690" s="143"/>
      <c r="AY690" s="143"/>
      <c r="AZ690" s="143"/>
      <c r="BA690" s="143"/>
      <c r="BB690" s="143"/>
      <c r="BC690" s="144"/>
    </row>
    <row r="691" spans="29:55" ht="15">
      <c r="AC691" s="132"/>
      <c r="AL691" s="135"/>
      <c r="AM691" s="136"/>
      <c r="AN691" s="137"/>
      <c r="AO691" s="138"/>
      <c r="AV691" s="149"/>
      <c r="AW691" s="142"/>
      <c r="AX691" s="143"/>
      <c r="AY691" s="143"/>
      <c r="AZ691" s="143"/>
      <c r="BA691" s="143"/>
      <c r="BB691" s="143"/>
      <c r="BC691" s="144"/>
    </row>
    <row r="692" spans="29:55" ht="15">
      <c r="AC692" s="132"/>
      <c r="AL692" s="135"/>
      <c r="AM692" s="136"/>
      <c r="AN692" s="137"/>
      <c r="AO692" s="138"/>
      <c r="AV692" s="149"/>
      <c r="AW692" s="142"/>
      <c r="AX692" s="143"/>
      <c r="AY692" s="143"/>
      <c r="AZ692" s="143"/>
      <c r="BA692" s="143"/>
      <c r="BB692" s="143"/>
      <c r="BC692" s="144"/>
    </row>
    <row r="693" spans="29:55" ht="15">
      <c r="AC693" s="132"/>
      <c r="AL693" s="135"/>
      <c r="AM693" s="136"/>
      <c r="AN693" s="137"/>
      <c r="AO693" s="138"/>
      <c r="AV693" s="149"/>
      <c r="AW693" s="142"/>
      <c r="AX693" s="143"/>
      <c r="AY693" s="143"/>
      <c r="AZ693" s="143"/>
      <c r="BA693" s="143"/>
      <c r="BB693" s="143"/>
      <c r="BC693" s="144"/>
    </row>
    <row r="694" spans="29:55" ht="15">
      <c r="AC694"/>
      <c r="AL694" s="135"/>
      <c r="AM694" s="136"/>
      <c r="AN694" s="137"/>
      <c r="AO694" s="138"/>
      <c r="AV694" s="149"/>
      <c r="AW694" s="142"/>
      <c r="AX694" s="143"/>
      <c r="AY694" s="143"/>
      <c r="AZ694" s="143"/>
      <c r="BA694" s="143"/>
      <c r="BB694" s="143"/>
      <c r="BC694" s="144"/>
    </row>
    <row r="695" spans="29:55" ht="15">
      <c r="AC695" s="132"/>
      <c r="AL695" s="135"/>
      <c r="AM695" s="136"/>
      <c r="AN695" s="137"/>
      <c r="AO695" s="138"/>
      <c r="AV695" s="149"/>
      <c r="AW695" s="142"/>
      <c r="AX695" s="143"/>
      <c r="AY695" s="143"/>
      <c r="AZ695" s="143"/>
      <c r="BA695" s="143"/>
      <c r="BB695" s="143"/>
      <c r="BC695" s="144"/>
    </row>
    <row r="696" spans="29:55" ht="15">
      <c r="AC696" s="132"/>
      <c r="AL696" s="135"/>
      <c r="AM696" s="136"/>
      <c r="AN696" s="137"/>
      <c r="AO696" s="138"/>
      <c r="AV696" s="149"/>
      <c r="AW696" s="142"/>
      <c r="AX696" s="143"/>
      <c r="AY696" s="143"/>
      <c r="AZ696" s="143"/>
      <c r="BA696" s="143"/>
      <c r="BB696" s="143"/>
      <c r="BC696" s="144"/>
    </row>
    <row r="697" spans="29:55" ht="15">
      <c r="AC697" s="132"/>
      <c r="AL697" s="135"/>
      <c r="AM697" s="136"/>
      <c r="AN697" s="137"/>
      <c r="AO697" s="138"/>
      <c r="AV697" s="149"/>
      <c r="AW697" s="142"/>
      <c r="AX697" s="143"/>
      <c r="AY697" s="143"/>
      <c r="AZ697" s="143"/>
      <c r="BA697" s="143"/>
      <c r="BB697" s="143"/>
      <c r="BC697" s="144"/>
    </row>
    <row r="698" spans="29:55" ht="15">
      <c r="AC698" s="132"/>
      <c r="AL698" s="135"/>
      <c r="AM698" s="136"/>
      <c r="AN698" s="137"/>
      <c r="AO698" s="138"/>
      <c r="AV698" s="149"/>
      <c r="AW698" s="142"/>
      <c r="AX698" s="143"/>
      <c r="AY698" s="143"/>
      <c r="AZ698" s="143"/>
      <c r="BA698" s="143"/>
      <c r="BB698" s="143"/>
      <c r="BC698" s="144"/>
    </row>
    <row r="699" spans="29:55" ht="15">
      <c r="AC699" s="132"/>
      <c r="AL699" s="135"/>
      <c r="AM699" s="136"/>
      <c r="AN699" s="137"/>
      <c r="AO699" s="138"/>
      <c r="AV699" s="149"/>
      <c r="AW699" s="142"/>
      <c r="AX699" s="143"/>
      <c r="AY699" s="143"/>
      <c r="AZ699" s="143"/>
      <c r="BA699" s="143"/>
      <c r="BB699" s="143"/>
      <c r="BC699" s="144"/>
    </row>
    <row r="700" spans="29:55" ht="15">
      <c r="AL700" s="135"/>
      <c r="AM700" s="136"/>
      <c r="AN700" s="137"/>
      <c r="AO700" s="138"/>
      <c r="AV700" s="149"/>
      <c r="AW700" s="142"/>
      <c r="AX700" s="143"/>
      <c r="AY700" s="143"/>
      <c r="AZ700" s="143"/>
      <c r="BA700" s="143"/>
      <c r="BB700" s="143"/>
      <c r="BC700" s="144"/>
    </row>
    <row r="701" spans="29:55" ht="15">
      <c r="AC701"/>
      <c r="AL701" s="135"/>
      <c r="AM701" s="136"/>
      <c r="AN701" s="137"/>
      <c r="AO701" s="138"/>
      <c r="AV701" s="149"/>
      <c r="AW701" s="142"/>
      <c r="AX701" s="143"/>
      <c r="AY701" s="143"/>
      <c r="AZ701" s="143"/>
      <c r="BA701" s="143"/>
      <c r="BB701" s="143"/>
      <c r="BC701" s="144"/>
    </row>
    <row r="702" spans="29:55" ht="15">
      <c r="AC702" s="152"/>
      <c r="AD702" s="152"/>
      <c r="AE702" s="152"/>
      <c r="AF702" s="152"/>
      <c r="AG702" s="152"/>
      <c r="AL702" s="135"/>
      <c r="AM702" s="136"/>
      <c r="AN702" s="137"/>
      <c r="AO702" s="138"/>
      <c r="AV702" s="149"/>
      <c r="AW702" s="142"/>
      <c r="AX702" s="143"/>
      <c r="AY702" s="143"/>
      <c r="AZ702" s="143"/>
      <c r="BA702" s="143"/>
      <c r="BB702" s="143"/>
      <c r="BC702" s="144"/>
    </row>
    <row r="703" spans="29:55" ht="15">
      <c r="AC703" s="152"/>
      <c r="AD703" s="152"/>
      <c r="AE703" s="152"/>
      <c r="AF703" s="152"/>
      <c r="AG703" s="152"/>
      <c r="AL703" s="135"/>
      <c r="AM703" s="136"/>
      <c r="AN703" s="137"/>
      <c r="AO703" s="138"/>
      <c r="AV703" s="149"/>
      <c r="AW703" s="142"/>
      <c r="AX703" s="143"/>
      <c r="AY703" s="143"/>
      <c r="AZ703" s="143"/>
      <c r="BA703" s="143"/>
      <c r="BB703" s="143"/>
      <c r="BC703" s="144"/>
    </row>
    <row r="704" spans="29:55" ht="15">
      <c r="AC704" s="152"/>
      <c r="AD704" s="152"/>
      <c r="AE704" s="152"/>
      <c r="AF704" s="152"/>
      <c r="AG704" s="152"/>
      <c r="AL704" s="135"/>
      <c r="AM704" s="136"/>
      <c r="AN704" s="137"/>
      <c r="AO704" s="138"/>
      <c r="AV704" s="149"/>
      <c r="AW704" s="142"/>
      <c r="AX704" s="143"/>
      <c r="AY704" s="143"/>
      <c r="AZ704" s="143"/>
      <c r="BA704" s="143"/>
      <c r="BB704" s="143"/>
      <c r="BC704" s="144"/>
    </row>
    <row r="705" spans="29:55" ht="15">
      <c r="AC705" s="152"/>
      <c r="AD705" s="152"/>
      <c r="AE705" s="152"/>
      <c r="AF705" s="152"/>
      <c r="AG705" s="152"/>
      <c r="AL705" s="135"/>
      <c r="AM705" s="136"/>
      <c r="AN705" s="137"/>
      <c r="AO705" s="138"/>
      <c r="AV705" s="149"/>
      <c r="AW705" s="142"/>
      <c r="AX705" s="143"/>
      <c r="AY705" s="143"/>
      <c r="AZ705" s="143"/>
      <c r="BA705" s="143"/>
      <c r="BB705" s="143"/>
      <c r="BC705" s="144"/>
    </row>
    <row r="706" spans="29:55" ht="15">
      <c r="AC706" s="152"/>
      <c r="AD706" s="152"/>
      <c r="AE706" s="152"/>
      <c r="AF706" s="152"/>
      <c r="AG706" s="152"/>
      <c r="AL706" s="135"/>
      <c r="AM706" s="136"/>
      <c r="AN706" s="137"/>
      <c r="AO706" s="138"/>
      <c r="AV706" s="149"/>
      <c r="AW706" s="142"/>
      <c r="AX706" s="143"/>
      <c r="AY706" s="143"/>
      <c r="AZ706" s="143"/>
      <c r="BA706" s="143"/>
      <c r="BB706" s="143"/>
      <c r="BC706" s="144"/>
    </row>
    <row r="707" spans="29:55" ht="15">
      <c r="AC707" s="152"/>
      <c r="AD707" s="152"/>
      <c r="AE707" s="152"/>
      <c r="AF707" s="152"/>
      <c r="AG707" s="152"/>
      <c r="AL707" s="135"/>
      <c r="AM707" s="136"/>
      <c r="AN707" s="137"/>
      <c r="AO707" s="138"/>
      <c r="AV707" s="149"/>
      <c r="AW707" s="142"/>
      <c r="AX707" s="143"/>
      <c r="AY707" s="143"/>
      <c r="AZ707" s="143"/>
      <c r="BA707" s="143"/>
      <c r="BB707" s="143"/>
      <c r="BC707" s="144"/>
    </row>
    <row r="708" spans="29:55" ht="15">
      <c r="AC708" s="152"/>
      <c r="AD708" s="152"/>
      <c r="AE708" s="152"/>
      <c r="AF708" s="152"/>
      <c r="AG708" s="152"/>
      <c r="AL708" s="135"/>
      <c r="AM708" s="136"/>
      <c r="AN708" s="137"/>
      <c r="AO708" s="138"/>
      <c r="AV708" s="149"/>
      <c r="AW708" s="142"/>
      <c r="AX708" s="143"/>
      <c r="AY708" s="143"/>
      <c r="AZ708" s="143"/>
      <c r="BA708" s="143"/>
      <c r="BB708" s="143"/>
      <c r="BC708" s="144"/>
    </row>
    <row r="709" spans="29:55" ht="15">
      <c r="AC709" s="152"/>
      <c r="AD709" s="152"/>
      <c r="AE709" s="152"/>
      <c r="AF709" s="152"/>
      <c r="AG709" s="152"/>
      <c r="AL709" s="135"/>
      <c r="AM709" s="136"/>
      <c r="AN709" s="137"/>
      <c r="AO709" s="138"/>
      <c r="AV709" s="149"/>
      <c r="AW709" s="142"/>
      <c r="AX709" s="143"/>
      <c r="AY709" s="143"/>
      <c r="AZ709" s="143"/>
      <c r="BA709" s="143"/>
      <c r="BB709" s="143"/>
      <c r="BC709" s="144"/>
    </row>
    <row r="710" spans="29:55" ht="15">
      <c r="AC710" s="152"/>
      <c r="AD710" s="152"/>
      <c r="AE710" s="152"/>
      <c r="AF710" s="152"/>
      <c r="AG710" s="152"/>
      <c r="AL710" s="135"/>
      <c r="AM710" s="136"/>
      <c r="AN710" s="137"/>
      <c r="AO710" s="138"/>
      <c r="AV710" s="149"/>
      <c r="AW710" s="142"/>
      <c r="AX710" s="143"/>
      <c r="AY710" s="143"/>
      <c r="AZ710" s="143"/>
      <c r="BA710" s="143"/>
      <c r="BB710" s="143"/>
      <c r="BC710" s="144"/>
    </row>
    <row r="711" spans="29:55" ht="15">
      <c r="AC711" s="152"/>
      <c r="AD711" s="152"/>
      <c r="AE711" s="152"/>
      <c r="AF711" s="152"/>
      <c r="AG711" s="152"/>
      <c r="AL711" s="135"/>
      <c r="AM711" s="136"/>
      <c r="AN711" s="137"/>
      <c r="AO711" s="138"/>
      <c r="AV711" s="149"/>
      <c r="AW711" s="142"/>
      <c r="AX711" s="143"/>
      <c r="AY711" s="143"/>
      <c r="AZ711" s="143"/>
      <c r="BA711" s="143"/>
      <c r="BB711" s="143"/>
      <c r="BC711" s="144"/>
    </row>
    <row r="712" spans="29:55" ht="15">
      <c r="AC712" s="152"/>
      <c r="AD712" s="152"/>
      <c r="AE712" s="152"/>
      <c r="AF712" s="152"/>
      <c r="AG712" s="152"/>
      <c r="AL712" s="135"/>
      <c r="AM712" s="136"/>
      <c r="AN712" s="137"/>
      <c r="AO712" s="138"/>
      <c r="AV712" s="149"/>
      <c r="AW712" s="142"/>
      <c r="AX712" s="143"/>
      <c r="AY712" s="143"/>
      <c r="AZ712" s="143"/>
      <c r="BA712" s="143"/>
      <c r="BB712" s="143"/>
      <c r="BC712" s="144"/>
    </row>
    <row r="713" spans="29:55" ht="15">
      <c r="AC713" s="152"/>
      <c r="AD713" s="152"/>
      <c r="AE713" s="152"/>
      <c r="AF713" s="152"/>
      <c r="AG713" s="152"/>
      <c r="AL713" s="135"/>
      <c r="AM713" s="136"/>
      <c r="AN713" s="137"/>
      <c r="AO713" s="138"/>
      <c r="AV713" s="149"/>
      <c r="AW713" s="142"/>
      <c r="AX713" s="143"/>
      <c r="AY713" s="143"/>
      <c r="AZ713" s="143"/>
      <c r="BA713" s="143"/>
      <c r="BB713" s="143"/>
      <c r="BC713" s="144"/>
    </row>
    <row r="714" spans="29:55" ht="15">
      <c r="AC714" s="152"/>
      <c r="AD714" s="152"/>
      <c r="AE714" s="152"/>
      <c r="AF714" s="152"/>
      <c r="AG714" s="152"/>
      <c r="AL714" s="135"/>
      <c r="AM714" s="136"/>
      <c r="AN714" s="137"/>
      <c r="AO714" s="138"/>
      <c r="AV714" s="149"/>
      <c r="AW714" s="142"/>
      <c r="AX714" s="143"/>
      <c r="AY714" s="143"/>
      <c r="AZ714" s="143"/>
      <c r="BA714" s="143"/>
      <c r="BB714" s="143"/>
      <c r="BC714" s="144"/>
    </row>
    <row r="715" spans="29:55" ht="15">
      <c r="AC715" s="152"/>
      <c r="AD715" s="152"/>
      <c r="AE715" s="152"/>
      <c r="AF715" s="152"/>
      <c r="AG715" s="152"/>
      <c r="AL715" s="135"/>
      <c r="AM715" s="136"/>
      <c r="AN715" s="137"/>
      <c r="AO715" s="138"/>
      <c r="AV715" s="149"/>
      <c r="AW715" s="142"/>
      <c r="AX715" s="143"/>
      <c r="AY715" s="143"/>
      <c r="AZ715" s="143"/>
      <c r="BA715" s="143"/>
      <c r="BB715" s="143"/>
      <c r="BC715" s="144"/>
    </row>
    <row r="716" spans="29:55" ht="15">
      <c r="AC716" s="152"/>
      <c r="AD716" s="152"/>
      <c r="AE716" s="152"/>
      <c r="AF716" s="152"/>
      <c r="AG716" s="152"/>
      <c r="AL716" s="135"/>
      <c r="AM716" s="136"/>
      <c r="AN716" s="137"/>
      <c r="AO716" s="138"/>
      <c r="AV716" s="149"/>
      <c r="AW716" s="142"/>
      <c r="AX716" s="143"/>
      <c r="AY716" s="143"/>
      <c r="AZ716" s="143"/>
      <c r="BA716" s="143"/>
      <c r="BB716" s="143"/>
      <c r="BC716" s="144"/>
    </row>
    <row r="717" spans="29:55" ht="15">
      <c r="AC717" s="152"/>
      <c r="AD717" s="152"/>
      <c r="AE717" s="152"/>
      <c r="AF717" s="152"/>
      <c r="AG717" s="152"/>
      <c r="AL717" s="135"/>
      <c r="AM717" s="136"/>
      <c r="AN717" s="137"/>
      <c r="AO717" s="138"/>
      <c r="AV717" s="149"/>
      <c r="AW717" s="142"/>
      <c r="AX717" s="143"/>
      <c r="AY717" s="143"/>
      <c r="AZ717" s="143"/>
      <c r="BA717" s="143"/>
      <c r="BB717" s="143"/>
      <c r="BC717" s="144"/>
    </row>
    <row r="718" spans="29:55" ht="15">
      <c r="AC718" s="132"/>
      <c r="AL718" s="135"/>
      <c r="AM718" s="136"/>
      <c r="AN718" s="137"/>
      <c r="AO718" s="138"/>
      <c r="AV718" s="149"/>
      <c r="AW718" s="142"/>
      <c r="AX718" s="143"/>
      <c r="AY718" s="143"/>
      <c r="AZ718" s="143"/>
      <c r="BA718" s="143"/>
      <c r="BB718" s="143"/>
      <c r="BC718" s="144"/>
    </row>
    <row r="719" spans="29:55" ht="15">
      <c r="AC719" s="132"/>
      <c r="AL719" s="135"/>
      <c r="AM719" s="136"/>
      <c r="AN719" s="137"/>
      <c r="AO719" s="138"/>
      <c r="AV719" s="149"/>
      <c r="AW719" s="142"/>
      <c r="AX719" s="143"/>
      <c r="AY719" s="143"/>
      <c r="AZ719" s="143"/>
      <c r="BA719" s="143"/>
      <c r="BB719" s="143"/>
      <c r="BC719" s="144"/>
    </row>
    <row r="720" spans="29:55" ht="15">
      <c r="AC720" s="132"/>
      <c r="AL720" s="135"/>
      <c r="AM720" s="136"/>
      <c r="AN720" s="137"/>
      <c r="AO720" s="138"/>
      <c r="AV720" s="149"/>
      <c r="AW720" s="142"/>
      <c r="AX720" s="143"/>
      <c r="AY720" s="143"/>
      <c r="AZ720" s="143"/>
      <c r="BA720" s="143"/>
      <c r="BB720" s="143"/>
      <c r="BC720" s="144"/>
    </row>
    <row r="721" spans="29:55" ht="15">
      <c r="AC721" s="132"/>
      <c r="AL721" s="135"/>
      <c r="AM721" s="136"/>
      <c r="AN721" s="137"/>
      <c r="AO721" s="138"/>
      <c r="AV721" s="149"/>
      <c r="AW721" s="142"/>
      <c r="AX721" s="143"/>
      <c r="AY721" s="143"/>
      <c r="AZ721" s="143"/>
      <c r="BA721" s="143"/>
      <c r="BB721" s="143"/>
      <c r="BC721" s="144"/>
    </row>
    <row r="722" spans="29:55" ht="15">
      <c r="AC722" s="132"/>
      <c r="AL722" s="135"/>
      <c r="AM722" s="136"/>
      <c r="AN722" s="137"/>
      <c r="AO722" s="138"/>
      <c r="AV722" s="149"/>
      <c r="AW722" s="142"/>
      <c r="AX722" s="143"/>
      <c r="AY722" s="143"/>
      <c r="AZ722" s="143"/>
      <c r="BA722" s="143"/>
      <c r="BB722" s="143"/>
      <c r="BC722" s="144"/>
    </row>
    <row r="723" spans="29:55" ht="15">
      <c r="AC723" s="132"/>
      <c r="AL723" s="135"/>
      <c r="AM723" s="136"/>
      <c r="AN723" s="137"/>
      <c r="AO723" s="138"/>
      <c r="AV723" s="149"/>
      <c r="AW723" s="142"/>
      <c r="AX723" s="143"/>
      <c r="AY723" s="143"/>
      <c r="AZ723" s="143"/>
      <c r="BA723" s="143"/>
      <c r="BB723" s="143"/>
      <c r="BC723" s="144"/>
    </row>
    <row r="724" spans="29:55" ht="15">
      <c r="AC724" s="132"/>
      <c r="AL724" s="135"/>
      <c r="AM724" s="136"/>
      <c r="AN724" s="137"/>
      <c r="AO724" s="138"/>
      <c r="AV724" s="149"/>
      <c r="AW724" s="142"/>
      <c r="AX724" s="143"/>
      <c r="AY724" s="143"/>
      <c r="AZ724" s="143"/>
      <c r="BA724" s="143"/>
      <c r="BB724" s="143"/>
      <c r="BC724" s="144"/>
    </row>
    <row r="725" spans="29:55" ht="15">
      <c r="AC725" s="132"/>
      <c r="AL725" s="135"/>
      <c r="AM725" s="136"/>
      <c r="AN725" s="137"/>
      <c r="AO725" s="138"/>
      <c r="AV725" s="149"/>
      <c r="AW725" s="142"/>
      <c r="AX725" s="143"/>
      <c r="AY725" s="143"/>
      <c r="AZ725" s="143"/>
      <c r="BA725" s="143"/>
      <c r="BB725" s="143"/>
      <c r="BC725" s="144"/>
    </row>
    <row r="726" spans="29:55" ht="15">
      <c r="AC726" s="132"/>
      <c r="AL726" s="135"/>
      <c r="AM726" s="136"/>
      <c r="AN726" s="137"/>
      <c r="AO726" s="138"/>
      <c r="AV726" s="149"/>
      <c r="AW726" s="142"/>
      <c r="AX726" s="143"/>
      <c r="AY726" s="143"/>
      <c r="AZ726" s="143"/>
      <c r="BA726" s="143"/>
      <c r="BB726" s="143"/>
      <c r="BC726" s="144"/>
    </row>
    <row r="727" spans="29:55" ht="15">
      <c r="AC727" s="132"/>
      <c r="AL727" s="135"/>
      <c r="AM727" s="136"/>
      <c r="AN727" s="137"/>
      <c r="AO727" s="138"/>
      <c r="AV727" s="149"/>
      <c r="AW727" s="142"/>
      <c r="AX727" s="143"/>
      <c r="AY727" s="143"/>
      <c r="AZ727" s="143"/>
      <c r="BA727" s="143"/>
      <c r="BB727" s="143"/>
      <c r="BC727" s="144"/>
    </row>
    <row r="728" spans="29:55" ht="15">
      <c r="AC728" s="132"/>
      <c r="AL728" s="135"/>
      <c r="AM728" s="136"/>
      <c r="AN728" s="137"/>
      <c r="AO728" s="138"/>
      <c r="AV728" s="149"/>
      <c r="AW728" s="142"/>
      <c r="AX728" s="143"/>
      <c r="AY728" s="143"/>
      <c r="AZ728" s="143"/>
      <c r="BA728" s="143"/>
      <c r="BB728" s="143"/>
      <c r="BC728" s="144"/>
    </row>
    <row r="729" spans="29:55" ht="15">
      <c r="AC729" s="132"/>
      <c r="AL729" s="135"/>
      <c r="AM729" s="136"/>
      <c r="AN729" s="137"/>
      <c r="AO729" s="138"/>
      <c r="AV729" s="149"/>
      <c r="AW729" s="142"/>
      <c r="AX729" s="143"/>
      <c r="AY729" s="143"/>
      <c r="AZ729" s="143"/>
      <c r="BA729" s="143"/>
      <c r="BB729" s="143"/>
      <c r="BC729" s="144"/>
    </row>
    <row r="730" spans="29:55" ht="15">
      <c r="AC730" s="132"/>
      <c r="AL730" s="135"/>
      <c r="AM730" s="136"/>
      <c r="AN730" s="137"/>
      <c r="AO730" s="138"/>
      <c r="AV730" s="149"/>
      <c r="AW730" s="142"/>
      <c r="AX730" s="143"/>
      <c r="AY730" s="143"/>
      <c r="AZ730" s="143"/>
      <c r="BA730" s="143"/>
      <c r="BB730" s="143"/>
      <c r="BC730" s="144"/>
    </row>
    <row r="731" spans="29:55" ht="15">
      <c r="AC731" s="132"/>
      <c r="AL731" s="135"/>
      <c r="AM731" s="136"/>
      <c r="AN731" s="137"/>
      <c r="AO731" s="138"/>
      <c r="AV731" s="149"/>
      <c r="AW731" s="142"/>
      <c r="AX731" s="143"/>
      <c r="AY731" s="143"/>
      <c r="AZ731" s="143"/>
      <c r="BA731" s="143"/>
      <c r="BB731" s="143"/>
      <c r="BC731" s="144"/>
    </row>
    <row r="732" spans="29:55" ht="15">
      <c r="AC732" s="132"/>
      <c r="AL732" s="135"/>
      <c r="AM732" s="136"/>
      <c r="AN732" s="137"/>
      <c r="AO732" s="138"/>
      <c r="AV732" s="149"/>
      <c r="AW732" s="142"/>
      <c r="AX732" s="143"/>
      <c r="AY732" s="143"/>
      <c r="AZ732" s="143"/>
      <c r="BA732" s="143"/>
      <c r="BB732" s="143"/>
      <c r="BC732" s="144"/>
    </row>
    <row r="733" spans="29:55" ht="15">
      <c r="AC733" s="132"/>
      <c r="AL733" s="135"/>
      <c r="AM733" s="136"/>
      <c r="AN733" s="137"/>
      <c r="AO733" s="138"/>
      <c r="AV733" s="149"/>
      <c r="AW733" s="142"/>
      <c r="AX733" s="143"/>
      <c r="AY733" s="143"/>
      <c r="AZ733" s="143"/>
      <c r="BA733" s="143"/>
      <c r="BB733" s="143"/>
      <c r="BC733" s="144"/>
    </row>
    <row r="734" spans="29:55" ht="15">
      <c r="AC734" s="132"/>
      <c r="AL734" s="135"/>
      <c r="AM734" s="136"/>
      <c r="AN734" s="137"/>
      <c r="AO734" s="138"/>
      <c r="AV734" s="149"/>
      <c r="AW734" s="142"/>
      <c r="AX734" s="143"/>
      <c r="AY734" s="143"/>
      <c r="AZ734" s="143"/>
      <c r="BA734" s="143"/>
      <c r="BB734" s="143"/>
      <c r="BC734" s="144"/>
    </row>
    <row r="735" spans="29:55" ht="15">
      <c r="AC735" s="132"/>
      <c r="AL735" s="135"/>
      <c r="AM735" s="136"/>
      <c r="AN735" s="137"/>
      <c r="AO735" s="138"/>
      <c r="AV735" s="149"/>
      <c r="AW735" s="142"/>
      <c r="AX735" s="143"/>
      <c r="AY735" s="143"/>
      <c r="AZ735" s="143"/>
      <c r="BA735" s="143"/>
      <c r="BB735" s="143"/>
      <c r="BC735" s="144"/>
    </row>
    <row r="736" spans="29:55" ht="15">
      <c r="AC736" s="132"/>
      <c r="AL736" s="135"/>
      <c r="AM736" s="136"/>
      <c r="AN736" s="137"/>
      <c r="AO736" s="138"/>
      <c r="AV736" s="149"/>
      <c r="AW736" s="142"/>
      <c r="AX736" s="143"/>
      <c r="AY736" s="143"/>
      <c r="AZ736" s="143"/>
      <c r="BA736" s="143"/>
      <c r="BB736" s="143"/>
      <c r="BC736" s="144"/>
    </row>
    <row r="737" spans="29:55" ht="15">
      <c r="AC737" s="132"/>
      <c r="AL737" s="135"/>
      <c r="AM737" s="136"/>
      <c r="AN737" s="137"/>
      <c r="AO737" s="138"/>
      <c r="AV737" s="149"/>
      <c r="AW737" s="142"/>
      <c r="AX737" s="143"/>
      <c r="AY737" s="143"/>
      <c r="AZ737" s="143"/>
      <c r="BA737" s="143"/>
      <c r="BB737" s="143"/>
      <c r="BC737" s="144"/>
    </row>
    <row r="738" spans="29:55" ht="15">
      <c r="AC738" s="132"/>
      <c r="AL738" s="135"/>
      <c r="AM738" s="136"/>
      <c r="AN738" s="137"/>
      <c r="AO738" s="138"/>
      <c r="AV738" s="149"/>
      <c r="AW738" s="142"/>
      <c r="AX738" s="143"/>
      <c r="AY738" s="143"/>
      <c r="AZ738" s="143"/>
      <c r="BA738" s="143"/>
      <c r="BB738" s="143"/>
      <c r="BC738" s="144"/>
    </row>
    <row r="739" spans="29:55" ht="15">
      <c r="AL739" s="135"/>
      <c r="AM739" s="136"/>
      <c r="AN739" s="137"/>
      <c r="AO739" s="138"/>
      <c r="AV739" s="149"/>
      <c r="AW739" s="142"/>
      <c r="AX739" s="143"/>
      <c r="AY739" s="143"/>
      <c r="AZ739" s="143"/>
      <c r="BA739" s="143"/>
      <c r="BB739" s="143"/>
      <c r="BC739" s="144"/>
    </row>
    <row r="740" spans="29:55" ht="15">
      <c r="AL740" s="135"/>
      <c r="AM740" s="136"/>
      <c r="AN740" s="137"/>
      <c r="AO740" s="138"/>
      <c r="AV740" s="149"/>
      <c r="AW740" s="142"/>
      <c r="AX740" s="143"/>
      <c r="AY740" s="143"/>
      <c r="AZ740" s="143"/>
      <c r="BA740" s="143"/>
      <c r="BB740" s="143"/>
      <c r="BC740" s="144"/>
    </row>
    <row r="741" spans="29:55" ht="15">
      <c r="AL741" s="135"/>
      <c r="AM741" s="136"/>
      <c r="AN741" s="137"/>
      <c r="AO741" s="138"/>
      <c r="AV741" s="149"/>
      <c r="AW741" s="142"/>
      <c r="AX741" s="143"/>
      <c r="AY741" s="143"/>
      <c r="AZ741" s="143"/>
      <c r="BA741" s="143"/>
      <c r="BB741" s="143"/>
      <c r="BC741" s="144"/>
    </row>
    <row r="742" spans="29:55" ht="15">
      <c r="AL742" s="135"/>
      <c r="AM742" s="136"/>
      <c r="AN742" s="137"/>
      <c r="AO742" s="138"/>
      <c r="AV742" s="149"/>
      <c r="AW742" s="142"/>
      <c r="AX742" s="143"/>
      <c r="AY742" s="143"/>
      <c r="AZ742" s="143"/>
      <c r="BA742" s="143"/>
      <c r="BB742" s="143"/>
      <c r="BC742" s="144"/>
    </row>
    <row r="743" spans="29:55" ht="15">
      <c r="AL743" s="135"/>
      <c r="AM743" s="136"/>
      <c r="AN743" s="137"/>
      <c r="AO743" s="138"/>
      <c r="AV743" s="149"/>
      <c r="AW743" s="142"/>
      <c r="AX743" s="143"/>
      <c r="AY743" s="143"/>
      <c r="AZ743" s="143"/>
      <c r="BA743" s="143"/>
      <c r="BB743" s="143"/>
      <c r="BC743" s="144"/>
    </row>
    <row r="744" spans="29:55" ht="15">
      <c r="AL744" s="135"/>
      <c r="AM744" s="136"/>
      <c r="AN744" s="137"/>
      <c r="AO744" s="138"/>
      <c r="AV744" s="149"/>
      <c r="AW744" s="142"/>
      <c r="AX744" s="143"/>
      <c r="AY744" s="143"/>
      <c r="AZ744" s="143"/>
      <c r="BA744" s="143"/>
      <c r="BB744" s="143"/>
      <c r="BC744" s="144"/>
    </row>
    <row r="745" spans="29:55" ht="15">
      <c r="AL745" s="135"/>
      <c r="AM745" s="136"/>
      <c r="AN745" s="137"/>
      <c r="AO745" s="138"/>
      <c r="AV745" s="149"/>
      <c r="AW745" s="142"/>
      <c r="AX745" s="143"/>
      <c r="AY745" s="143"/>
      <c r="AZ745" s="143"/>
      <c r="BA745" s="143"/>
      <c r="BB745" s="143"/>
      <c r="BC745" s="144"/>
    </row>
    <row r="746" spans="29:55" ht="15">
      <c r="AL746" s="135"/>
      <c r="AM746" s="136"/>
      <c r="AN746" s="137"/>
      <c r="AO746" s="138"/>
      <c r="AV746" s="149"/>
      <c r="AW746" s="142"/>
      <c r="AX746" s="143"/>
      <c r="AY746" s="143"/>
      <c r="AZ746" s="143"/>
      <c r="BA746" s="143"/>
      <c r="BB746" s="143"/>
      <c r="BC746" s="144"/>
    </row>
    <row r="747" spans="29:55" ht="15">
      <c r="AL747" s="135"/>
      <c r="AM747" s="136"/>
      <c r="AN747" s="137"/>
      <c r="AO747" s="138"/>
      <c r="AV747" s="149"/>
      <c r="AW747" s="142"/>
      <c r="AX747" s="143"/>
      <c r="AY747" s="143"/>
      <c r="AZ747" s="143"/>
      <c r="BA747" s="143"/>
      <c r="BB747" s="143"/>
      <c r="BC747" s="144"/>
    </row>
    <row r="748" spans="29:55" ht="15">
      <c r="AL748" s="135"/>
      <c r="AM748" s="136"/>
      <c r="AN748" s="137"/>
      <c r="AO748" s="138"/>
      <c r="AV748" s="149"/>
      <c r="AW748" s="142"/>
      <c r="AX748" s="143"/>
      <c r="AY748" s="143"/>
      <c r="AZ748" s="143"/>
      <c r="BA748" s="143"/>
      <c r="BB748" s="143"/>
      <c r="BC748" s="144"/>
    </row>
    <row r="749" spans="29:55" ht="15">
      <c r="AL749" s="135"/>
      <c r="AM749" s="136"/>
      <c r="AN749" s="137"/>
      <c r="AO749" s="138"/>
      <c r="AV749" s="149"/>
      <c r="AW749" s="142"/>
      <c r="AX749" s="143"/>
      <c r="AY749" s="143"/>
      <c r="AZ749" s="143"/>
      <c r="BA749" s="143"/>
      <c r="BB749" s="143"/>
      <c r="BC749" s="144"/>
    </row>
    <row r="750" spans="29:55" ht="15">
      <c r="AL750" s="135"/>
      <c r="AM750" s="136"/>
      <c r="AN750" s="137"/>
      <c r="AO750" s="138"/>
      <c r="AV750" s="149"/>
      <c r="AW750" s="142"/>
      <c r="AX750" s="143"/>
      <c r="AY750" s="143"/>
      <c r="AZ750" s="143"/>
      <c r="BA750" s="143"/>
      <c r="BB750" s="143"/>
      <c r="BC750" s="144"/>
    </row>
    <row r="751" spans="29:55" ht="15">
      <c r="AL751" s="135"/>
      <c r="AM751" s="136"/>
      <c r="AN751" s="137"/>
      <c r="AO751" s="138"/>
      <c r="AV751" s="149"/>
      <c r="AW751" s="142"/>
      <c r="AX751" s="143"/>
      <c r="AY751" s="143"/>
      <c r="AZ751" s="143"/>
      <c r="BA751" s="143"/>
      <c r="BB751" s="143"/>
      <c r="BC751" s="144"/>
    </row>
    <row r="752" spans="29:55" ht="15">
      <c r="AL752" s="135"/>
      <c r="AM752" s="136"/>
      <c r="AN752" s="137"/>
      <c r="AO752" s="138"/>
      <c r="AV752" s="149"/>
      <c r="AW752" s="142"/>
      <c r="AX752" s="143"/>
      <c r="AY752" s="143"/>
      <c r="AZ752" s="143"/>
      <c r="BA752" s="143"/>
      <c r="BB752" s="143"/>
      <c r="BC752" s="144"/>
    </row>
    <row r="753" spans="38:55" ht="15">
      <c r="AL753" s="135"/>
      <c r="AM753" s="136"/>
      <c r="AN753" s="137"/>
      <c r="AO753" s="138"/>
      <c r="AV753" s="149"/>
      <c r="AW753" s="142"/>
      <c r="AX753" s="143"/>
      <c r="AY753" s="143"/>
      <c r="AZ753" s="143"/>
      <c r="BA753" s="143"/>
      <c r="BB753" s="143"/>
      <c r="BC753" s="144"/>
    </row>
    <row r="754" spans="38:55" ht="15">
      <c r="AL754" s="135"/>
      <c r="AM754" s="136"/>
      <c r="AN754" s="137"/>
      <c r="AO754" s="138"/>
      <c r="AV754" s="149"/>
      <c r="AW754" s="142"/>
      <c r="AX754" s="143"/>
      <c r="AY754" s="143"/>
      <c r="AZ754" s="143"/>
      <c r="BA754" s="143"/>
      <c r="BB754" s="143"/>
      <c r="BC754" s="144"/>
    </row>
    <row r="755" spans="38:55" ht="15">
      <c r="AL755" s="135"/>
      <c r="AM755" s="136"/>
      <c r="AN755" s="137"/>
      <c r="AO755" s="138"/>
      <c r="AV755" s="149"/>
      <c r="AW755" s="142"/>
      <c r="AX755" s="143"/>
      <c r="AY755" s="143"/>
      <c r="AZ755" s="143"/>
      <c r="BA755" s="143"/>
      <c r="BB755" s="143"/>
      <c r="BC755" s="144"/>
    </row>
    <row r="756" spans="38:55" ht="15">
      <c r="AL756" s="135"/>
      <c r="AM756" s="136"/>
      <c r="AN756" s="137"/>
      <c r="AO756" s="138"/>
      <c r="AV756" s="149"/>
      <c r="AW756" s="142"/>
      <c r="AX756" s="143"/>
      <c r="AY756" s="143"/>
      <c r="AZ756" s="143"/>
      <c r="BA756" s="143"/>
      <c r="BB756" s="143"/>
      <c r="BC756" s="144"/>
    </row>
    <row r="757" spans="38:55" ht="15">
      <c r="AL757" s="135"/>
      <c r="AM757" s="136"/>
      <c r="AN757" s="137"/>
      <c r="AO757" s="138"/>
      <c r="AV757" s="149"/>
      <c r="AW757" s="142"/>
      <c r="AX757" s="143"/>
      <c r="AY757" s="143"/>
      <c r="AZ757" s="143"/>
      <c r="BA757" s="143"/>
      <c r="BB757" s="143"/>
      <c r="BC757" s="144"/>
    </row>
    <row r="758" spans="38:55" ht="15">
      <c r="AL758" s="135"/>
      <c r="AM758" s="136"/>
      <c r="AN758" s="137"/>
      <c r="AO758" s="138"/>
      <c r="AV758" s="149"/>
      <c r="AW758" s="142"/>
      <c r="AX758" s="143"/>
      <c r="AY758" s="143"/>
      <c r="AZ758" s="143"/>
      <c r="BA758" s="143"/>
      <c r="BB758" s="143"/>
      <c r="BC758" s="144"/>
    </row>
    <row r="759" spans="38:55" ht="15">
      <c r="AL759" s="135"/>
      <c r="AM759" s="136"/>
      <c r="AN759" s="137"/>
      <c r="AO759" s="138"/>
      <c r="AV759" s="149"/>
      <c r="AW759" s="142"/>
      <c r="AX759" s="143"/>
      <c r="AY759" s="143"/>
      <c r="AZ759" s="143"/>
      <c r="BA759" s="143"/>
      <c r="BB759" s="143"/>
      <c r="BC759" s="144"/>
    </row>
    <row r="760" spans="38:55" ht="15">
      <c r="AL760" s="135"/>
      <c r="AM760" s="136"/>
      <c r="AN760" s="137"/>
      <c r="AO760" s="138"/>
      <c r="AV760" s="149"/>
      <c r="AW760" s="142"/>
      <c r="AX760" s="143"/>
      <c r="AY760" s="143"/>
      <c r="AZ760" s="143"/>
      <c r="BA760" s="143"/>
      <c r="BB760" s="143"/>
      <c r="BC760" s="144"/>
    </row>
    <row r="761" spans="38:55" ht="15">
      <c r="AL761" s="135"/>
      <c r="AM761" s="136"/>
      <c r="AN761" s="137"/>
      <c r="AO761" s="138"/>
      <c r="AV761" s="149"/>
      <c r="AW761" s="142"/>
      <c r="AX761" s="143"/>
      <c r="AY761" s="143"/>
      <c r="AZ761" s="143"/>
      <c r="BA761" s="143"/>
      <c r="BB761" s="143"/>
      <c r="BC761" s="144"/>
    </row>
    <row r="762" spans="38:55" ht="15">
      <c r="AL762" s="135"/>
      <c r="AM762" s="136"/>
      <c r="AN762" s="137"/>
      <c r="AO762" s="138"/>
      <c r="AV762" s="149"/>
      <c r="AW762" s="142"/>
      <c r="AX762" s="143"/>
      <c r="AY762" s="143"/>
      <c r="AZ762" s="143"/>
      <c r="BA762" s="143"/>
      <c r="BB762" s="143"/>
      <c r="BC762" s="144"/>
    </row>
    <row r="763" spans="38:55" ht="15">
      <c r="AL763" s="135"/>
      <c r="AM763" s="136"/>
      <c r="AN763" s="137"/>
      <c r="AO763" s="138"/>
      <c r="AV763" s="149"/>
      <c r="AW763" s="142"/>
      <c r="AX763" s="143"/>
      <c r="AY763" s="143"/>
      <c r="AZ763" s="143"/>
      <c r="BA763" s="143"/>
      <c r="BB763" s="143"/>
      <c r="BC763" s="144"/>
    </row>
    <row r="764" spans="38:55" ht="15">
      <c r="AL764" s="135"/>
      <c r="AM764" s="136"/>
      <c r="AN764" s="137"/>
      <c r="AO764" s="138"/>
      <c r="AV764" s="149"/>
      <c r="AW764" s="142"/>
      <c r="AX764" s="143"/>
      <c r="AY764" s="143"/>
      <c r="AZ764" s="143"/>
      <c r="BA764" s="143"/>
      <c r="BB764" s="143"/>
      <c r="BC764" s="144"/>
    </row>
    <row r="765" spans="38:55" ht="15">
      <c r="AL765" s="135"/>
      <c r="AM765" s="136"/>
      <c r="AN765" s="137"/>
      <c r="AO765" s="138"/>
      <c r="AV765" s="149"/>
      <c r="AW765" s="142"/>
      <c r="AX765" s="143"/>
      <c r="AY765" s="143"/>
      <c r="AZ765" s="143"/>
      <c r="BA765" s="143"/>
      <c r="BB765" s="143"/>
      <c r="BC765" s="144"/>
    </row>
    <row r="766" spans="38:55" ht="15">
      <c r="AL766" s="135"/>
      <c r="AM766" s="136"/>
      <c r="AN766" s="137"/>
      <c r="AO766" s="138"/>
      <c r="AV766" s="149"/>
      <c r="AW766" s="142"/>
      <c r="AX766" s="143"/>
      <c r="AY766" s="143"/>
      <c r="AZ766" s="143"/>
      <c r="BA766" s="143"/>
      <c r="BB766" s="143"/>
      <c r="BC766" s="144"/>
    </row>
    <row r="767" spans="38:55" ht="15">
      <c r="AL767" s="135"/>
      <c r="AM767" s="136"/>
      <c r="AN767" s="137"/>
      <c r="AO767" s="138"/>
      <c r="AV767" s="149"/>
      <c r="AW767" s="142"/>
      <c r="AX767" s="143"/>
      <c r="AY767" s="143"/>
      <c r="AZ767" s="143"/>
      <c r="BA767" s="143"/>
      <c r="BB767" s="143"/>
      <c r="BC767" s="144"/>
    </row>
    <row r="768" spans="38:55" ht="15">
      <c r="AL768" s="135"/>
      <c r="AM768" s="136"/>
      <c r="AN768" s="137"/>
      <c r="AO768" s="138"/>
      <c r="AV768" s="149"/>
      <c r="AW768" s="142"/>
      <c r="AX768" s="143"/>
      <c r="AY768" s="143"/>
      <c r="AZ768" s="143"/>
      <c r="BA768" s="143"/>
      <c r="BB768" s="143"/>
      <c r="BC768" s="144"/>
    </row>
    <row r="769" spans="38:55" ht="15">
      <c r="AL769" s="135"/>
      <c r="AM769" s="136"/>
      <c r="AN769" s="137"/>
      <c r="AO769" s="138"/>
      <c r="AV769" s="149"/>
      <c r="AW769" s="142"/>
      <c r="AX769" s="143"/>
      <c r="AY769" s="143"/>
      <c r="AZ769" s="143"/>
      <c r="BA769" s="143"/>
      <c r="BB769" s="143"/>
      <c r="BC769" s="144"/>
    </row>
    <row r="770" spans="38:55" ht="15">
      <c r="AL770" s="135"/>
      <c r="AM770" s="136"/>
      <c r="AN770" s="137"/>
      <c r="AO770" s="138"/>
      <c r="AV770" s="149"/>
      <c r="AW770" s="142"/>
      <c r="AX770" s="143"/>
      <c r="AY770" s="143"/>
      <c r="AZ770" s="143"/>
      <c r="BA770" s="143"/>
      <c r="BB770" s="143"/>
      <c r="BC770" s="144"/>
    </row>
    <row r="771" spans="38:55" ht="15">
      <c r="AL771" s="135"/>
      <c r="AM771" s="136"/>
      <c r="AN771" s="137"/>
      <c r="AO771" s="138"/>
      <c r="AV771" s="149"/>
      <c r="AW771" s="142"/>
      <c r="AX771" s="143"/>
      <c r="AY771" s="143"/>
      <c r="AZ771" s="143"/>
      <c r="BA771" s="143"/>
      <c r="BB771" s="143"/>
      <c r="BC771" s="144"/>
    </row>
    <row r="772" spans="38:55" ht="15">
      <c r="AL772" s="135"/>
      <c r="AM772" s="136"/>
      <c r="AN772" s="137"/>
      <c r="AO772" s="138"/>
      <c r="AV772" s="149"/>
      <c r="AW772" s="142"/>
      <c r="AX772" s="143"/>
      <c r="AY772" s="143"/>
      <c r="AZ772" s="143"/>
      <c r="BA772" s="143"/>
      <c r="BB772" s="143"/>
      <c r="BC772" s="144"/>
    </row>
    <row r="773" spans="38:55" ht="15">
      <c r="AL773" s="135"/>
      <c r="AM773" s="136"/>
      <c r="AN773" s="137"/>
      <c r="AO773" s="138"/>
      <c r="AV773" s="149"/>
      <c r="AW773" s="142"/>
      <c r="AX773" s="143"/>
      <c r="AY773" s="143"/>
      <c r="AZ773" s="143"/>
      <c r="BA773" s="143"/>
      <c r="BB773" s="143"/>
      <c r="BC773" s="144"/>
    </row>
    <row r="774" spans="38:55" ht="15">
      <c r="AL774" s="135"/>
      <c r="AM774" s="136"/>
      <c r="AN774" s="137"/>
      <c r="AO774" s="138"/>
      <c r="AV774" s="149"/>
      <c r="AW774" s="142"/>
      <c r="AX774" s="143"/>
      <c r="AY774" s="143"/>
      <c r="AZ774" s="143"/>
      <c r="BA774" s="143"/>
      <c r="BB774" s="143"/>
      <c r="BC774" s="144"/>
    </row>
    <row r="775" spans="38:55" ht="15">
      <c r="AL775" s="135"/>
      <c r="AM775" s="136"/>
      <c r="AN775" s="137"/>
      <c r="AO775" s="138"/>
      <c r="AV775" s="149"/>
      <c r="AW775" s="142"/>
      <c r="AX775" s="143"/>
      <c r="AY775" s="143"/>
      <c r="AZ775" s="143"/>
      <c r="BA775" s="143"/>
      <c r="BB775" s="143"/>
      <c r="BC775" s="144"/>
    </row>
    <row r="776" spans="38:55" ht="15">
      <c r="AL776" s="135"/>
      <c r="AM776" s="136"/>
      <c r="AN776" s="137"/>
      <c r="AO776" s="138"/>
      <c r="AV776" s="149"/>
      <c r="AW776" s="142"/>
      <c r="AX776" s="143"/>
      <c r="AY776" s="143"/>
      <c r="AZ776" s="143"/>
      <c r="BA776" s="143"/>
      <c r="BB776" s="143"/>
      <c r="BC776" s="144"/>
    </row>
    <row r="777" spans="38:55" ht="15">
      <c r="AL777" s="135"/>
      <c r="AM777" s="136"/>
      <c r="AN777" s="137"/>
      <c r="AO777" s="138"/>
      <c r="AV777" s="149"/>
      <c r="AW777" s="142"/>
      <c r="AX777" s="143"/>
      <c r="AY777" s="143"/>
      <c r="AZ777" s="143"/>
      <c r="BA777" s="143"/>
      <c r="BB777" s="143"/>
      <c r="BC777" s="144"/>
    </row>
    <row r="778" spans="38:55" ht="15">
      <c r="AL778" s="135"/>
      <c r="AM778" s="136"/>
      <c r="AN778" s="137"/>
      <c r="AO778" s="138"/>
      <c r="AV778" s="149"/>
      <c r="AW778" s="142"/>
      <c r="AX778" s="143"/>
      <c r="AY778" s="143"/>
      <c r="AZ778" s="143"/>
      <c r="BA778" s="143"/>
      <c r="BB778" s="143"/>
      <c r="BC778" s="144"/>
    </row>
    <row r="779" spans="38:55" ht="15">
      <c r="AL779" s="135"/>
      <c r="AM779" s="136"/>
      <c r="AN779" s="137"/>
      <c r="AO779" s="138"/>
      <c r="AV779" s="149"/>
      <c r="AW779" s="142"/>
      <c r="AX779" s="143"/>
      <c r="AY779" s="143"/>
      <c r="AZ779" s="143"/>
      <c r="BA779" s="143"/>
      <c r="BB779" s="143"/>
      <c r="BC779" s="144"/>
    </row>
    <row r="780" spans="38:55" ht="15">
      <c r="AL780" s="135"/>
      <c r="AM780" s="136"/>
      <c r="AN780" s="137"/>
      <c r="AO780" s="138"/>
      <c r="AV780" s="149"/>
      <c r="AW780" s="142"/>
      <c r="AX780" s="143"/>
      <c r="AY780" s="143"/>
      <c r="AZ780" s="143"/>
      <c r="BA780" s="143"/>
      <c r="BB780" s="143"/>
      <c r="BC780" s="144"/>
    </row>
    <row r="781" spans="38:55" ht="15">
      <c r="AL781" s="135"/>
      <c r="AM781" s="136"/>
      <c r="AN781" s="137"/>
      <c r="AO781" s="138"/>
      <c r="AV781" s="149"/>
      <c r="AW781" s="142"/>
      <c r="AX781" s="143"/>
      <c r="AY781" s="143"/>
      <c r="AZ781" s="143"/>
      <c r="BA781" s="143"/>
      <c r="BB781" s="143"/>
      <c r="BC781" s="144"/>
    </row>
    <row r="782" spans="38:55" ht="15">
      <c r="AL782" s="135"/>
      <c r="AM782" s="136"/>
      <c r="AN782" s="137"/>
      <c r="AO782" s="138"/>
      <c r="AV782" s="149"/>
      <c r="AW782" s="142"/>
      <c r="AX782" s="143"/>
      <c r="AY782" s="143"/>
      <c r="AZ782" s="143"/>
      <c r="BA782" s="143"/>
      <c r="BB782" s="143"/>
      <c r="BC782" s="144"/>
    </row>
    <row r="783" spans="38:55" ht="15">
      <c r="AL783" s="135"/>
      <c r="AM783" s="136"/>
      <c r="AN783" s="137"/>
      <c r="AO783" s="138"/>
      <c r="AV783" s="149"/>
      <c r="AW783" s="142"/>
      <c r="AX783" s="143"/>
      <c r="AY783" s="143"/>
      <c r="AZ783" s="143"/>
      <c r="BA783" s="143"/>
      <c r="BB783" s="143"/>
      <c r="BC783" s="144"/>
    </row>
    <row r="784" spans="38:55" ht="15">
      <c r="AL784" s="135"/>
      <c r="AM784" s="136"/>
      <c r="AN784" s="137"/>
      <c r="AO784" s="138"/>
      <c r="AV784" s="149"/>
      <c r="AW784" s="142"/>
      <c r="AX784" s="143"/>
      <c r="AY784" s="143"/>
      <c r="AZ784" s="143"/>
      <c r="BA784" s="143"/>
      <c r="BB784" s="143"/>
      <c r="BC784" s="144"/>
    </row>
    <row r="785" spans="38:55" ht="15">
      <c r="AL785" s="135"/>
      <c r="AM785" s="136"/>
      <c r="AN785" s="137"/>
      <c r="AO785" s="138"/>
      <c r="AV785" s="149"/>
      <c r="AW785" s="142"/>
      <c r="AX785" s="143"/>
      <c r="AY785" s="143"/>
      <c r="AZ785" s="143"/>
      <c r="BA785" s="143"/>
      <c r="BB785" s="143"/>
      <c r="BC785" s="144"/>
    </row>
    <row r="786" spans="38:55" ht="15">
      <c r="AL786" s="135"/>
      <c r="AM786" s="136"/>
      <c r="AN786" s="137"/>
      <c r="AO786" s="138"/>
      <c r="AV786" s="149"/>
      <c r="AW786" s="142"/>
      <c r="AX786" s="143"/>
      <c r="AY786" s="143"/>
      <c r="AZ786" s="143"/>
      <c r="BA786" s="143"/>
      <c r="BB786" s="143"/>
      <c r="BC786" s="144"/>
    </row>
    <row r="787" spans="38:55" ht="15">
      <c r="AL787" s="135"/>
      <c r="AM787" s="136"/>
      <c r="AN787" s="137"/>
      <c r="AO787" s="138"/>
      <c r="AV787" s="149"/>
      <c r="AW787" s="142"/>
      <c r="AX787" s="143"/>
      <c r="AY787" s="143"/>
      <c r="AZ787" s="143"/>
      <c r="BA787" s="143"/>
      <c r="BB787" s="143"/>
      <c r="BC787" s="144"/>
    </row>
    <row r="788" spans="38:55" ht="15">
      <c r="AL788" s="135"/>
      <c r="AM788" s="136"/>
      <c r="AN788" s="137"/>
      <c r="AO788" s="138"/>
      <c r="AV788" s="149"/>
      <c r="AW788" s="142"/>
      <c r="AX788" s="143"/>
      <c r="AY788" s="143"/>
      <c r="AZ788" s="143"/>
      <c r="BA788" s="143"/>
      <c r="BB788" s="143"/>
      <c r="BC788" s="144"/>
    </row>
    <row r="789" spans="38:55" ht="15">
      <c r="AL789" s="135"/>
      <c r="AM789" s="136"/>
      <c r="AN789" s="137"/>
      <c r="AO789" s="138"/>
      <c r="AV789" s="149"/>
      <c r="AW789" s="142"/>
      <c r="AX789" s="143"/>
      <c r="AY789" s="143"/>
      <c r="AZ789" s="143"/>
      <c r="BA789" s="143"/>
      <c r="BB789" s="143"/>
      <c r="BC789" s="144"/>
    </row>
    <row r="790" spans="38:55" ht="15">
      <c r="AL790" s="135"/>
      <c r="AM790" s="136"/>
      <c r="AN790" s="137"/>
      <c r="AO790" s="138"/>
      <c r="AV790" s="149"/>
      <c r="AW790" s="142"/>
      <c r="AX790" s="143"/>
      <c r="AY790" s="143"/>
      <c r="AZ790" s="143"/>
      <c r="BA790" s="143"/>
      <c r="BB790" s="143"/>
      <c r="BC790" s="144"/>
    </row>
    <row r="791" spans="38:55" ht="15">
      <c r="AL791" s="135"/>
      <c r="AM791" s="136"/>
      <c r="AN791" s="137"/>
      <c r="AO791" s="138"/>
      <c r="AV791" s="149"/>
      <c r="AW791" s="142"/>
      <c r="AX791" s="143"/>
      <c r="AY791" s="143"/>
      <c r="AZ791" s="143"/>
      <c r="BA791" s="143"/>
      <c r="BB791" s="143"/>
      <c r="BC791" s="144"/>
    </row>
    <row r="792" spans="38:55" ht="15">
      <c r="AL792" s="135"/>
      <c r="AM792" s="136"/>
      <c r="AN792" s="137"/>
      <c r="AO792" s="138"/>
      <c r="AV792" s="149"/>
      <c r="AW792" s="142"/>
      <c r="AX792" s="143"/>
      <c r="AY792" s="143"/>
      <c r="AZ792" s="143"/>
      <c r="BA792" s="143"/>
      <c r="BB792" s="143"/>
      <c r="BC792" s="144"/>
    </row>
    <row r="793" spans="38:55" ht="15">
      <c r="AL793" s="135"/>
      <c r="AM793" s="136"/>
      <c r="AN793" s="137"/>
      <c r="AO793" s="138"/>
      <c r="AV793" s="149"/>
      <c r="AW793" s="142"/>
      <c r="AX793" s="143"/>
      <c r="AY793" s="143"/>
      <c r="AZ793" s="143"/>
      <c r="BA793" s="143"/>
      <c r="BB793" s="143"/>
      <c r="BC793" s="144"/>
    </row>
    <row r="794" spans="38:55" ht="15">
      <c r="AL794" s="135"/>
      <c r="AM794" s="136"/>
      <c r="AN794" s="137"/>
      <c r="AO794" s="138"/>
      <c r="AV794" s="149"/>
      <c r="AW794" s="142"/>
      <c r="AX794" s="143"/>
      <c r="AY794" s="143"/>
      <c r="AZ794" s="143"/>
      <c r="BA794" s="143"/>
      <c r="BB794" s="143"/>
      <c r="BC794" s="144"/>
    </row>
    <row r="795" spans="38:55" ht="15">
      <c r="AL795" s="135"/>
      <c r="AM795" s="136"/>
      <c r="AN795" s="137"/>
      <c r="AO795" s="138"/>
      <c r="AV795" s="149"/>
      <c r="AW795" s="142"/>
      <c r="AX795" s="143"/>
      <c r="AY795" s="143"/>
      <c r="AZ795" s="143"/>
      <c r="BA795" s="143"/>
      <c r="BB795" s="143"/>
      <c r="BC795" s="144"/>
    </row>
    <row r="796" spans="38:55" ht="15">
      <c r="AL796" s="135"/>
      <c r="AM796" s="136"/>
      <c r="AN796" s="137"/>
      <c r="AO796" s="138"/>
      <c r="AV796" s="149"/>
      <c r="AW796" s="142"/>
      <c r="AX796" s="143"/>
      <c r="AY796" s="143"/>
      <c r="AZ796" s="143"/>
      <c r="BA796" s="143"/>
      <c r="BB796" s="143"/>
      <c r="BC796" s="144"/>
    </row>
    <row r="797" spans="38:55" ht="15">
      <c r="AL797" s="135"/>
      <c r="AM797" s="136"/>
      <c r="AN797" s="137"/>
      <c r="AO797" s="138"/>
      <c r="AV797" s="149"/>
      <c r="AW797" s="142"/>
      <c r="AX797" s="143"/>
      <c r="AY797" s="143"/>
      <c r="AZ797" s="143"/>
      <c r="BA797" s="143"/>
      <c r="BB797" s="143"/>
      <c r="BC797" s="144"/>
    </row>
    <row r="798" spans="38:55" ht="15">
      <c r="AL798" s="135"/>
      <c r="AM798" s="136"/>
      <c r="AN798" s="137"/>
      <c r="AO798" s="138"/>
      <c r="AV798" s="149"/>
      <c r="AW798" s="142"/>
      <c r="AX798" s="143"/>
      <c r="AY798" s="143"/>
      <c r="AZ798" s="143"/>
      <c r="BA798" s="143"/>
      <c r="BB798" s="143"/>
      <c r="BC798" s="144"/>
    </row>
    <row r="799" spans="38:55" ht="15">
      <c r="AL799" s="135"/>
      <c r="AM799" s="136"/>
      <c r="AN799" s="137"/>
      <c r="AO799" s="138"/>
      <c r="AV799" s="149"/>
      <c r="AW799" s="142"/>
      <c r="AX799" s="143"/>
      <c r="AY799" s="143"/>
      <c r="AZ799" s="143"/>
      <c r="BA799" s="143"/>
      <c r="BB799" s="143"/>
      <c r="BC799" s="144"/>
    </row>
    <row r="800" spans="38:55" ht="15">
      <c r="AL800" s="135"/>
      <c r="AM800" s="136"/>
      <c r="AN800" s="137"/>
      <c r="AO800" s="138"/>
      <c r="AV800" s="149"/>
      <c r="AW800" s="142"/>
      <c r="AX800" s="143"/>
      <c r="AY800" s="143"/>
      <c r="AZ800" s="143"/>
      <c r="BA800" s="143"/>
      <c r="BB800" s="143"/>
      <c r="BC800" s="144"/>
    </row>
    <row r="801" spans="29:55" ht="15">
      <c r="AL801" s="135"/>
      <c r="AM801" s="136"/>
      <c r="AN801" s="137"/>
      <c r="AO801" s="138"/>
      <c r="AV801" s="149"/>
      <c r="AW801" s="142"/>
      <c r="AX801" s="143"/>
      <c r="AY801" s="143"/>
      <c r="AZ801" s="143"/>
      <c r="BA801" s="143"/>
      <c r="BB801" s="143"/>
      <c r="BC801" s="144"/>
    </row>
    <row r="802" spans="29:55" ht="15">
      <c r="AL802" s="135"/>
      <c r="AM802" s="136"/>
      <c r="AN802" s="137"/>
      <c r="AO802" s="138"/>
      <c r="AV802" s="149"/>
      <c r="AW802" s="142"/>
      <c r="AX802" s="143"/>
      <c r="AY802" s="143"/>
      <c r="AZ802" s="143"/>
      <c r="BA802" s="143"/>
      <c r="BB802" s="143"/>
      <c r="BC802" s="144"/>
    </row>
    <row r="803" spans="29:55" ht="15">
      <c r="AL803" s="135"/>
      <c r="AM803" s="136"/>
      <c r="AN803" s="137"/>
      <c r="AO803" s="138"/>
      <c r="AV803" s="149"/>
      <c r="AW803" s="142"/>
      <c r="AX803" s="143"/>
      <c r="AY803" s="143"/>
      <c r="AZ803" s="143"/>
      <c r="BA803" s="143"/>
      <c r="BB803" s="143"/>
      <c r="BC803" s="144"/>
    </row>
    <row r="804" spans="29:55" ht="15">
      <c r="AC804" s="150"/>
      <c r="AL804" s="135"/>
      <c r="AM804" s="136"/>
      <c r="AN804" s="137"/>
      <c r="AO804" s="138"/>
      <c r="AV804" s="149"/>
      <c r="AW804" s="142"/>
      <c r="AX804" s="143"/>
      <c r="AY804" s="143"/>
      <c r="AZ804" s="143"/>
      <c r="BA804" s="143"/>
      <c r="BB804" s="143"/>
      <c r="BC804" s="144"/>
    </row>
    <row r="805" spans="29:55" ht="15">
      <c r="AL805" s="135"/>
      <c r="AM805" s="136"/>
      <c r="AN805" s="137"/>
      <c r="AO805" s="138"/>
    </row>
    <row r="806" spans="29:55" ht="15">
      <c r="AL806" s="135"/>
      <c r="AM806" s="136"/>
      <c r="AN806" s="137"/>
      <c r="AO806" s="138"/>
    </row>
    <row r="807" spans="29:55" ht="15">
      <c r="AL807" s="135"/>
      <c r="AM807" s="136"/>
      <c r="AN807" s="137"/>
      <c r="AO807" s="138"/>
    </row>
    <row r="808" spans="29:55" ht="15">
      <c r="AL808" s="135"/>
      <c r="AM808" s="136"/>
      <c r="AN808" s="137"/>
      <c r="AO808" s="138"/>
    </row>
    <row r="809" spans="29:55" ht="15">
      <c r="AL809" s="135"/>
      <c r="AM809" s="136"/>
      <c r="AN809" s="137"/>
      <c r="AO809" s="138"/>
    </row>
    <row r="810" spans="29:55" ht="15">
      <c r="AL810" s="135"/>
      <c r="AM810" s="136"/>
      <c r="AN810" s="137"/>
      <c r="AO810" s="138"/>
    </row>
    <row r="811" spans="29:55" ht="15">
      <c r="AL811" s="135"/>
      <c r="AM811" s="136"/>
      <c r="AN811" s="137"/>
      <c r="AO811" s="138"/>
    </row>
    <row r="812" spans="29:55" ht="15">
      <c r="AL812" s="135"/>
      <c r="AM812" s="136"/>
      <c r="AN812" s="137"/>
      <c r="AO812" s="138"/>
    </row>
    <row r="813" spans="29:55" ht="15">
      <c r="AL813" s="135"/>
      <c r="AM813" s="136"/>
      <c r="AN813" s="137"/>
      <c r="AO813" s="138"/>
    </row>
    <row r="814" spans="29:55" ht="15">
      <c r="AL814" s="135"/>
      <c r="AM814" s="136"/>
      <c r="AN814" s="137"/>
      <c r="AO814" s="138"/>
    </row>
    <row r="815" spans="29:55" ht="15">
      <c r="AL815" s="135"/>
      <c r="AM815" s="136"/>
      <c r="AN815" s="137"/>
      <c r="AO815" s="138"/>
    </row>
    <row r="816" spans="29:55" ht="15">
      <c r="AL816" s="135"/>
      <c r="AM816" s="136"/>
      <c r="AN816" s="137"/>
      <c r="AO816" s="138"/>
    </row>
    <row r="817" spans="38:41" ht="15">
      <c r="AL817" s="135"/>
      <c r="AM817" s="136"/>
      <c r="AN817" s="137"/>
      <c r="AO817" s="138"/>
    </row>
    <row r="818" spans="38:41" ht="15">
      <c r="AL818" s="135"/>
      <c r="AM818" s="136"/>
      <c r="AN818" s="137"/>
      <c r="AO818" s="138"/>
    </row>
    <row r="819" spans="38:41" ht="15">
      <c r="AL819" s="135"/>
      <c r="AM819" s="136"/>
      <c r="AN819" s="137"/>
      <c r="AO819" s="138"/>
    </row>
    <row r="820" spans="38:41" ht="15">
      <c r="AL820" s="135"/>
      <c r="AM820" s="136"/>
      <c r="AN820" s="137"/>
      <c r="AO820" s="138"/>
    </row>
    <row r="821" spans="38:41" ht="15">
      <c r="AL821" s="135"/>
      <c r="AM821" s="136"/>
      <c r="AN821" s="137"/>
      <c r="AO821" s="138"/>
    </row>
    <row r="822" spans="38:41" ht="15">
      <c r="AL822" s="135"/>
      <c r="AM822" s="136"/>
      <c r="AN822" s="137"/>
      <c r="AO822" s="138"/>
    </row>
    <row r="823" spans="38:41" ht="15">
      <c r="AL823" s="135"/>
      <c r="AM823" s="136"/>
      <c r="AN823" s="137"/>
      <c r="AO823" s="138"/>
    </row>
    <row r="824" spans="38:41" ht="15">
      <c r="AL824" s="135"/>
      <c r="AM824" s="136"/>
      <c r="AN824" s="137"/>
      <c r="AO824" s="138"/>
    </row>
    <row r="825" spans="38:41" ht="15">
      <c r="AL825" s="135"/>
      <c r="AM825" s="136"/>
      <c r="AN825" s="137"/>
      <c r="AO825" s="138"/>
    </row>
    <row r="830" spans="38:41" ht="15">
      <c r="AL830" s="153"/>
      <c r="AM830" s="154"/>
      <c r="AN830" s="155"/>
      <c r="AO830" s="156"/>
    </row>
    <row r="831" spans="38:41" ht="15">
      <c r="AL831" s="153"/>
      <c r="AM831" s="154"/>
      <c r="AN831" s="155"/>
      <c r="AO831" s="156"/>
    </row>
    <row r="832" spans="38:41" ht="15">
      <c r="AL832" s="153"/>
      <c r="AM832" s="154"/>
      <c r="AN832" s="155"/>
      <c r="AO832" s="156"/>
    </row>
    <row r="833" spans="38:41" ht="15">
      <c r="AL833" s="153"/>
      <c r="AM833" s="154"/>
      <c r="AN833" s="155"/>
      <c r="AO833" s="156"/>
    </row>
    <row r="834" spans="38:41" ht="15">
      <c r="AL834" s="153"/>
      <c r="AM834" s="154"/>
      <c r="AN834" s="155"/>
      <c r="AO834" s="156"/>
    </row>
    <row r="838" spans="38:41" ht="15">
      <c r="AL838" s="153"/>
      <c r="AM838" s="154"/>
      <c r="AN838" s="155"/>
    </row>
    <row r="840" spans="38:41" ht="15">
      <c r="AL840" s="153"/>
      <c r="AM840" s="154"/>
      <c r="AN840" s="155"/>
    </row>
    <row r="841" spans="38:41" ht="15">
      <c r="AL841" s="153"/>
      <c r="AM841" s="154"/>
      <c r="AN841" s="155"/>
    </row>
    <row r="842" spans="38:41" ht="15">
      <c r="AL842" s="153"/>
      <c r="AM842" s="154"/>
      <c r="AN842" s="155"/>
    </row>
    <row r="843" spans="38:41" ht="15">
      <c r="AL843" s="153"/>
      <c r="AM843" s="154"/>
      <c r="AN843" s="155"/>
    </row>
    <row r="844" spans="38:41" ht="15">
      <c r="AL844" s="153"/>
      <c r="AM844" s="154"/>
      <c r="AN844" s="155"/>
    </row>
    <row r="845" spans="38:41" ht="15">
      <c r="AL845" s="153"/>
      <c r="AM845" s="154"/>
      <c r="AN845" s="155"/>
    </row>
    <row r="847" spans="38:41" ht="15">
      <c r="AL847" s="153"/>
      <c r="AM847" s="154"/>
      <c r="AN847" s="155"/>
    </row>
    <row r="848" spans="38:41" ht="15">
      <c r="AL848" s="153"/>
      <c r="AM848" s="154"/>
      <c r="AN848" s="155"/>
    </row>
    <row r="852" spans="38:40" ht="15">
      <c r="AL852" s="153"/>
      <c r="AM852" s="154"/>
      <c r="AN852" s="155"/>
    </row>
    <row r="853" spans="38:40" ht="15">
      <c r="AL853" s="153"/>
      <c r="AM853" s="154"/>
      <c r="AN853" s="155"/>
    </row>
    <row r="854" spans="38:40" ht="15">
      <c r="AL854" s="153"/>
      <c r="AM854" s="154"/>
      <c r="AN854" s="155"/>
    </row>
  </sheetData>
  <sortState xmlns:xlrd2="http://schemas.microsoft.com/office/spreadsheetml/2017/richdata2" ref="AD141:AG144">
    <sortCondition ref="AD141:AD144"/>
  </sortState>
  <mergeCells count="8">
    <mergeCell ref="AB1:AK7"/>
    <mergeCell ref="AV1:AW1"/>
    <mergeCell ref="AD9:AG9"/>
    <mergeCell ref="AQ1:AR1"/>
    <mergeCell ref="AQ2:AR2"/>
    <mergeCell ref="AW4:AY4"/>
    <mergeCell ref="AW5:AY5"/>
    <mergeCell ref="AW6:AY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erDerniereLigne">
                <anchor moveWithCells="1" sizeWithCells="1">
                  <from>
                    <xdr:col>34</xdr:col>
                    <xdr:colOff>485775</xdr:colOff>
                    <xdr:row>8</xdr:row>
                    <xdr:rowOff>104775</xdr:rowOff>
                  </from>
                  <to>
                    <xdr:col>35</xdr:col>
                    <xdr:colOff>581025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AG90"/>
  <sheetViews>
    <sheetView zoomScale="85" zoomScaleNormal="85" workbookViewId="0">
      <pane ySplit="9" topLeftCell="A37" activePane="bottomLeft" state="frozenSplit"/>
      <selection activeCell="AC65" sqref="AC65:AC68"/>
      <selection pane="bottomLeft" activeCell="G54" sqref="G54"/>
    </sheetView>
  </sheetViews>
  <sheetFormatPr baseColWidth="10" defaultColWidth="11.42578125" defaultRowHeight="12.75"/>
  <cols>
    <col min="1" max="1" width="7.140625" style="2" customWidth="1"/>
    <col min="2" max="2" width="10.42578125" style="16" bestFit="1" customWidth="1"/>
    <col min="3" max="5" width="24.5703125" style="2" customWidth="1"/>
    <col min="6" max="10" width="18.28515625" style="2" customWidth="1"/>
    <col min="11" max="13" width="23.5703125" style="12" customWidth="1"/>
    <col min="14" max="16384" width="11.42578125" style="2"/>
  </cols>
  <sheetData>
    <row r="1" spans="1:13" ht="15.75">
      <c r="H1" s="201" t="s">
        <v>6</v>
      </c>
      <c r="I1" s="201"/>
      <c r="J1" s="201"/>
      <c r="K1" s="201"/>
      <c r="L1" s="201"/>
      <c r="M1" s="201"/>
    </row>
    <row r="2" spans="1:13" ht="15.75">
      <c r="H2" s="201" t="s">
        <v>25</v>
      </c>
      <c r="I2" s="201"/>
      <c r="J2" s="201"/>
      <c r="K2" s="201"/>
      <c r="L2" s="201"/>
      <c r="M2" s="201"/>
    </row>
    <row r="3" spans="1:13" ht="15" customHeight="1"/>
    <row r="4" spans="1:13" ht="15" customHeight="1">
      <c r="F4" s="24"/>
      <c r="G4" s="24"/>
      <c r="H4" s="24"/>
    </row>
    <row r="5" spans="1:13" ht="18">
      <c r="A5" s="200" t="s">
        <v>81</v>
      </c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</row>
    <row r="6" spans="1:13" ht="15" customHeight="1">
      <c r="F6" s="24"/>
      <c r="G6" s="24"/>
      <c r="H6" s="24"/>
    </row>
    <row r="7" spans="1:13" ht="15" customHeight="1" thickBot="1">
      <c r="F7" s="24"/>
      <c r="G7" s="24"/>
      <c r="H7" s="24"/>
    </row>
    <row r="8" spans="1:13" ht="16.5" thickBot="1">
      <c r="A8" s="8"/>
      <c r="B8" s="17"/>
      <c r="C8" s="197" t="s">
        <v>22</v>
      </c>
      <c r="D8" s="198"/>
      <c r="E8" s="199"/>
      <c r="F8" s="6"/>
      <c r="K8" s="197" t="s">
        <v>23</v>
      </c>
      <c r="L8" s="198"/>
      <c r="M8" s="199"/>
    </row>
    <row r="9" spans="1:13" ht="51" customHeight="1">
      <c r="A9" s="163" t="s">
        <v>7</v>
      </c>
      <c r="B9" s="164" t="s">
        <v>8</v>
      </c>
      <c r="C9" s="165" t="s">
        <v>91</v>
      </c>
      <c r="D9" s="165" t="s">
        <v>92</v>
      </c>
      <c r="E9" s="165" t="s">
        <v>93</v>
      </c>
      <c r="F9" s="166"/>
      <c r="G9" s="166"/>
      <c r="H9" s="166"/>
      <c r="I9" s="166"/>
      <c r="J9" s="166"/>
      <c r="K9" s="165" t="s">
        <v>86</v>
      </c>
      <c r="L9" s="165" t="s">
        <v>87</v>
      </c>
      <c r="M9" s="165" t="s">
        <v>88</v>
      </c>
    </row>
    <row r="10" spans="1:13" ht="20.100000000000001" customHeight="1">
      <c r="A10" s="40">
        <f t="shared" ref="A10:A50" si="0">jours</f>
        <v>0</v>
      </c>
      <c r="B10" s="41">
        <f t="shared" ref="B10:B50" si="1">date</f>
        <v>45532</v>
      </c>
      <c r="C10" s="38">
        <f t="shared" ref="C10:C50" si="2">Ecart_BG</f>
        <v>0</v>
      </c>
      <c r="D10" s="38">
        <f t="shared" ref="D10:D50" si="3">Ecart_IG</f>
        <v>0</v>
      </c>
      <c r="E10" s="38">
        <f t="shared" ref="E10:E50" si="4">Ecart_HG</f>
        <v>0</v>
      </c>
      <c r="K10" s="39"/>
      <c r="L10" s="39"/>
      <c r="M10" s="39"/>
    </row>
    <row r="11" spans="1:13" ht="20.100000000000001" customHeight="1">
      <c r="A11" s="40">
        <f t="shared" si="0"/>
        <v>8</v>
      </c>
      <c r="B11" s="41">
        <f t="shared" si="1"/>
        <v>45540</v>
      </c>
      <c r="C11" s="38">
        <f t="shared" si="2"/>
        <v>-0.75528292042115197</v>
      </c>
      <c r="D11" s="38">
        <f t="shared" si="3"/>
        <v>0</v>
      </c>
      <c r="E11" s="38"/>
      <c r="K11" s="39">
        <f t="shared" ref="K11:M12" si="5">IF(AND(C11&lt;&gt;"",C10&lt;&gt;""),(C11-C10)/($B11-$B10),"")</f>
        <v>-9.4410365052643996E-2</v>
      </c>
      <c r="L11" s="39">
        <f t="shared" si="5"/>
        <v>0</v>
      </c>
      <c r="M11" s="39" t="str">
        <f t="shared" si="5"/>
        <v/>
      </c>
    </row>
    <row r="12" spans="1:13" ht="20.100000000000001" customHeight="1">
      <c r="A12" s="40">
        <f t="shared" si="0"/>
        <v>12</v>
      </c>
      <c r="B12" s="41">
        <f t="shared" si="1"/>
        <v>45544</v>
      </c>
      <c r="C12" s="38">
        <f t="shared" si="2"/>
        <v>-0.85154837162626507</v>
      </c>
      <c r="D12" s="38">
        <f t="shared" si="3"/>
        <v>0</v>
      </c>
      <c r="E12" s="38"/>
      <c r="K12" s="39">
        <f t="shared" si="5"/>
        <v>-2.4066362801278274E-2</v>
      </c>
      <c r="L12" s="39">
        <f t="shared" si="5"/>
        <v>0</v>
      </c>
      <c r="M12" s="39" t="str">
        <f t="shared" si="5"/>
        <v/>
      </c>
    </row>
    <row r="13" spans="1:13" ht="20.100000000000001" customHeight="1">
      <c r="A13" s="40">
        <f t="shared" si="0"/>
        <v>16</v>
      </c>
      <c r="B13" s="41">
        <f t="shared" si="1"/>
        <v>45548</v>
      </c>
      <c r="C13" s="38">
        <f t="shared" si="2"/>
        <v>-1.3098459006455343</v>
      </c>
      <c r="D13" s="38">
        <f t="shared" si="3"/>
        <v>0.29605890875483709</v>
      </c>
      <c r="E13" s="38"/>
      <c r="K13" s="39">
        <f t="shared" ref="K13" si="6">IF(AND(C13&lt;&gt;"",C12&lt;&gt;""),(C13-C12)/($B13-$B12),"")</f>
        <v>-0.11457438225481731</v>
      </c>
      <c r="L13" s="39">
        <f t="shared" ref="L13" si="7">IF(AND(D13&lt;&gt;"",D12&lt;&gt;""),(D13-D12)/($B13-$B12),"")</f>
        <v>7.4014727188709273E-2</v>
      </c>
      <c r="M13" s="39" t="str">
        <f t="shared" ref="M13" si="8">IF(AND(E13&lt;&gt;"",E12&lt;&gt;""),(E13-E12)/($B13-$B12),"")</f>
        <v/>
      </c>
    </row>
    <row r="14" spans="1:13" ht="20.100000000000001" customHeight="1">
      <c r="A14" s="40">
        <f t="shared" si="0"/>
        <v>20</v>
      </c>
      <c r="B14" s="41">
        <f t="shared" si="1"/>
        <v>45552</v>
      </c>
      <c r="C14" s="38">
        <f t="shared" si="2"/>
        <v>-1.0441417221649374</v>
      </c>
      <c r="D14" s="38">
        <f t="shared" si="3"/>
        <v>-8.9106111182069014E-2</v>
      </c>
      <c r="E14" s="38">
        <f t="shared" si="4"/>
        <v>0</v>
      </c>
      <c r="K14" s="39">
        <f t="shared" ref="K14" si="9">IF(AND(C14&lt;&gt;"",C13&lt;&gt;""),(C14-C13)/($B14-$B13),"")</f>
        <v>6.6426044620149227E-2</v>
      </c>
      <c r="L14" s="39">
        <f t="shared" ref="L14" si="10">IF(AND(D14&lt;&gt;"",D13&lt;&gt;""),(D14-D13)/($B14-$B13),"")</f>
        <v>-9.6291254984226526E-2</v>
      </c>
      <c r="M14" s="39" t="str">
        <f t="shared" ref="M14" si="11">IF(AND(E14&lt;&gt;"",E13&lt;&gt;""),(E14-E13)/($B14-$B13),"")</f>
        <v/>
      </c>
    </row>
    <row r="15" spans="1:13" ht="20.100000000000001" customHeight="1">
      <c r="A15" s="40">
        <f t="shared" si="0"/>
        <v>21</v>
      </c>
      <c r="B15" s="41">
        <f t="shared" si="1"/>
        <v>45553</v>
      </c>
      <c r="C15" s="38">
        <f t="shared" si="2"/>
        <v>-0.93063220626543597</v>
      </c>
      <c r="D15" s="38">
        <f t="shared" si="3"/>
        <v>-0.14208484507083341</v>
      </c>
      <c r="E15" s="38">
        <f t="shared" si="4"/>
        <v>0</v>
      </c>
      <c r="K15" s="39">
        <f t="shared" ref="K15" si="12">IF(AND(C15&lt;&gt;"",C14&lt;&gt;""),(C15-C14)/($B15-$B14),"")</f>
        <v>0.11350951589950142</v>
      </c>
      <c r="L15" s="39">
        <f t="shared" ref="L15" si="13">IF(AND(D15&lt;&gt;"",D14&lt;&gt;""),(D15-D14)/($B15-$B14),"")</f>
        <v>-5.2978733888764395E-2</v>
      </c>
      <c r="M15" s="39">
        <f t="shared" ref="M15" si="14">IF(AND(E15&lt;&gt;"",E14&lt;&gt;""),(E15-E14)/($B15-$B14),"")</f>
        <v>0</v>
      </c>
    </row>
    <row r="16" spans="1:13" ht="20.100000000000001" customHeight="1">
      <c r="A16" s="40">
        <f t="shared" si="0"/>
        <v>22</v>
      </c>
      <c r="B16" s="41">
        <f t="shared" si="1"/>
        <v>45554</v>
      </c>
      <c r="C16" s="38"/>
      <c r="D16" s="38"/>
      <c r="E16" s="38"/>
      <c r="K16" s="39" t="str">
        <f t="shared" ref="K16" si="15">IF(AND(C16&lt;&gt;"",C15&lt;&gt;""),(C16-C15)/($B16-$B15),"")</f>
        <v/>
      </c>
      <c r="L16" s="39" t="str">
        <f t="shared" ref="L16" si="16">IF(AND(D16&lt;&gt;"",D15&lt;&gt;""),(D16-D15)/($B16-$B15),"")</f>
        <v/>
      </c>
      <c r="M16" s="39" t="str">
        <f t="shared" ref="M16" si="17">IF(AND(E16&lt;&gt;"",E15&lt;&gt;""),(E16-E15)/($B16-$B15),"")</f>
        <v/>
      </c>
    </row>
    <row r="17" spans="1:13" ht="20.100000000000001" customHeight="1">
      <c r="A17" s="40">
        <f t="shared" si="0"/>
        <v>25</v>
      </c>
      <c r="B17" s="41">
        <f t="shared" si="1"/>
        <v>45557</v>
      </c>
      <c r="C17" s="38">
        <f t="shared" si="2"/>
        <v>-1.2695390441210819</v>
      </c>
      <c r="D17" s="38">
        <f t="shared" si="3"/>
        <v>9.4517110256653325E-2</v>
      </c>
      <c r="E17" s="38">
        <f t="shared" si="4"/>
        <v>-0.70606792271821206</v>
      </c>
      <c r="K17" s="39" t="str">
        <f t="shared" ref="K17" si="18">IF(AND(C17&lt;&gt;"",C16&lt;&gt;""),(C17-C16)/($B17-$B16),"")</f>
        <v/>
      </c>
      <c r="L17" s="39" t="str">
        <f t="shared" ref="L17" si="19">IF(AND(D17&lt;&gt;"",D16&lt;&gt;""),(D17-D16)/($B17-$B16),"")</f>
        <v/>
      </c>
      <c r="M17" s="39" t="str">
        <f t="shared" ref="M17" si="20">IF(AND(E17&lt;&gt;"",E16&lt;&gt;""),(E17-E16)/($B17-$B16),"")</f>
        <v/>
      </c>
    </row>
    <row r="18" spans="1:13" ht="20.100000000000001" customHeight="1">
      <c r="A18" s="40">
        <f t="shared" si="0"/>
        <v>26</v>
      </c>
      <c r="B18" s="41">
        <f t="shared" si="1"/>
        <v>45558</v>
      </c>
      <c r="C18" s="38">
        <f t="shared" si="2"/>
        <v>-1.0672306741552617</v>
      </c>
      <c r="D18" s="38">
        <f t="shared" si="3"/>
        <v>1.6944755447667603E-2</v>
      </c>
      <c r="E18" s="38">
        <f t="shared" si="4"/>
        <v>-0.72190413958139743</v>
      </c>
      <c r="K18" s="39">
        <f t="shared" ref="K18" si="21">IF(AND(C18&lt;&gt;"",C17&lt;&gt;""),(C18-C17)/($B18-$B17),"")</f>
        <v>0.20230836996582013</v>
      </c>
      <c r="L18" s="39">
        <f t="shared" ref="L18" si="22">IF(AND(D18&lt;&gt;"",D17&lt;&gt;""),(D18-D17)/($B18-$B17),"")</f>
        <v>-7.7572354808985722E-2</v>
      </c>
      <c r="M18" s="39">
        <f t="shared" ref="M18" si="23">IF(AND(E18&lt;&gt;"",E17&lt;&gt;""),(E18-E17)/($B18-$B17),"")</f>
        <v>-1.5836216863185371E-2</v>
      </c>
    </row>
    <row r="19" spans="1:13" ht="20.100000000000001" customHeight="1">
      <c r="A19" s="40">
        <f t="shared" si="0"/>
        <v>27</v>
      </c>
      <c r="B19" s="41">
        <f t="shared" si="1"/>
        <v>45559</v>
      </c>
      <c r="C19" s="38">
        <f t="shared" si="2"/>
        <v>-1.1982228588731658</v>
      </c>
      <c r="D19" s="38">
        <f t="shared" si="3"/>
        <v>-0.15129788255485721</v>
      </c>
      <c r="E19" s="38">
        <f t="shared" si="4"/>
        <v>-0.51401945698525964</v>
      </c>
      <c r="K19" s="39">
        <f t="shared" ref="K19:K20" si="24">IF(AND(C19&lt;&gt;"",C18&lt;&gt;""),(C19-C18)/($B19-$B18),"")</f>
        <v>-0.13099218471790408</v>
      </c>
      <c r="L19" s="39">
        <f t="shared" ref="L19:L20" si="25">IF(AND(D19&lt;&gt;"",D18&lt;&gt;""),(D19-D18)/($B19-$B18),"")</f>
        <v>-0.16824263800252481</v>
      </c>
      <c r="M19" s="39">
        <f t="shared" ref="M19:M20" si="26">IF(AND(E19&lt;&gt;"",E18&lt;&gt;""),(E19-E18)/($B19-$B18),"")</f>
        <v>0.20788468259613779</v>
      </c>
    </row>
    <row r="20" spans="1:13" ht="20.100000000000001" customHeight="1">
      <c r="A20" s="40">
        <f t="shared" si="0"/>
        <v>28</v>
      </c>
      <c r="B20" s="41">
        <f t="shared" si="1"/>
        <v>45560</v>
      </c>
      <c r="C20" s="38">
        <f t="shared" si="2"/>
        <v>-0.96576187601815633</v>
      </c>
      <c r="D20" s="38">
        <f t="shared" si="3"/>
        <v>-5.1295291561004319E-3</v>
      </c>
      <c r="E20" s="38">
        <f t="shared" si="4"/>
        <v>-0.52333192157849595</v>
      </c>
      <c r="K20" s="39">
        <f t="shared" si="24"/>
        <v>0.23246098285500949</v>
      </c>
      <c r="L20" s="39">
        <f t="shared" si="25"/>
        <v>0.14616835339875678</v>
      </c>
      <c r="M20" s="39">
        <f t="shared" si="26"/>
        <v>-9.3124645932363137E-3</v>
      </c>
    </row>
    <row r="21" spans="1:13" ht="20.100000000000001" customHeight="1">
      <c r="A21" s="40">
        <f t="shared" si="0"/>
        <v>30</v>
      </c>
      <c r="B21" s="41">
        <f t="shared" si="1"/>
        <v>45562</v>
      </c>
      <c r="C21" s="38">
        <f t="shared" si="2"/>
        <v>-1.0730572562183127</v>
      </c>
      <c r="D21" s="38">
        <f t="shared" si="3"/>
        <v>0.20932084664337935</v>
      </c>
      <c r="E21" s="38">
        <f t="shared" si="4"/>
        <v>-0.4673638527536994</v>
      </c>
      <c r="K21" s="39">
        <f t="shared" ref="K21" si="27">IF(AND(C21&lt;&gt;"",C20&lt;&gt;""),(C21-C20)/($B21-$B20),"")</f>
        <v>-5.3647690100078194E-2</v>
      </c>
      <c r="L21" s="39">
        <f t="shared" ref="L21" si="28">IF(AND(D21&lt;&gt;"",D20&lt;&gt;""),(D21-D20)/($B21-$B20),"")</f>
        <v>0.10722518789973989</v>
      </c>
      <c r="M21" s="39">
        <f t="shared" ref="M21" si="29">IF(AND(E21&lt;&gt;"",E20&lt;&gt;""),(E21-E20)/($B21-$B20),"")</f>
        <v>2.7984034412398273E-2</v>
      </c>
    </row>
    <row r="22" spans="1:13" ht="20.100000000000001" customHeight="1">
      <c r="A22" s="40">
        <f t="shared" si="0"/>
        <v>33</v>
      </c>
      <c r="B22" s="41">
        <f t="shared" si="1"/>
        <v>45565</v>
      </c>
      <c r="C22" s="38">
        <f t="shared" si="2"/>
        <v>-1.2579198478706033</v>
      </c>
      <c r="D22" s="38">
        <f t="shared" si="3"/>
        <v>-0.28186429840904026</v>
      </c>
      <c r="E22" s="38">
        <f t="shared" si="4"/>
        <v>-0.49885270529603787</v>
      </c>
      <c r="K22" s="39">
        <f t="shared" ref="K22" si="30">IF(AND(C22&lt;&gt;"",C21&lt;&gt;""),(C22-C21)/($B22-$B21),"")</f>
        <v>-6.1620863884096856E-2</v>
      </c>
      <c r="L22" s="39">
        <f t="shared" ref="L22" si="31">IF(AND(D22&lt;&gt;"",D21&lt;&gt;""),(D22-D21)/($B22-$B21),"")</f>
        <v>-0.16372838168413986</v>
      </c>
      <c r="M22" s="39">
        <f t="shared" ref="M22" si="32">IF(AND(E22&lt;&gt;"",E21&lt;&gt;""),(E22-E21)/($B22-$B21),"")</f>
        <v>-1.0496284180779488E-2</v>
      </c>
    </row>
    <row r="23" spans="1:13" ht="20.100000000000001" customHeight="1">
      <c r="A23" s="40">
        <f t="shared" si="0"/>
        <v>35</v>
      </c>
      <c r="B23" s="41">
        <f t="shared" si="1"/>
        <v>45567</v>
      </c>
      <c r="C23" s="38">
        <f t="shared" si="2"/>
        <v>-1.0345539456642072</v>
      </c>
      <c r="D23" s="38">
        <f t="shared" si="3"/>
        <v>-0.34363537322512627</v>
      </c>
      <c r="E23" s="38">
        <f t="shared" si="4"/>
        <v>-0.41642303689304327</v>
      </c>
      <c r="K23" s="39">
        <f t="shared" ref="K23" si="33">IF(AND(C23&lt;&gt;"",C22&lt;&gt;""),(C23-C22)/($B23-$B22),"")</f>
        <v>0.11168295110319804</v>
      </c>
      <c r="L23" s="39">
        <f t="shared" ref="L23" si="34">IF(AND(D23&lt;&gt;"",D22&lt;&gt;""),(D23-D22)/($B23-$B22),"")</f>
        <v>-3.0885537408043007E-2</v>
      </c>
      <c r="M23" s="39">
        <f t="shared" ref="M23" si="35">IF(AND(E23&lt;&gt;"",E22&lt;&gt;""),(E23-E22)/($B23-$B22),"")</f>
        <v>4.1214834201497297E-2</v>
      </c>
    </row>
    <row r="24" spans="1:13" ht="20.100000000000001" customHeight="1">
      <c r="A24" s="40">
        <f t="shared" si="0"/>
        <v>37</v>
      </c>
      <c r="B24" s="41">
        <f t="shared" si="1"/>
        <v>45569</v>
      </c>
      <c r="C24" s="38">
        <f t="shared" si="2"/>
        <v>-1.2135939902151449</v>
      </c>
      <c r="D24" s="38">
        <f t="shared" si="3"/>
        <v>-0.97408190928760519</v>
      </c>
      <c r="E24" s="38">
        <f t="shared" si="4"/>
        <v>-0.17769305771153654</v>
      </c>
      <c r="K24" s="39">
        <f t="shared" ref="K24" si="36">IF(AND(C24&lt;&gt;"",C23&lt;&gt;""),(C24-C23)/($B24-$B23),"")</f>
        <v>-8.9520022275468847E-2</v>
      </c>
      <c r="L24" s="39">
        <f t="shared" ref="L24" si="37">IF(AND(D24&lt;&gt;"",D23&lt;&gt;""),(D24-D23)/($B24-$B23),"")</f>
        <v>-0.31522326803123946</v>
      </c>
      <c r="M24" s="39">
        <f t="shared" ref="M24" si="38">IF(AND(E24&lt;&gt;"",E23&lt;&gt;""),(E24-E23)/($B24-$B23),"")</f>
        <v>0.11936498959075337</v>
      </c>
    </row>
    <row r="25" spans="1:13" ht="20.100000000000001" customHeight="1">
      <c r="A25" s="40">
        <f t="shared" si="0"/>
        <v>40</v>
      </c>
      <c r="B25" s="41">
        <f t="shared" si="1"/>
        <v>45572</v>
      </c>
      <c r="C25" s="38">
        <f t="shared" si="2"/>
        <v>-0.89587677604363591</v>
      </c>
      <c r="D25" s="38">
        <f t="shared" si="3"/>
        <v>-0.47412885311182151</v>
      </c>
      <c r="E25" s="38">
        <f t="shared" si="4"/>
        <v>-0.67846608604504866</v>
      </c>
      <c r="K25" s="39">
        <f t="shared" ref="K25" si="39">IF(AND(C25&lt;&gt;"",C24&lt;&gt;""),(C25-C24)/($B25-$B24),"")</f>
        <v>0.10590573805716967</v>
      </c>
      <c r="L25" s="39">
        <f t="shared" ref="L25" si="40">IF(AND(D25&lt;&gt;"",D24&lt;&gt;""),(D25-D24)/($B25-$B24),"")</f>
        <v>0.16665101872526122</v>
      </c>
      <c r="M25" s="39">
        <f t="shared" ref="M25" si="41">IF(AND(E25&lt;&gt;"",E24&lt;&gt;""),(E25-E24)/($B25-$B24),"")</f>
        <v>-0.16692434277783738</v>
      </c>
    </row>
    <row r="26" spans="1:13" ht="20.100000000000001" customHeight="1">
      <c r="A26" s="40">
        <f t="shared" si="0"/>
        <v>47</v>
      </c>
      <c r="B26" s="41">
        <f t="shared" si="1"/>
        <v>45579</v>
      </c>
      <c r="C26" s="38">
        <f t="shared" si="2"/>
        <v>-1.21743230929372</v>
      </c>
      <c r="D26" s="38">
        <f t="shared" si="3"/>
        <v>-0.11140824837596597</v>
      </c>
      <c r="E26" s="38">
        <f t="shared" si="4"/>
        <v>-0.44791166467028631</v>
      </c>
      <c r="K26" s="39">
        <f t="shared" ref="K26" si="42">IF(AND(C26&lt;&gt;"",C25&lt;&gt;""),(C26-C25)/($B26-$B25),"")</f>
        <v>-4.5936504750012021E-2</v>
      </c>
      <c r="L26" s="39">
        <f t="shared" ref="L26" si="43">IF(AND(D26&lt;&gt;"",D25&lt;&gt;""),(D26-D25)/($B26-$B25),"")</f>
        <v>5.1817229247979366E-2</v>
      </c>
      <c r="M26" s="39">
        <f t="shared" ref="M26" si="44">IF(AND(E26&lt;&gt;"",E25&lt;&gt;""),(E26-E25)/($B26-$B25),"")</f>
        <v>3.2936345910680336E-2</v>
      </c>
    </row>
    <row r="27" spans="1:13" ht="20.100000000000001" customHeight="1">
      <c r="A27" s="40">
        <f t="shared" si="0"/>
        <v>54</v>
      </c>
      <c r="B27" s="41">
        <f t="shared" si="1"/>
        <v>45586</v>
      </c>
      <c r="C27" s="38">
        <f t="shared" si="2"/>
        <v>-1.0422321470171525</v>
      </c>
      <c r="D27" s="38">
        <f t="shared" si="3"/>
        <v>-0.33038400369012066</v>
      </c>
      <c r="E27" s="38">
        <f t="shared" si="4"/>
        <v>-0.60963380018907998</v>
      </c>
      <c r="K27" s="39">
        <f t="shared" ref="K27" si="45">IF(AND(C27&lt;&gt;"",C26&lt;&gt;""),(C27-C26)/($B27-$B26),"")</f>
        <v>2.5028594610938221E-2</v>
      </c>
      <c r="L27" s="39">
        <f t="shared" ref="L27" si="46">IF(AND(D27&lt;&gt;"",D26&lt;&gt;""),(D27-D26)/($B27-$B26),"")</f>
        <v>-3.1282250759164958E-2</v>
      </c>
      <c r="M27" s="39">
        <f t="shared" ref="M27" si="47">IF(AND(E27&lt;&gt;"",E26&lt;&gt;""),(E27-E26)/($B27-$B26),"")</f>
        <v>-2.3103162216970525E-2</v>
      </c>
    </row>
    <row r="28" spans="1:13" ht="20.100000000000001" customHeight="1">
      <c r="A28" s="40">
        <f t="shared" si="0"/>
        <v>61</v>
      </c>
      <c r="B28" s="41">
        <f t="shared" si="1"/>
        <v>45593</v>
      </c>
      <c r="C28" s="38">
        <f t="shared" si="2"/>
        <v>-1.0922426475996616</v>
      </c>
      <c r="D28" s="38">
        <f t="shared" si="3"/>
        <v>-1.1422420003128764</v>
      </c>
      <c r="E28" s="38">
        <f t="shared" si="4"/>
        <v>-0.83029072933449299</v>
      </c>
      <c r="K28" s="39">
        <f t="shared" ref="K28" si="48">IF(AND(C28&lt;&gt;"",C27&lt;&gt;""),(C28-C27)/($B28-$B27),"")</f>
        <v>-7.1443572260727296E-3</v>
      </c>
      <c r="L28" s="39">
        <f t="shared" ref="L28" si="49">IF(AND(D28&lt;&gt;"",D27&lt;&gt;""),(D28-D27)/($B28-$B27),"")</f>
        <v>-0.11597971380325081</v>
      </c>
      <c r="M28" s="39">
        <f t="shared" ref="M28" si="50">IF(AND(E28&lt;&gt;"",E27&lt;&gt;""),(E28-E27)/($B28-$B27),"")</f>
        <v>-3.1522418449344718E-2</v>
      </c>
    </row>
    <row r="29" spans="1:13" ht="20.100000000000001" customHeight="1">
      <c r="A29" s="40">
        <f t="shared" si="0"/>
        <v>69</v>
      </c>
      <c r="B29" s="41">
        <f t="shared" si="1"/>
        <v>45601</v>
      </c>
      <c r="C29" s="38">
        <f t="shared" si="2"/>
        <v>-1.4749657560928497</v>
      </c>
      <c r="D29" s="38">
        <f t="shared" si="3"/>
        <v>-1.9819856222635934</v>
      </c>
      <c r="E29" s="38">
        <f t="shared" si="4"/>
        <v>-1.2074945479492172</v>
      </c>
      <c r="K29" s="39">
        <f t="shared" ref="K29" si="51">IF(AND(C29&lt;&gt;"",C28&lt;&gt;""),(C29-C28)/($B29-$B28),"")</f>
        <v>-4.7840388561648517E-2</v>
      </c>
      <c r="L29" s="39">
        <f t="shared" ref="L29" si="52">IF(AND(D29&lt;&gt;"",D28&lt;&gt;""),(D29-D28)/($B29-$B28),"")</f>
        <v>-0.10496795274383963</v>
      </c>
      <c r="M29" s="39">
        <f t="shared" ref="M29" si="53">IF(AND(E29&lt;&gt;"",E28&lt;&gt;""),(E29-E28)/($B29-$B28),"")</f>
        <v>-4.7150477326840523E-2</v>
      </c>
    </row>
    <row r="30" spans="1:13" ht="20.100000000000001" customHeight="1">
      <c r="A30" s="40">
        <f t="shared" si="0"/>
        <v>77</v>
      </c>
      <c r="B30" s="41">
        <f t="shared" si="1"/>
        <v>45609</v>
      </c>
      <c r="C30" s="38">
        <f t="shared" si="2"/>
        <v>-1.0379623281924211</v>
      </c>
      <c r="D30" s="38">
        <f t="shared" si="3"/>
        <v>-1.8524123869765319</v>
      </c>
      <c r="E30" s="38">
        <f t="shared" si="4"/>
        <v>-1.2538472498997422</v>
      </c>
      <c r="K30" s="39">
        <f t="shared" ref="K30" si="54">IF(AND(C30&lt;&gt;"",C29&lt;&gt;""),(C30-C29)/($B30-$B29),"")</f>
        <v>5.4625428487553584E-2</v>
      </c>
      <c r="L30" s="39">
        <f t="shared" ref="L30" si="55">IF(AND(D30&lt;&gt;"",D29&lt;&gt;""),(D30-D29)/($B30-$B29),"")</f>
        <v>1.6196654410882694E-2</v>
      </c>
      <c r="M30" s="39">
        <f t="shared" ref="M30" si="56">IF(AND(E30&lt;&gt;"",E29&lt;&gt;""),(E30-E29)/($B30-$B29),"")</f>
        <v>-5.7940877438156235E-3</v>
      </c>
    </row>
    <row r="31" spans="1:13" ht="20.100000000000001" customHeight="1">
      <c r="A31" s="40">
        <f t="shared" si="0"/>
        <v>90</v>
      </c>
      <c r="B31" s="41">
        <f t="shared" si="1"/>
        <v>45622</v>
      </c>
      <c r="C31" s="38">
        <f t="shared" si="2"/>
        <v>-1.7816401133234905</v>
      </c>
      <c r="D31" s="38">
        <f t="shared" si="3"/>
        <v>-0.98323467576832968</v>
      </c>
      <c r="E31" s="38">
        <f t="shared" si="4"/>
        <v>-1.4206344450578001</v>
      </c>
      <c r="K31" s="39">
        <f t="shared" ref="K31" si="57">IF(AND(C31&lt;&gt;"",C30&lt;&gt;""),(C31-C30)/($B31-$B30),"")</f>
        <v>-5.7205983471620724E-2</v>
      </c>
      <c r="L31" s="39">
        <f t="shared" ref="L31" si="58">IF(AND(D31&lt;&gt;"",D30&lt;&gt;""),(D31-D30)/($B31-$B30),"")</f>
        <v>6.6859823939092483E-2</v>
      </c>
      <c r="M31" s="39">
        <f t="shared" ref="M31" si="59">IF(AND(E31&lt;&gt;"",E30&lt;&gt;""),(E31-E30)/($B31-$B30),"")</f>
        <v>-1.2829784242927534E-2</v>
      </c>
    </row>
    <row r="32" spans="1:13" ht="20.100000000000001" customHeight="1">
      <c r="A32" s="40">
        <f t="shared" si="0"/>
        <v>112</v>
      </c>
      <c r="B32" s="41">
        <f t="shared" si="1"/>
        <v>45644</v>
      </c>
      <c r="C32" s="38">
        <f t="shared" si="2"/>
        <v>-1.8912003849251846</v>
      </c>
      <c r="D32" s="38">
        <f t="shared" si="3"/>
        <v>-1.8834791002166895</v>
      </c>
      <c r="E32" s="38">
        <f t="shared" si="4"/>
        <v>-3.4888982657106382</v>
      </c>
      <c r="K32" s="39">
        <f t="shared" ref="K32" si="60">IF(AND(C32&lt;&gt;"",C31&lt;&gt;""),(C32-C31)/($B32-$B31),"")</f>
        <v>-4.9800123455315511E-3</v>
      </c>
      <c r="L32" s="39">
        <f t="shared" ref="L32" si="61">IF(AND(D32&lt;&gt;"",D31&lt;&gt;""),(D32-D31)/($B32-$B31),"")</f>
        <v>-4.0920201111289085E-2</v>
      </c>
      <c r="M32" s="39">
        <f t="shared" ref="M32" si="62">IF(AND(E32&lt;&gt;"",E31&lt;&gt;""),(E32-E31)/($B32-$B31),"")</f>
        <v>-9.4011991847856274E-2</v>
      </c>
    </row>
    <row r="33" spans="1:13" ht="20.100000000000001" customHeight="1">
      <c r="A33" s="40">
        <f t="shared" si="0"/>
        <v>131</v>
      </c>
      <c r="B33" s="41">
        <f t="shared" si="1"/>
        <v>45663</v>
      </c>
      <c r="C33" s="38">
        <f t="shared" si="2"/>
        <v>-2.272415011488782</v>
      </c>
      <c r="D33" s="38">
        <f t="shared" si="3"/>
        <v>-1.4755882390362629</v>
      </c>
      <c r="E33" s="38">
        <f t="shared" si="4"/>
        <v>-5.8082121098381734</v>
      </c>
      <c r="K33" s="39">
        <f t="shared" ref="K33" si="63">IF(AND(C33&lt;&gt;"",C32&lt;&gt;""),(C33-C32)/($B33-$B32),"")</f>
        <v>-2.0063927713873546E-2</v>
      </c>
      <c r="L33" s="39">
        <f t="shared" ref="L33" si="64">IF(AND(D33&lt;&gt;"",D32&lt;&gt;""),(D33-D32)/($B33-$B32),"")</f>
        <v>2.1467940062127717E-2</v>
      </c>
      <c r="M33" s="39">
        <f t="shared" ref="M33" si="65">IF(AND(E33&lt;&gt;"",E32&lt;&gt;""),(E33-E32)/($B33-$B32),"")</f>
        <v>-0.1220691496909229</v>
      </c>
    </row>
    <row r="34" spans="1:13" ht="20.100000000000001" customHeight="1">
      <c r="A34" s="40">
        <f t="shared" si="0"/>
        <v>134</v>
      </c>
      <c r="B34" s="41">
        <f t="shared" si="1"/>
        <v>45666</v>
      </c>
      <c r="C34" s="38">
        <f t="shared" si="2"/>
        <v>-2.3723861600366547</v>
      </c>
      <c r="D34" s="38">
        <f t="shared" si="3"/>
        <v>-2.2686705054013601</v>
      </c>
      <c r="E34" s="38">
        <f t="shared" si="4"/>
        <v>-5.9523929707436807</v>
      </c>
      <c r="K34" s="39">
        <f t="shared" ref="K34" si="66">IF(AND(C34&lt;&gt;"",C33&lt;&gt;""),(C34-C33)/($B34-$B33),"")</f>
        <v>-3.3323716182624231E-2</v>
      </c>
      <c r="L34" s="39">
        <f t="shared" ref="L34" si="67">IF(AND(D34&lt;&gt;"",D33&lt;&gt;""),(D34-D33)/($B34-$B33),"")</f>
        <v>-0.2643607554550324</v>
      </c>
      <c r="M34" s="39">
        <f t="shared" ref="M34" si="68">IF(AND(E34&lt;&gt;"",E33&lt;&gt;""),(E34-E33)/($B34-$B33),"")</f>
        <v>-4.8060286968502432E-2</v>
      </c>
    </row>
    <row r="35" spans="1:13" ht="20.100000000000001" customHeight="1">
      <c r="A35" s="40">
        <f t="shared" si="0"/>
        <v>138</v>
      </c>
      <c r="B35" s="41">
        <f t="shared" si="1"/>
        <v>45670</v>
      </c>
      <c r="C35" s="38">
        <f t="shared" si="2"/>
        <v>-2.653626691256683</v>
      </c>
      <c r="D35" s="38">
        <f t="shared" si="3"/>
        <v>-2.4456322236403594</v>
      </c>
      <c r="E35" s="38">
        <f t="shared" si="4"/>
        <v>-6.3462107374325782</v>
      </c>
      <c r="K35" s="39">
        <f t="shared" ref="K35" si="69">IF(AND(C35&lt;&gt;"",C34&lt;&gt;""),(C35-C34)/($B35-$B34),"")</f>
        <v>-7.0310132805007086E-2</v>
      </c>
      <c r="L35" s="39">
        <f t="shared" ref="L35" si="70">IF(AND(D35&lt;&gt;"",D34&lt;&gt;""),(D35-D34)/($B35-$B34),"")</f>
        <v>-4.4240429559749828E-2</v>
      </c>
      <c r="M35" s="39">
        <f t="shared" ref="M35" si="71">IF(AND(E35&lt;&gt;"",E34&lt;&gt;""),(E35-E34)/($B35-$B34),"")</f>
        <v>-9.8454441672224391E-2</v>
      </c>
    </row>
    <row r="36" spans="1:13" ht="20.100000000000001" customHeight="1">
      <c r="A36" s="40">
        <f t="shared" si="0"/>
        <v>142</v>
      </c>
      <c r="B36" s="41">
        <f t="shared" si="1"/>
        <v>45674</v>
      </c>
      <c r="C36" s="38">
        <f t="shared" si="2"/>
        <v>-2.792324287231196</v>
      </c>
      <c r="D36" s="38">
        <f t="shared" si="3"/>
        <v>-2.0539514065127662</v>
      </c>
      <c r="E36" s="38">
        <f t="shared" si="4"/>
        <v>-6.3940489817326807</v>
      </c>
      <c r="K36" s="39">
        <f t="shared" ref="K36" si="72">IF(AND(C36&lt;&gt;"",C35&lt;&gt;""),(C36-C35)/($B36-$B35),"")</f>
        <v>-3.467439899362823E-2</v>
      </c>
      <c r="L36" s="39">
        <f t="shared" ref="L36" si="73">IF(AND(D36&lt;&gt;"",D35&lt;&gt;""),(D36-D35)/($B36-$B35),"")</f>
        <v>9.7920204281898293E-2</v>
      </c>
      <c r="M36" s="39">
        <f t="shared" ref="M36" si="74">IF(AND(E36&lt;&gt;"",E35&lt;&gt;""),(E36-E35)/($B36-$B35),"")</f>
        <v>-1.1959561075025604E-2</v>
      </c>
    </row>
    <row r="37" spans="1:13" ht="20.100000000000001" customHeight="1">
      <c r="A37" s="40">
        <f t="shared" si="0"/>
        <v>149</v>
      </c>
      <c r="B37" s="41">
        <f t="shared" si="1"/>
        <v>45681</v>
      </c>
      <c r="C37" s="38">
        <f t="shared" si="2"/>
        <v>-2.3785209799243034</v>
      </c>
      <c r="D37" s="38">
        <f t="shared" si="3"/>
        <v>-1.7398705534095171</v>
      </c>
      <c r="E37" s="38">
        <f t="shared" si="4"/>
        <v>-6.4349282829807564</v>
      </c>
      <c r="K37" s="39">
        <f t="shared" ref="K37" si="75">IF(AND(C37&lt;&gt;"",C36&lt;&gt;""),(C37-C36)/($B37-$B36),"")</f>
        <v>5.9114758186698931E-2</v>
      </c>
      <c r="L37" s="39">
        <f t="shared" ref="L37" si="76">IF(AND(D37&lt;&gt;"",D36&lt;&gt;""),(D37-D36)/($B37-$B36),"")</f>
        <v>4.4868693300464155E-2</v>
      </c>
      <c r="M37" s="39">
        <f t="shared" ref="M37" si="77">IF(AND(E37&lt;&gt;"",E36&lt;&gt;""),(E37-E36)/($B37-$B36),"")</f>
        <v>-5.8399001782965297E-3</v>
      </c>
    </row>
    <row r="38" spans="1:13" ht="20.100000000000001" customHeight="1">
      <c r="A38" s="40">
        <f t="shared" si="0"/>
        <v>154</v>
      </c>
      <c r="B38" s="41">
        <f t="shared" si="1"/>
        <v>45686</v>
      </c>
      <c r="C38" s="38">
        <f t="shared" si="2"/>
        <v>-2.4496847514248188</v>
      </c>
      <c r="D38" s="38">
        <f t="shared" si="3"/>
        <v>-1.6293601601518048</v>
      </c>
      <c r="E38" s="38">
        <f t="shared" si="4"/>
        <v>-6.7809571823671533</v>
      </c>
      <c r="K38" s="39">
        <f t="shared" ref="K38" si="78">IF(AND(C38&lt;&gt;"",C37&lt;&gt;""),(C38-C37)/($B38-$B37),"")</f>
        <v>-1.4232754300103068E-2</v>
      </c>
      <c r="L38" s="39">
        <f t="shared" ref="L38" si="79">IF(AND(D38&lt;&gt;"",D37&lt;&gt;""),(D38-D37)/($B38-$B37),"")</f>
        <v>2.2102078651542456E-2</v>
      </c>
      <c r="M38" s="39">
        <f t="shared" ref="M38" si="80">IF(AND(E38&lt;&gt;"",E37&lt;&gt;""),(E38-E37)/($B38-$B37),"")</f>
        <v>-6.9205779877279383E-2</v>
      </c>
    </row>
    <row r="39" spans="1:13" ht="20.100000000000001" customHeight="1">
      <c r="A39" s="40">
        <f t="shared" si="0"/>
        <v>163</v>
      </c>
      <c r="B39" s="41">
        <f t="shared" si="1"/>
        <v>45695</v>
      </c>
      <c r="C39" s="38">
        <f t="shared" si="2"/>
        <v>-2.153175056459844</v>
      </c>
      <c r="D39" s="38">
        <f t="shared" si="3"/>
        <v>-2.1069343685411468</v>
      </c>
      <c r="E39" s="38">
        <f t="shared" si="4"/>
        <v>-6.8389982323653342</v>
      </c>
      <c r="K39" s="39">
        <f t="shared" ref="K39" si="81">IF(AND(C39&lt;&gt;"",C38&lt;&gt;""),(C39-C38)/($B39-$B38),"")</f>
        <v>3.2945521662774979E-2</v>
      </c>
      <c r="L39" s="39">
        <f t="shared" ref="L39" si="82">IF(AND(D39&lt;&gt;"",D38&lt;&gt;""),(D39-D38)/($B39-$B38),"")</f>
        <v>-5.3063800932149102E-2</v>
      </c>
      <c r="M39" s="39">
        <f t="shared" ref="M39" si="83">IF(AND(E39&lt;&gt;"",E38&lt;&gt;""),(E39-E38)/($B39-$B38),"")</f>
        <v>-6.4490055553534376E-3</v>
      </c>
    </row>
    <row r="40" spans="1:13" ht="20.100000000000001" customHeight="1">
      <c r="A40" s="40">
        <f t="shared" si="0"/>
        <v>169</v>
      </c>
      <c r="B40" s="41">
        <f t="shared" si="1"/>
        <v>45701</v>
      </c>
      <c r="C40" s="38">
        <f t="shared" si="2"/>
        <v>-2.3630802402729856</v>
      </c>
      <c r="D40" s="38">
        <f t="shared" si="3"/>
        <v>-1.5208444175378588</v>
      </c>
      <c r="E40" s="38">
        <f t="shared" si="4"/>
        <v>-6.924656803389162</v>
      </c>
      <c r="K40" s="39">
        <f t="shared" ref="K40" si="84">IF(AND(C40&lt;&gt;"",C39&lt;&gt;""),(C40-C39)/($B40-$B39),"")</f>
        <v>-3.4984197302190267E-2</v>
      </c>
      <c r="L40" s="39">
        <f t="shared" ref="L40" si="85">IF(AND(D40&lt;&gt;"",D39&lt;&gt;""),(D40-D39)/($B40-$B39),"")</f>
        <v>9.7681658500547996E-2</v>
      </c>
      <c r="M40" s="39">
        <f t="shared" ref="M40" si="86">IF(AND(E40&lt;&gt;"",E39&lt;&gt;""),(E40-E39)/($B40-$B39),"")</f>
        <v>-1.4276428503971298E-2</v>
      </c>
    </row>
    <row r="41" spans="1:13" ht="20.100000000000001" customHeight="1">
      <c r="A41" s="40">
        <f t="shared" si="0"/>
        <v>176</v>
      </c>
      <c r="B41" s="41">
        <f t="shared" si="1"/>
        <v>45708</v>
      </c>
      <c r="C41" s="38">
        <f t="shared" si="2"/>
        <v>-2.4439429553888559</v>
      </c>
      <c r="D41" s="38">
        <f t="shared" si="3"/>
        <v>-1.8151615197625759</v>
      </c>
      <c r="E41" s="38">
        <f t="shared" si="4"/>
        <v>-7.1253758500597897</v>
      </c>
      <c r="K41" s="39">
        <f t="shared" ref="K41" si="87">IF(AND(C41&lt;&gt;"",C40&lt;&gt;""),(C41-C40)/($B41-$B40),"")</f>
        <v>-1.1551816445124327E-2</v>
      </c>
      <c r="L41" s="39">
        <f t="shared" ref="L41" si="88">IF(AND(D41&lt;&gt;"",D40&lt;&gt;""),(D41-D40)/($B41-$B40),"")</f>
        <v>-4.2045300317816725E-2</v>
      </c>
      <c r="M41" s="39">
        <f t="shared" ref="M41" si="89">IF(AND(E41&lt;&gt;"",E40&lt;&gt;""),(E41-E40)/($B41-$B40),"")</f>
        <v>-2.8674149524375383E-2</v>
      </c>
    </row>
    <row r="42" spans="1:13" ht="20.100000000000001" customHeight="1">
      <c r="A42" s="40">
        <f t="shared" si="0"/>
        <v>183</v>
      </c>
      <c r="B42" s="41">
        <f t="shared" si="1"/>
        <v>45715</v>
      </c>
      <c r="C42" s="38">
        <f t="shared" si="2"/>
        <v>-2.3225666699007164</v>
      </c>
      <c r="D42" s="38">
        <f t="shared" si="3"/>
        <v>-1.6669170561716129</v>
      </c>
      <c r="E42" s="38">
        <f t="shared" si="4"/>
        <v>-7.0748923133452379</v>
      </c>
      <c r="K42" s="39">
        <f t="shared" ref="K42" si="90">IF(AND(C42&lt;&gt;"",C41&lt;&gt;""),(C42-C41)/($B42-$B41),"")</f>
        <v>1.73394693554485E-2</v>
      </c>
      <c r="L42" s="39">
        <f t="shared" ref="L42" si="91">IF(AND(D42&lt;&gt;"",D41&lt;&gt;""),(D42-D41)/($B42-$B41),"")</f>
        <v>2.1177780512994713E-2</v>
      </c>
      <c r="M42" s="39">
        <f t="shared" ref="M42" si="92">IF(AND(E42&lt;&gt;"",E41&lt;&gt;""),(E42-E41)/($B42-$B41),"")</f>
        <v>7.2119338163645352E-3</v>
      </c>
    </row>
    <row r="43" spans="1:13" ht="20.100000000000001" customHeight="1">
      <c r="A43" s="40">
        <f t="shared" si="0"/>
        <v>190</v>
      </c>
      <c r="B43" s="41">
        <f t="shared" si="1"/>
        <v>45722</v>
      </c>
      <c r="C43" s="38">
        <f t="shared" si="2"/>
        <v>-2.5862710230022401</v>
      </c>
      <c r="D43" s="38">
        <f t="shared" si="3"/>
        <v>-1.6314737515017441</v>
      </c>
      <c r="E43" s="38">
        <f t="shared" si="4"/>
        <v>-7.3726130549465196</v>
      </c>
      <c r="K43" s="39">
        <f t="shared" ref="K43" si="93">IF(AND(C43&lt;&gt;"",C42&lt;&gt;""),(C43-C42)/($B43-$B42),"")</f>
        <v>-3.7672050443074818E-2</v>
      </c>
      <c r="L43" s="39">
        <f t="shared" ref="L43" si="94">IF(AND(D43&lt;&gt;"",D42&lt;&gt;""),(D43-D42)/($B43-$B42),"")</f>
        <v>5.0633292385526829E-3</v>
      </c>
      <c r="M43" s="39">
        <f t="shared" ref="M43" si="95">IF(AND(E43&lt;&gt;"",E42&lt;&gt;""),(E43-E42)/($B43-$B42),"")</f>
        <v>-4.2531534514468818E-2</v>
      </c>
    </row>
    <row r="44" spans="1:13" ht="20.100000000000001" customHeight="1">
      <c r="A44" s="40">
        <f t="shared" si="0"/>
        <v>197</v>
      </c>
      <c r="B44" s="41">
        <f t="shared" si="1"/>
        <v>45729</v>
      </c>
      <c r="C44" s="38">
        <f t="shared" si="2"/>
        <v>-2.5727844336973504</v>
      </c>
      <c r="D44" s="38">
        <f t="shared" si="3"/>
        <v>-2.4057159999042455</v>
      </c>
      <c r="E44" s="38">
        <f t="shared" si="4"/>
        <v>-7.3844971450762742</v>
      </c>
      <c r="K44" s="39">
        <f t="shared" ref="K44" si="96">IF(AND(C44&lt;&gt;"",C43&lt;&gt;""),(C44-C43)/($B44-$B43),"")</f>
        <v>1.9266556149842376E-3</v>
      </c>
      <c r="L44" s="39">
        <f t="shared" ref="L44" si="97">IF(AND(D44&lt;&gt;"",D43&lt;&gt;""),(D44-D43)/($B44-$B43),"")</f>
        <v>-0.11060603548607162</v>
      </c>
      <c r="M44" s="39">
        <f t="shared" ref="M44" si="98">IF(AND(E44&lt;&gt;"",E43&lt;&gt;""),(E44-E43)/($B44-$B43),"")</f>
        <v>-1.6977271613935077E-3</v>
      </c>
    </row>
    <row r="45" spans="1:13" ht="20.100000000000001" customHeight="1">
      <c r="A45" s="40">
        <f t="shared" si="0"/>
        <v>201</v>
      </c>
      <c r="B45" s="41">
        <f t="shared" si="1"/>
        <v>45733</v>
      </c>
      <c r="C45" s="38">
        <f t="shared" si="2"/>
        <v>-2.5342725322241577</v>
      </c>
      <c r="D45" s="38">
        <f t="shared" si="3"/>
        <v>-2.2575581595978278</v>
      </c>
      <c r="E45" s="38">
        <f t="shared" si="4"/>
        <v>-7.6052938680817306</v>
      </c>
      <c r="K45" s="39">
        <f t="shared" ref="K45" si="99">IF(AND(C45&lt;&gt;"",C44&lt;&gt;""),(C45-C44)/($B45-$B44),"")</f>
        <v>9.6279753682981806E-3</v>
      </c>
      <c r="L45" s="39">
        <f t="shared" ref="L45" si="100">IF(AND(D45&lt;&gt;"",D44&lt;&gt;""),(D45-D44)/($B45-$B44),"")</f>
        <v>3.7039460076604414E-2</v>
      </c>
      <c r="M45" s="39">
        <f t="shared" ref="M45" si="101">IF(AND(E45&lt;&gt;"",E44&lt;&gt;""),(E45-E44)/($B45-$B44),"")</f>
        <v>-5.5199180751364096E-2</v>
      </c>
    </row>
    <row r="46" spans="1:13" ht="20.100000000000001" customHeight="1">
      <c r="A46" s="40">
        <f t="shared" si="0"/>
        <v>210</v>
      </c>
      <c r="B46" s="41">
        <f t="shared" si="1"/>
        <v>45742</v>
      </c>
      <c r="C46" s="38">
        <f t="shared" si="2"/>
        <v>-2.8363610414201545</v>
      </c>
      <c r="D46" s="38">
        <f t="shared" si="3"/>
        <v>-3.1276160510502748</v>
      </c>
      <c r="E46" s="38">
        <f t="shared" si="4"/>
        <v>-7.824717380216839</v>
      </c>
      <c r="K46" s="39">
        <f t="shared" ref="K46" si="102">IF(AND(C46&lt;&gt;"",C45&lt;&gt;""),(C46-C45)/($B46-$B45),"")</f>
        <v>-3.3565389910666314E-2</v>
      </c>
      <c r="L46" s="39">
        <f t="shared" ref="L46" si="103">IF(AND(D46&lt;&gt;"",D45&lt;&gt;""),(D46-D45)/($B46-$B45),"")</f>
        <v>-9.6673099050271896E-2</v>
      </c>
      <c r="M46" s="39">
        <f t="shared" ref="M46" si="104">IF(AND(E46&lt;&gt;"",E45&lt;&gt;""),(E46-E45)/($B46-$B45),"")</f>
        <v>-2.4380390237234276E-2</v>
      </c>
    </row>
    <row r="47" spans="1:13" ht="20.100000000000001" customHeight="1">
      <c r="A47" s="40">
        <f t="shared" si="0"/>
        <v>223</v>
      </c>
      <c r="B47" s="41">
        <f t="shared" si="1"/>
        <v>45755</v>
      </c>
      <c r="C47" s="38">
        <f t="shared" si="2"/>
        <v>-2.9507734306220001</v>
      </c>
      <c r="D47" s="38">
        <f t="shared" si="3"/>
        <v>-2.5481779247700231</v>
      </c>
      <c r="E47" s="38">
        <f t="shared" si="4"/>
        <v>-8.0664379277592957</v>
      </c>
      <c r="K47" s="39">
        <f t="shared" ref="K47" si="105">IF(AND(C47&lt;&gt;"",C46&lt;&gt;""),(C47-C46)/($B47-$B46),"")</f>
        <v>-8.8009530155265837E-3</v>
      </c>
      <c r="L47" s="39">
        <f t="shared" ref="L47" si="106">IF(AND(D47&lt;&gt;"",D46&lt;&gt;""),(D47-D46)/($B47-$B46),"")</f>
        <v>4.4572163560019362E-2</v>
      </c>
      <c r="M47" s="39">
        <f t="shared" ref="M47" si="107">IF(AND(E47&lt;&gt;"",E46&lt;&gt;""),(E47-E46)/($B47-$B46),"")</f>
        <v>-1.8593888272496664E-2</v>
      </c>
    </row>
    <row r="48" spans="1:13" ht="20.100000000000001" customHeight="1">
      <c r="A48" s="40">
        <f t="shared" si="0"/>
        <v>237</v>
      </c>
      <c r="B48" s="41">
        <f t="shared" si="1"/>
        <v>45769</v>
      </c>
      <c r="C48" s="38">
        <f t="shared" si="2"/>
        <v>-2.8132479429761048</v>
      </c>
      <c r="D48" s="38">
        <f t="shared" si="3"/>
        <v>-2.4037059992343401</v>
      </c>
      <c r="E48" s="38">
        <f t="shared" si="4"/>
        <v>-8.3894222886931047</v>
      </c>
      <c r="K48" s="39">
        <f t="shared" ref="K48" si="108">IF(AND(C48&lt;&gt;"",C47&lt;&gt;""),(C48-C47)/($B48-$B47),"")</f>
        <v>9.8232491175639525E-3</v>
      </c>
      <c r="L48" s="39">
        <f t="shared" ref="L48" si="109">IF(AND(D48&lt;&gt;"",D47&lt;&gt;""),(D48-D47)/($B48-$B47),"")</f>
        <v>1.0319423252548785E-2</v>
      </c>
      <c r="M48" s="39">
        <f t="shared" ref="M48" si="110">IF(AND(E48&lt;&gt;"",E47&lt;&gt;""),(E48-E47)/($B48-$B47),"")</f>
        <v>-2.3070311495272073E-2</v>
      </c>
    </row>
    <row r="49" spans="1:13" ht="20.100000000000001" customHeight="1">
      <c r="A49" s="40">
        <f t="shared" si="0"/>
        <v>250</v>
      </c>
      <c r="B49" s="41">
        <f t="shared" si="1"/>
        <v>45782</v>
      </c>
      <c r="C49" s="38">
        <f t="shared" si="2"/>
        <v>-2.4534173328074615</v>
      </c>
      <c r="D49" s="38">
        <f t="shared" si="3"/>
        <v>-2.8082240214946097</v>
      </c>
      <c r="E49" s="38">
        <f t="shared" si="4"/>
        <v>-8.2002956296856055</v>
      </c>
      <c r="K49" s="39">
        <f t="shared" ref="K49" si="111">IF(AND(C49&lt;&gt;"",C48&lt;&gt;""),(C49-C48)/($B49-$B48),"")</f>
        <v>2.767927770528025E-2</v>
      </c>
      <c r="L49" s="39">
        <f t="shared" ref="L49" si="112">IF(AND(D49&lt;&gt;"",D48&lt;&gt;""),(D49-D48)/($B49-$B48),"")</f>
        <v>-3.1116770943097657E-2</v>
      </c>
      <c r="M49" s="39">
        <f t="shared" ref="M49" si="113">IF(AND(E49&lt;&gt;"",E48&lt;&gt;""),(E49-E48)/($B49-$B48),"")</f>
        <v>1.4548204539038396E-2</v>
      </c>
    </row>
    <row r="50" spans="1:13" ht="20.100000000000001" customHeight="1">
      <c r="A50" s="40">
        <f t="shared" si="0"/>
        <v>266</v>
      </c>
      <c r="B50" s="41">
        <f t="shared" si="1"/>
        <v>45798</v>
      </c>
      <c r="C50" s="38">
        <f t="shared" si="2"/>
        <v>-3.0039847549634402</v>
      </c>
      <c r="D50" s="38">
        <f t="shared" si="3"/>
        <v>-2.8727206682130912</v>
      </c>
      <c r="E50" s="38">
        <f t="shared" si="4"/>
        <v>-8.7914242149302879</v>
      </c>
      <c r="K50" s="39">
        <f t="shared" ref="K50" si="114">IF(AND(C50&lt;&gt;"",C49&lt;&gt;""),(C50-C49)/($B50-$B49),"")</f>
        <v>-3.4410463884748665E-2</v>
      </c>
      <c r="L50" s="39">
        <f t="shared" ref="L50" si="115">IF(AND(D50&lt;&gt;"",D49&lt;&gt;""),(D50-D49)/($B50-$B49),"")</f>
        <v>-4.0310404199050964E-3</v>
      </c>
      <c r="M50" s="39">
        <f t="shared" ref="M50" si="116">IF(AND(E50&lt;&gt;"",E49&lt;&gt;""),(E50-E49)/($B50-$B49),"")</f>
        <v>-3.6945536577792648E-2</v>
      </c>
    </row>
    <row r="51" spans="1:13" ht="27" customHeight="1">
      <c r="A51" s="40"/>
      <c r="B51" s="41"/>
      <c r="C51" s="38"/>
      <c r="D51" s="38"/>
      <c r="E51" s="38"/>
      <c r="K51" s="39"/>
      <c r="L51" s="39"/>
      <c r="M51" s="39"/>
    </row>
    <row r="52" spans="1:13" ht="27" customHeight="1">
      <c r="A52" s="40"/>
      <c r="B52" s="41"/>
      <c r="C52" s="38"/>
      <c r="D52" s="38"/>
      <c r="E52" s="38"/>
      <c r="K52" s="39"/>
      <c r="L52" s="39"/>
      <c r="M52" s="39"/>
    </row>
    <row r="53" spans="1:13" ht="27" customHeight="1">
      <c r="A53" s="40"/>
      <c r="B53" s="41"/>
      <c r="C53" s="38"/>
      <c r="D53" s="38"/>
      <c r="E53" s="38"/>
      <c r="K53" s="39"/>
      <c r="L53" s="39"/>
      <c r="M53" s="39"/>
    </row>
    <row r="54" spans="1:13" ht="27" customHeight="1">
      <c r="A54" s="40"/>
      <c r="B54" s="41"/>
      <c r="C54" s="38"/>
      <c r="D54" s="38"/>
      <c r="E54" s="38"/>
      <c r="K54" s="39"/>
      <c r="L54" s="39"/>
      <c r="M54" s="39"/>
    </row>
    <row r="55" spans="1:13" ht="27" customHeight="1">
      <c r="A55" s="40"/>
      <c r="B55" s="41"/>
      <c r="C55" s="38"/>
      <c r="D55" s="38"/>
      <c r="E55" s="38"/>
      <c r="K55" s="39"/>
      <c r="L55" s="39"/>
      <c r="M55" s="39"/>
    </row>
    <row r="56" spans="1:13" ht="27" customHeight="1">
      <c r="A56" s="40"/>
      <c r="B56" s="41"/>
      <c r="C56" s="38"/>
      <c r="D56" s="38"/>
      <c r="E56" s="38"/>
      <c r="K56" s="39"/>
      <c r="L56" s="39"/>
      <c r="M56" s="39"/>
    </row>
    <row r="57" spans="1:13" ht="27" customHeight="1">
      <c r="A57" s="40"/>
      <c r="B57" s="41"/>
      <c r="C57" s="38"/>
      <c r="D57" s="38"/>
      <c r="E57" s="38"/>
      <c r="K57" s="39"/>
      <c r="L57" s="39"/>
      <c r="M57" s="39"/>
    </row>
    <row r="58" spans="1:13" ht="27" customHeight="1">
      <c r="A58" s="40"/>
      <c r="B58" s="41"/>
      <c r="C58" s="38"/>
      <c r="D58" s="38"/>
      <c r="E58" s="38"/>
      <c r="K58" s="39"/>
      <c r="L58" s="39"/>
      <c r="M58" s="39"/>
    </row>
    <row r="59" spans="1:13" ht="27" customHeight="1">
      <c r="A59" s="40"/>
      <c r="B59" s="41"/>
      <c r="C59" s="38"/>
      <c r="D59" s="38"/>
      <c r="E59" s="38"/>
      <c r="K59" s="39"/>
      <c r="L59" s="39"/>
      <c r="M59" s="39"/>
    </row>
    <row r="60" spans="1:13" ht="27" customHeight="1">
      <c r="A60" s="40"/>
      <c r="B60" s="41"/>
      <c r="C60" s="38"/>
      <c r="D60" s="38"/>
      <c r="E60" s="38"/>
      <c r="K60" s="39"/>
      <c r="L60" s="39"/>
      <c r="M60" s="39"/>
    </row>
    <row r="61" spans="1:13" ht="27" customHeight="1">
      <c r="A61" s="40"/>
      <c r="B61" s="41"/>
      <c r="C61" s="38"/>
      <c r="D61" s="38"/>
      <c r="E61" s="38"/>
      <c r="K61" s="39"/>
      <c r="L61" s="39"/>
      <c r="M61" s="39"/>
    </row>
    <row r="62" spans="1:13" ht="27" customHeight="1">
      <c r="A62" s="40"/>
      <c r="B62" s="41"/>
      <c r="C62" s="38"/>
      <c r="D62" s="38"/>
      <c r="E62" s="38"/>
      <c r="K62" s="39"/>
      <c r="L62" s="39"/>
      <c r="M62" s="39"/>
    </row>
    <row r="63" spans="1:13" ht="27" customHeight="1">
      <c r="A63" s="40"/>
      <c r="B63" s="41"/>
      <c r="C63" s="38"/>
      <c r="D63" s="38"/>
      <c r="E63" s="38"/>
      <c r="K63" s="39"/>
      <c r="L63" s="39"/>
      <c r="M63" s="39"/>
    </row>
    <row r="64" spans="1:13" ht="27" customHeight="1">
      <c r="A64" s="40"/>
      <c r="B64" s="41"/>
      <c r="C64" s="38"/>
      <c r="D64" s="38"/>
      <c r="E64" s="38"/>
      <c r="K64" s="39"/>
      <c r="L64" s="39"/>
      <c r="M64" s="39"/>
    </row>
    <row r="65" spans="1:33" ht="27" customHeight="1">
      <c r="A65" s="40"/>
      <c r="B65" s="41"/>
      <c r="C65" s="38"/>
      <c r="D65" s="38"/>
      <c r="E65" s="38"/>
      <c r="K65" s="39"/>
      <c r="L65" s="39"/>
      <c r="M65" s="39"/>
      <c r="AD65" s="2">
        <v>1</v>
      </c>
      <c r="AE65" s="2">
        <v>823147.64930000005</v>
      </c>
      <c r="AF65" s="2">
        <v>1091710.0854</v>
      </c>
      <c r="AG65" s="2">
        <v>-121.5705</v>
      </c>
    </row>
    <row r="66" spans="1:33" ht="27" customHeight="1">
      <c r="A66" s="40"/>
      <c r="B66" s="41"/>
      <c r="C66" s="38"/>
      <c r="D66" s="38"/>
      <c r="E66" s="38"/>
      <c r="K66" s="39"/>
      <c r="L66" s="39"/>
      <c r="M66" s="39"/>
      <c r="AD66" s="2">
        <v>2</v>
      </c>
      <c r="AE66" s="2">
        <v>823147.59169999999</v>
      </c>
      <c r="AF66" s="2">
        <v>1091710.2520999999</v>
      </c>
      <c r="AG66" s="2">
        <v>-121.9085</v>
      </c>
    </row>
    <row r="67" spans="1:33" ht="24" customHeight="1">
      <c r="A67" s="40"/>
      <c r="B67" s="41"/>
      <c r="C67" s="38"/>
      <c r="D67" s="38"/>
      <c r="E67" s="38"/>
      <c r="K67" s="39"/>
      <c r="L67" s="39"/>
      <c r="M67" s="39"/>
      <c r="AD67" s="2">
        <v>3</v>
      </c>
      <c r="AE67" s="2">
        <v>823149.98970000003</v>
      </c>
      <c r="AF67" s="2">
        <v>1091705.0826999999</v>
      </c>
      <c r="AG67" s="2">
        <v>-121.78270000000001</v>
      </c>
    </row>
    <row r="68" spans="1:33" ht="24" customHeight="1">
      <c r="A68" s="40"/>
      <c r="B68" s="41"/>
      <c r="C68" s="38"/>
      <c r="D68" s="38"/>
      <c r="E68" s="38"/>
      <c r="K68" s="39"/>
      <c r="L68" s="39"/>
      <c r="M68" s="39"/>
      <c r="AD68" s="2">
        <v>4</v>
      </c>
      <c r="AE68" s="2">
        <v>823147.56599999999</v>
      </c>
      <c r="AF68" s="2">
        <v>1091710.4109</v>
      </c>
      <c r="AG68" s="2">
        <v>-122.35469999999999</v>
      </c>
    </row>
    <row r="69" spans="1:33" ht="24" customHeight="1">
      <c r="A69" s="40"/>
      <c r="B69" s="41"/>
      <c r="C69" s="38"/>
      <c r="D69" s="38"/>
      <c r="E69" s="38"/>
      <c r="K69" s="39"/>
      <c r="L69" s="39"/>
      <c r="M69" s="39"/>
    </row>
    <row r="70" spans="1:33" ht="21" customHeight="1">
      <c r="A70" s="40"/>
      <c r="B70" s="41"/>
      <c r="C70" s="38"/>
      <c r="D70" s="38"/>
      <c r="E70" s="38"/>
      <c r="K70" s="39"/>
      <c r="L70" s="39"/>
      <c r="M70" s="39"/>
    </row>
    <row r="71" spans="1:33" ht="21" customHeight="1">
      <c r="A71" s="40"/>
      <c r="B71" s="41"/>
      <c r="C71" s="38"/>
      <c r="D71" s="38"/>
      <c r="E71" s="38"/>
      <c r="K71" s="39"/>
      <c r="L71" s="39"/>
      <c r="M71" s="39"/>
    </row>
    <row r="72" spans="1:33" ht="21" customHeight="1">
      <c r="A72" s="40"/>
      <c r="B72" s="41"/>
      <c r="C72" s="38"/>
      <c r="D72" s="38"/>
      <c r="E72" s="38"/>
      <c r="K72" s="39"/>
      <c r="L72" s="39"/>
      <c r="M72" s="39"/>
    </row>
    <row r="73" spans="1:33" ht="21" customHeight="1">
      <c r="A73" s="40"/>
      <c r="B73" s="41"/>
      <c r="C73" s="38"/>
      <c r="D73" s="38"/>
      <c r="E73" s="38"/>
      <c r="K73" s="39"/>
      <c r="L73" s="39"/>
      <c r="M73" s="39"/>
    </row>
    <row r="74" spans="1:33" ht="21" customHeight="1">
      <c r="A74" s="40"/>
      <c r="B74" s="41"/>
      <c r="C74" s="38"/>
      <c r="D74" s="38"/>
      <c r="E74" s="38"/>
      <c r="K74" s="39"/>
      <c r="L74" s="39"/>
      <c r="M74" s="39"/>
    </row>
    <row r="75" spans="1:33" ht="27" customHeight="1">
      <c r="A75" s="40"/>
      <c r="B75" s="41"/>
      <c r="C75" s="38"/>
      <c r="D75" s="38"/>
      <c r="E75" s="38"/>
      <c r="K75" s="39"/>
      <c r="L75" s="39"/>
      <c r="M75" s="39"/>
    </row>
    <row r="76" spans="1:33" ht="27" customHeight="1">
      <c r="A76" s="40"/>
      <c r="B76" s="41"/>
      <c r="C76" s="38"/>
      <c r="D76" s="38"/>
      <c r="E76" s="38"/>
      <c r="K76" s="39"/>
      <c r="L76" s="39"/>
      <c r="M76" s="39"/>
    </row>
    <row r="77" spans="1:33" ht="27" customHeight="1">
      <c r="A77" s="40"/>
      <c r="B77" s="41"/>
      <c r="C77" s="38"/>
      <c r="D77" s="38"/>
      <c r="E77" s="38"/>
      <c r="K77" s="39"/>
      <c r="L77" s="39"/>
      <c r="M77" s="39"/>
    </row>
    <row r="78" spans="1:33" ht="27" customHeight="1">
      <c r="A78" s="40"/>
      <c r="B78" s="41"/>
      <c r="C78" s="38"/>
      <c r="D78" s="38"/>
      <c r="E78" s="38"/>
      <c r="K78" s="39"/>
      <c r="L78" s="39"/>
      <c r="M78" s="39"/>
    </row>
    <row r="79" spans="1:33" ht="27" customHeight="1">
      <c r="A79" s="40"/>
      <c r="B79" s="41"/>
      <c r="C79" s="38"/>
      <c r="D79" s="38"/>
      <c r="E79" s="38"/>
      <c r="K79" s="39"/>
      <c r="L79" s="39"/>
      <c r="M79" s="39"/>
    </row>
    <row r="80" spans="1:33" ht="27" customHeight="1">
      <c r="A80" s="40"/>
      <c r="B80" s="41"/>
      <c r="C80" s="38"/>
      <c r="D80" s="38"/>
      <c r="E80" s="38"/>
      <c r="K80" s="39"/>
      <c r="L80" s="39"/>
      <c r="M80" s="39"/>
    </row>
    <row r="81" spans="1:13" ht="27" customHeight="1">
      <c r="A81" s="40"/>
      <c r="B81" s="41"/>
      <c r="C81" s="38"/>
      <c r="D81" s="38"/>
      <c r="E81" s="38"/>
      <c r="K81" s="39"/>
      <c r="L81" s="39"/>
      <c r="M81" s="39"/>
    </row>
    <row r="82" spans="1:13" ht="27" customHeight="1">
      <c r="A82" s="40"/>
      <c r="B82" s="41"/>
      <c r="C82" s="38"/>
      <c r="D82" s="38"/>
      <c r="E82" s="38"/>
      <c r="K82" s="39"/>
      <c r="L82" s="39"/>
      <c r="M82" s="39"/>
    </row>
    <row r="83" spans="1:13" ht="27" customHeight="1">
      <c r="A83" s="40"/>
      <c r="B83" s="41"/>
      <c r="C83" s="38"/>
      <c r="D83" s="38"/>
      <c r="E83" s="38"/>
      <c r="K83" s="39"/>
      <c r="L83" s="39"/>
      <c r="M83" s="39"/>
    </row>
    <row r="84" spans="1:13" ht="27" customHeight="1">
      <c r="A84" s="40"/>
      <c r="B84" s="41"/>
      <c r="C84" s="38"/>
      <c r="D84" s="38"/>
      <c r="E84" s="38"/>
      <c r="K84" s="39"/>
      <c r="L84" s="39"/>
      <c r="M84" s="39"/>
    </row>
    <row r="85" spans="1:13" ht="27" customHeight="1">
      <c r="A85" s="40"/>
      <c r="B85" s="41"/>
      <c r="C85" s="38"/>
      <c r="D85" s="38"/>
      <c r="E85" s="38"/>
      <c r="K85" s="39"/>
      <c r="L85" s="39"/>
      <c r="M85" s="39"/>
    </row>
    <row r="86" spans="1:13" ht="27" customHeight="1">
      <c r="A86" s="40"/>
      <c r="B86" s="41"/>
      <c r="C86" s="38"/>
      <c r="D86" s="38"/>
      <c r="E86" s="38"/>
      <c r="K86" s="39"/>
      <c r="L86" s="39"/>
      <c r="M86" s="39"/>
    </row>
    <row r="87" spans="1:13" ht="27" customHeight="1">
      <c r="A87" s="40"/>
      <c r="B87" s="41"/>
      <c r="C87" s="38"/>
      <c r="D87" s="38"/>
      <c r="E87" s="38"/>
      <c r="K87" s="39"/>
      <c r="L87" s="39"/>
      <c r="M87" s="39"/>
    </row>
    <row r="88" spans="1:13" ht="27" customHeight="1">
      <c r="A88" s="40"/>
      <c r="B88" s="41"/>
      <c r="C88" s="38"/>
      <c r="D88" s="38"/>
      <c r="E88" s="38"/>
      <c r="K88" s="39"/>
      <c r="L88" s="39"/>
      <c r="M88" s="39"/>
    </row>
    <row r="89" spans="1:13" ht="27" customHeight="1">
      <c r="A89" s="40"/>
      <c r="B89" s="41"/>
      <c r="C89" s="38"/>
      <c r="D89" s="38"/>
      <c r="E89" s="38"/>
      <c r="K89" s="39"/>
      <c r="L89" s="39"/>
      <c r="M89" s="39"/>
    </row>
    <row r="90" spans="1:13" ht="27" customHeight="1">
      <c r="A90" s="40"/>
      <c r="B90" s="41"/>
      <c r="C90" s="38"/>
      <c r="D90" s="38"/>
      <c r="E90" s="38"/>
      <c r="K90" s="39"/>
      <c r="L90" s="39"/>
      <c r="M90" s="39"/>
    </row>
  </sheetData>
  <mergeCells count="5">
    <mergeCell ref="K8:M8"/>
    <mergeCell ref="C8:E8"/>
    <mergeCell ref="A5:M5"/>
    <mergeCell ref="H1:M1"/>
    <mergeCell ref="H2:M2"/>
  </mergeCells>
  <phoneticPr fontId="29" type="noConversion"/>
  <printOptions horizontalCentered="1"/>
  <pageMargins left="0.39370078740157499" right="0.39370078740157499" top="0.196850393700787" bottom="0.196850393700787" header="0.511811023622047" footer="0.511811023622047"/>
  <pageSetup paperSize="9" scale="61" fitToHeight="0" orientation="landscape" cellComments="atEnd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pageSetUpPr fitToPage="1"/>
  </sheetPr>
  <dimension ref="A1:Q90"/>
  <sheetViews>
    <sheetView zoomScale="70" zoomScaleNormal="70" workbookViewId="0">
      <pane ySplit="9" topLeftCell="A31" activePane="bottomLeft" state="frozenSplit"/>
      <selection activeCell="C7" sqref="C7"/>
      <selection pane="bottomLeft" activeCell="O45" sqref="O45"/>
    </sheetView>
  </sheetViews>
  <sheetFormatPr baseColWidth="10" defaultRowHeight="12.75"/>
  <cols>
    <col min="1" max="1" width="10.42578125" customWidth="1"/>
    <col min="2" max="2" width="11.28515625" style="20" bestFit="1" customWidth="1"/>
    <col min="3" max="14" width="15.140625" customWidth="1"/>
    <col min="15" max="15" width="22.85546875" style="22" customWidth="1"/>
  </cols>
  <sheetData>
    <row r="1" spans="1:17" s="2" customFormat="1" ht="27.75" customHeight="1">
      <c r="B1" s="16"/>
      <c r="J1" s="201" t="s">
        <v>6</v>
      </c>
      <c r="K1" s="201"/>
      <c r="L1" s="201"/>
      <c r="M1" s="201"/>
      <c r="N1" s="201"/>
      <c r="O1" s="21"/>
    </row>
    <row r="2" spans="1:17" s="2" customFormat="1" ht="15.75">
      <c r="B2" s="16"/>
      <c r="J2" s="201" t="s">
        <v>25</v>
      </c>
      <c r="K2" s="201"/>
      <c r="L2" s="201"/>
      <c r="M2" s="201"/>
      <c r="N2" s="201"/>
      <c r="O2" s="21"/>
    </row>
    <row r="3" spans="1:17" s="2" customFormat="1" ht="15" customHeight="1">
      <c r="B3" s="16"/>
      <c r="N3" s="9"/>
      <c r="O3" s="21"/>
    </row>
    <row r="4" spans="1:17" ht="15" customHeight="1">
      <c r="A4" s="2"/>
      <c r="B4" s="16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9"/>
      <c r="O4" s="11"/>
    </row>
    <row r="5" spans="1:17" s="29" customFormat="1" ht="18" customHeight="1">
      <c r="A5" s="200" t="s">
        <v>82</v>
      </c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30"/>
    </row>
    <row r="6" spans="1:17" ht="15" customHeight="1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</row>
    <row r="7" spans="1:17" s="2" customFormat="1" ht="15" customHeight="1" thickBot="1">
      <c r="B7" s="16"/>
      <c r="C7" s="205" t="s">
        <v>9</v>
      </c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1"/>
    </row>
    <row r="8" spans="1:17" ht="16.5" thickBot="1">
      <c r="A8" s="8"/>
      <c r="B8" s="18"/>
      <c r="C8" s="202" t="str">
        <f>'Résultats observations'!C8</f>
        <v>CHP1_Alv3 (A)</v>
      </c>
      <c r="D8" s="203"/>
      <c r="E8" s="204"/>
      <c r="F8" s="202" t="str">
        <f>'Résultats observations'!F8</f>
        <v>CHP2_Alv3 (B)</v>
      </c>
      <c r="G8" s="203"/>
      <c r="H8" s="204"/>
      <c r="I8" s="202" t="str">
        <f>'Résultats observations'!I8</f>
        <v>CL_Alv3 (C)</v>
      </c>
      <c r="J8" s="203"/>
      <c r="K8" s="204"/>
      <c r="L8" s="202" t="str">
        <f>'Résultats observations'!L8</f>
        <v>CTR_Alv3 (D)</v>
      </c>
      <c r="M8" s="203"/>
      <c r="N8" s="204"/>
      <c r="O8" s="21"/>
    </row>
    <row r="9" spans="1:17" s="3" customFormat="1" ht="60" customHeight="1">
      <c r="A9" s="10" t="s">
        <v>10</v>
      </c>
      <c r="B9" s="19" t="s">
        <v>8</v>
      </c>
      <c r="C9" s="90" t="s">
        <v>151</v>
      </c>
      <c r="D9" s="90" t="s">
        <v>152</v>
      </c>
      <c r="E9" s="90" t="s">
        <v>153</v>
      </c>
      <c r="F9" s="90" t="s">
        <v>154</v>
      </c>
      <c r="G9" s="90" t="s">
        <v>155</v>
      </c>
      <c r="H9" s="90" t="s">
        <v>156</v>
      </c>
      <c r="I9" s="90" t="s">
        <v>157</v>
      </c>
      <c r="J9" s="90" t="s">
        <v>158</v>
      </c>
      <c r="K9" s="90" t="s">
        <v>159</v>
      </c>
      <c r="L9" s="90" t="s">
        <v>83</v>
      </c>
      <c r="M9" s="90" t="s">
        <v>84</v>
      </c>
      <c r="N9" s="90" t="s">
        <v>85</v>
      </c>
      <c r="O9" s="23"/>
      <c r="P9"/>
      <c r="Q9"/>
    </row>
    <row r="10" spans="1:17" ht="24.95" customHeight="1">
      <c r="A10" s="25">
        <f t="shared" ref="A10:A50" si="0">jours</f>
        <v>0</v>
      </c>
      <c r="B10" s="26">
        <f t="shared" ref="B10:B50" si="1">date</f>
        <v>45532</v>
      </c>
      <c r="C10" s="38">
        <f t="shared" ref="C10:C50" si="2">DPM_BG</f>
        <v>0</v>
      </c>
      <c r="D10" s="38">
        <f t="shared" ref="D10:D50" si="3">DH_BG</f>
        <v>0</v>
      </c>
      <c r="E10" s="38">
        <f t="shared" ref="E10:E50" si="4">DZ_BG</f>
        <v>0</v>
      </c>
      <c r="F10" s="38">
        <f t="shared" ref="F10:F50" si="5">DPM_IG</f>
        <v>0</v>
      </c>
      <c r="G10" s="38">
        <f t="shared" ref="G10:G50" si="6">DH_IG</f>
        <v>0</v>
      </c>
      <c r="H10" s="38">
        <f t="shared" ref="H10:H50" si="7">DZ_IG</f>
        <v>0</v>
      </c>
      <c r="I10" s="38"/>
      <c r="J10" s="38"/>
      <c r="K10" s="38"/>
      <c r="L10" s="38">
        <f t="shared" ref="L10:L50" si="8">DPMhaut</f>
        <v>0</v>
      </c>
      <c r="M10" s="38">
        <f t="shared" ref="M10:M50" si="9">DHhaut</f>
        <v>0</v>
      </c>
      <c r="N10" s="38">
        <f t="shared" ref="N10:N50" si="10">DZhaut</f>
        <v>0</v>
      </c>
      <c r="O10" s="21" t="str">
        <f>IF(Cordes!F10="","",Cordes!F10)</f>
        <v/>
      </c>
    </row>
    <row r="11" spans="1:17" s="59" customFormat="1" ht="24.95" customHeight="1">
      <c r="A11" s="25">
        <f t="shared" si="0"/>
        <v>8</v>
      </c>
      <c r="B11" s="26">
        <f t="shared" si="1"/>
        <v>45540</v>
      </c>
      <c r="C11" s="38">
        <f t="shared" si="2"/>
        <v>-0.63440553437876801</v>
      </c>
      <c r="D11" s="38">
        <f t="shared" si="3"/>
        <v>-0.29585398933624008</v>
      </c>
      <c r="E11" s="38">
        <f t="shared" si="4"/>
        <v>-1.8999999999920192</v>
      </c>
      <c r="F11" s="38">
        <f t="shared" si="5"/>
        <v>0</v>
      </c>
      <c r="G11" s="38">
        <f t="shared" si="6"/>
        <v>0</v>
      </c>
      <c r="H11" s="38">
        <f t="shared" si="7"/>
        <v>0</v>
      </c>
      <c r="I11" s="38"/>
      <c r="J11" s="38"/>
      <c r="K11" s="38"/>
      <c r="L11" s="38">
        <f t="shared" si="8"/>
        <v>5.1198079263237162E-2</v>
      </c>
      <c r="M11" s="38">
        <f t="shared" si="9"/>
        <v>-0.58299117543464218</v>
      </c>
      <c r="N11" s="38">
        <f t="shared" si="10"/>
        <v>-9.9999999989108801E-2</v>
      </c>
      <c r="O11" s="58" t="str">
        <f>IF(Cordes!F11="","",Cordes!F11)</f>
        <v/>
      </c>
    </row>
    <row r="12" spans="1:17" s="59" customFormat="1" ht="24.95" customHeight="1">
      <c r="A12" s="25">
        <f t="shared" si="0"/>
        <v>12</v>
      </c>
      <c r="B12" s="26">
        <f t="shared" si="1"/>
        <v>45544</v>
      </c>
      <c r="C12" s="38">
        <f t="shared" si="2"/>
        <v>-0.83963015057486601</v>
      </c>
      <c r="D12" s="38">
        <f t="shared" si="3"/>
        <v>0.3808165342833727</v>
      </c>
      <c r="E12" s="38">
        <f t="shared" si="4"/>
        <v>-2.0999999999986585</v>
      </c>
      <c r="F12" s="38"/>
      <c r="G12" s="38"/>
      <c r="H12" s="38"/>
      <c r="I12" s="38"/>
      <c r="J12" s="38"/>
      <c r="K12" s="38"/>
      <c r="L12" s="38">
        <f t="shared" si="8"/>
        <v>-6.9496980475314274E-2</v>
      </c>
      <c r="M12" s="38">
        <f t="shared" si="9"/>
        <v>-8.7579594906845096E-2</v>
      </c>
      <c r="N12" s="38">
        <f t="shared" si="10"/>
        <v>1.4210854715202004E-11</v>
      </c>
      <c r="O12" s="58" t="str">
        <f>IF(Cordes!F12="","",Cordes!F12)</f>
        <v/>
      </c>
    </row>
    <row r="13" spans="1:17" s="59" customFormat="1" ht="24.95" customHeight="1">
      <c r="A13" s="25">
        <f t="shared" si="0"/>
        <v>16</v>
      </c>
      <c r="B13" s="26">
        <f t="shared" si="1"/>
        <v>45548</v>
      </c>
      <c r="C13" s="38">
        <f t="shared" si="2"/>
        <v>-0.67667041811425577</v>
      </c>
      <c r="D13" s="38">
        <f t="shared" si="3"/>
        <v>-0.2052245669922747</v>
      </c>
      <c r="E13" s="38">
        <f t="shared" si="4"/>
        <v>-2.299999999991087</v>
      </c>
      <c r="F13" s="38">
        <f t="shared" si="5"/>
        <v>0.77339928431685578</v>
      </c>
      <c r="G13" s="38">
        <f t="shared" si="6"/>
        <v>0.47101308074630821</v>
      </c>
      <c r="H13" s="38">
        <f t="shared" si="7"/>
        <v>-0.29999999999574811</v>
      </c>
      <c r="I13" s="38">
        <f t="shared" ref="I13:I50" si="11">DPM_HG</f>
        <v>0</v>
      </c>
      <c r="J13" s="38">
        <f t="shared" ref="J13:J50" si="12">DH_HG</f>
        <v>0</v>
      </c>
      <c r="K13" s="38">
        <f t="shared" ref="K13:K50" si="13">DZ_HG</f>
        <v>0</v>
      </c>
      <c r="L13" s="38">
        <f t="shared" si="8"/>
        <v>0.54050994861487567</v>
      </c>
      <c r="M13" s="38">
        <f t="shared" si="9"/>
        <v>-0.6858199988278233</v>
      </c>
      <c r="N13" s="38">
        <f t="shared" si="10"/>
        <v>0.10000000000331966</v>
      </c>
      <c r="O13" s="58" t="str">
        <f>IF(Cordes!F13="","",Cordes!F13)</f>
        <v/>
      </c>
    </row>
    <row r="14" spans="1:17" s="59" customFormat="1" ht="24.95" customHeight="1">
      <c r="A14" s="25">
        <f t="shared" si="0"/>
        <v>20</v>
      </c>
      <c r="B14" s="26">
        <f t="shared" si="1"/>
        <v>45552</v>
      </c>
      <c r="C14" s="38">
        <f t="shared" si="2"/>
        <v>-0.93635927699420307</v>
      </c>
      <c r="D14" s="38">
        <f t="shared" si="3"/>
        <v>0.11502802763174204</v>
      </c>
      <c r="E14" s="38">
        <f t="shared" si="4"/>
        <v>-2.0999999999986585</v>
      </c>
      <c r="F14" s="38">
        <f t="shared" si="5"/>
        <v>-0.14466083124853313</v>
      </c>
      <c r="G14" s="38">
        <f t="shared" si="6"/>
        <v>1.2566118716179526</v>
      </c>
      <c r="H14" s="38">
        <f t="shared" si="7"/>
        <v>-0.39999999999906777</v>
      </c>
      <c r="I14" s="38">
        <f t="shared" si="11"/>
        <v>0</v>
      </c>
      <c r="J14" s="38">
        <f t="shared" si="12"/>
        <v>0</v>
      </c>
      <c r="K14" s="38">
        <f t="shared" si="13"/>
        <v>0</v>
      </c>
      <c r="L14" s="38">
        <f t="shared" si="8"/>
        <v>1.5032737792797235E-2</v>
      </c>
      <c r="M14" s="38">
        <f t="shared" si="9"/>
        <v>-0.26883833408825747</v>
      </c>
      <c r="N14" s="38">
        <f t="shared" si="10"/>
        <v>0.30000000000995897</v>
      </c>
      <c r="O14" s="58" t="str">
        <f>IF(Cordes!F14="","",Cordes!F14)</f>
        <v/>
      </c>
    </row>
    <row r="15" spans="1:17" s="59" customFormat="1" ht="24.95" customHeight="1">
      <c r="A15" s="25">
        <f t="shared" si="0"/>
        <v>21</v>
      </c>
      <c r="B15" s="26">
        <f t="shared" si="1"/>
        <v>45553</v>
      </c>
      <c r="C15" s="38">
        <f t="shared" si="2"/>
        <v>-0.62830583030315523</v>
      </c>
      <c r="D15" s="38">
        <f t="shared" si="3"/>
        <v>-7.2330366420464073E-2</v>
      </c>
      <c r="E15" s="38">
        <f t="shared" si="4"/>
        <v>-2.3999999999944066</v>
      </c>
      <c r="F15" s="38">
        <f t="shared" si="5"/>
        <v>-1.1766525169321085E-2</v>
      </c>
      <c r="G15" s="38">
        <f t="shared" si="6"/>
        <v>1.2082473330101637</v>
      </c>
      <c r="H15" s="38">
        <f t="shared" si="7"/>
        <v>-0.59999999999149622</v>
      </c>
      <c r="I15" s="38">
        <f t="shared" si="11"/>
        <v>0.18735833774918831</v>
      </c>
      <c r="J15" s="38">
        <f t="shared" si="12"/>
        <v>0.30805329198124731</v>
      </c>
      <c r="K15" s="38">
        <f t="shared" si="13"/>
        <v>-0.10000000000331966</v>
      </c>
      <c r="L15" s="38">
        <f t="shared" si="8"/>
        <v>0.20239107554242963</v>
      </c>
      <c r="M15" s="38">
        <f t="shared" si="9"/>
        <v>3.9214957893324645E-2</v>
      </c>
      <c r="N15" s="38">
        <f t="shared" si="10"/>
        <v>0.20000000000663931</v>
      </c>
      <c r="O15" s="58" t="str">
        <f>IF(Cordes!F15="","",Cordes!F15)</f>
        <v/>
      </c>
    </row>
    <row r="16" spans="1:17" s="59" customFormat="1" ht="24.95" customHeight="1">
      <c r="A16" s="25">
        <f t="shared" si="0"/>
        <v>22</v>
      </c>
      <c r="B16" s="26">
        <f t="shared" si="1"/>
        <v>45554</v>
      </c>
      <c r="C16" s="38">
        <f t="shared" si="2"/>
        <v>-0.74316075678559912</v>
      </c>
      <c r="D16" s="38">
        <f t="shared" si="3"/>
        <v>-0.34657181045625196</v>
      </c>
      <c r="E16" s="38">
        <f t="shared" si="4"/>
        <v>-2.8200000000140335</v>
      </c>
      <c r="F16" s="38"/>
      <c r="G16" s="38"/>
      <c r="H16" s="38"/>
      <c r="I16" s="38">
        <f t="shared" si="11"/>
        <v>-1.173293598455416E-2</v>
      </c>
      <c r="J16" s="38">
        <f t="shared" si="12"/>
        <v>-0.31284607577758416</v>
      </c>
      <c r="K16" s="38">
        <f t="shared" si="13"/>
        <v>-0.42857142858565567</v>
      </c>
      <c r="L16" s="38"/>
      <c r="M16" s="38"/>
      <c r="N16" s="38"/>
      <c r="O16" s="58" t="str">
        <f>IF(Cordes!F16="","",Cordes!F16)</f>
        <v/>
      </c>
    </row>
    <row r="17" spans="1:15" s="59" customFormat="1" ht="24.95" customHeight="1">
      <c r="A17" s="25">
        <f t="shared" si="0"/>
        <v>25</v>
      </c>
      <c r="B17" s="26">
        <f t="shared" si="1"/>
        <v>45557</v>
      </c>
      <c r="C17" s="38">
        <f t="shared" si="2"/>
        <v>-0.80956467499015972</v>
      </c>
      <c r="D17" s="38">
        <f t="shared" si="3"/>
        <v>-0.15686013389211267</v>
      </c>
      <c r="E17" s="38">
        <f t="shared" si="4"/>
        <v>-3.1999999999925421</v>
      </c>
      <c r="F17" s="38">
        <f t="shared" si="5"/>
        <v>0.35685044625344275</v>
      </c>
      <c r="G17" s="38">
        <f t="shared" si="6"/>
        <v>1.6008302940566792</v>
      </c>
      <c r="H17" s="38">
        <f t="shared" si="7"/>
        <v>-1.1999999999972033</v>
      </c>
      <c r="I17" s="38">
        <f t="shared" si="11"/>
        <v>-0.4470471966295797</v>
      </c>
      <c r="J17" s="38">
        <f t="shared" si="12"/>
        <v>1.2199302644677612E-2</v>
      </c>
      <c r="K17" s="38">
        <f t="shared" si="13"/>
        <v>-1.0999999999938836</v>
      </c>
      <c r="L17" s="38">
        <f t="shared" si="8"/>
        <v>0.34138503649305818</v>
      </c>
      <c r="M17" s="38">
        <f t="shared" si="9"/>
        <v>0.21437414770864199</v>
      </c>
      <c r="N17" s="38">
        <f t="shared" si="10"/>
        <v>-9.9999999989108801E-2</v>
      </c>
      <c r="O17" s="58" t="str">
        <f>IF(Cordes!F17="","",Cordes!F17)</f>
        <v/>
      </c>
    </row>
    <row r="18" spans="1:15" s="59" customFormat="1" ht="24.95" customHeight="1">
      <c r="A18" s="25">
        <f t="shared" si="0"/>
        <v>26</v>
      </c>
      <c r="B18" s="26">
        <f t="shared" si="1"/>
        <v>45558</v>
      </c>
      <c r="C18" s="38">
        <f t="shared" si="2"/>
        <v>-0.67057071403864299</v>
      </c>
      <c r="D18" s="38">
        <f t="shared" si="3"/>
        <v>1.8299055923703435E-2</v>
      </c>
      <c r="E18" s="38">
        <f t="shared" si="4"/>
        <v>-3.0000000000001137</v>
      </c>
      <c r="F18" s="38">
        <f t="shared" si="5"/>
        <v>0.21785664711249098</v>
      </c>
      <c r="G18" s="38">
        <f t="shared" si="6"/>
        <v>1.425671308154415</v>
      </c>
      <c r="H18" s="38">
        <f t="shared" si="7"/>
        <v>-1.0999999999938836</v>
      </c>
      <c r="I18" s="38">
        <f t="shared" si="11"/>
        <v>-0.51356644526290296</v>
      </c>
      <c r="J18" s="38">
        <f t="shared" si="12"/>
        <v>-0.23950087662634456</v>
      </c>
      <c r="K18" s="38">
        <f t="shared" si="13"/>
        <v>-0.86666666668122616</v>
      </c>
      <c r="L18" s="38">
        <f t="shared" si="8"/>
        <v>0.28082130074791323</v>
      </c>
      <c r="M18" s="38">
        <f t="shared" si="9"/>
        <v>-0.3655673057965988</v>
      </c>
      <c r="N18" s="38">
        <f t="shared" si="10"/>
        <v>1.4210854715202004E-11</v>
      </c>
      <c r="O18" s="58" t="str">
        <f>IF(Cordes!F18="","",Cordes!F18)</f>
        <v/>
      </c>
    </row>
    <row r="19" spans="1:15" s="59" customFormat="1" ht="24.95" customHeight="1">
      <c r="A19" s="25">
        <f t="shared" si="0"/>
        <v>27</v>
      </c>
      <c r="B19" s="26">
        <f t="shared" si="1"/>
        <v>45559</v>
      </c>
      <c r="C19" s="38">
        <f t="shared" si="2"/>
        <v>-0.89409439325871531</v>
      </c>
      <c r="D19" s="38">
        <f t="shared" si="3"/>
        <v>2.439860528960329E-2</v>
      </c>
      <c r="E19" s="38">
        <f t="shared" si="4"/>
        <v>-2.6999999999901547</v>
      </c>
      <c r="F19" s="38">
        <f t="shared" si="5"/>
        <v>-3.5732458488979546E-2</v>
      </c>
      <c r="G19" s="38">
        <f t="shared" si="6"/>
        <v>1.9694474201887544</v>
      </c>
      <c r="H19" s="38">
        <f t="shared" si="7"/>
        <v>-0.99999999999056399</v>
      </c>
      <c r="I19" s="38">
        <f t="shared" si="11"/>
        <v>-0.40274925167960163</v>
      </c>
      <c r="J19" s="38">
        <f t="shared" si="12"/>
        <v>-3.9222406583022673E-3</v>
      </c>
      <c r="K19" s="38">
        <f t="shared" si="13"/>
        <v>-0.90000000000145519</v>
      </c>
      <c r="L19" s="38">
        <f t="shared" si="8"/>
        <v>0.19629158247980172</v>
      </c>
      <c r="M19" s="38">
        <f t="shared" si="9"/>
        <v>-0.18430856661688297</v>
      </c>
      <c r="N19" s="38">
        <f t="shared" si="10"/>
        <v>0.10000000000331966</v>
      </c>
      <c r="O19" s="58" t="str">
        <f>IF(Cordes!F19="","",Cordes!F19)</f>
        <v/>
      </c>
    </row>
    <row r="20" spans="1:15" s="59" customFormat="1" ht="24.95" customHeight="1">
      <c r="A20" s="25">
        <f t="shared" si="0"/>
        <v>28</v>
      </c>
      <c r="B20" s="26">
        <f t="shared" si="1"/>
        <v>45560</v>
      </c>
      <c r="C20" s="38">
        <f t="shared" si="2"/>
        <v>-0.50151127750241997</v>
      </c>
      <c r="D20" s="38">
        <f t="shared" si="3"/>
        <v>-0.34421842243880385</v>
      </c>
      <c r="E20" s="38">
        <f t="shared" si="4"/>
        <v>-2.7999999999934744</v>
      </c>
      <c r="F20" s="38">
        <f t="shared" si="5"/>
        <v>0.26012153084797873</v>
      </c>
      <c r="G20" s="38">
        <f t="shared" si="6"/>
        <v>1.3350418858108504</v>
      </c>
      <c r="H20" s="38">
        <f t="shared" si="7"/>
        <v>-1.300000000000523</v>
      </c>
      <c r="I20" s="38">
        <f t="shared" si="11"/>
        <v>-0.23572287635742484</v>
      </c>
      <c r="J20" s="38">
        <f t="shared" si="12"/>
        <v>-0.44094759806073691</v>
      </c>
      <c r="K20" s="38">
        <f t="shared" si="13"/>
        <v>-0.69999999999481588</v>
      </c>
      <c r="L20" s="38">
        <f t="shared" si="8"/>
        <v>0.35184293117529464</v>
      </c>
      <c r="M20" s="38">
        <f t="shared" si="9"/>
        <v>-0.22210690179106513</v>
      </c>
      <c r="N20" s="38">
        <f t="shared" si="10"/>
        <v>0.125000000011255</v>
      </c>
      <c r="O20" s="58" t="str">
        <f>IF(Cordes!F20="","",Cordes!F20)</f>
        <v/>
      </c>
    </row>
    <row r="21" spans="1:15" s="59" customFormat="1" ht="24.95" customHeight="1">
      <c r="A21" s="25">
        <f t="shared" si="0"/>
        <v>30</v>
      </c>
      <c r="B21" s="26">
        <f t="shared" si="1"/>
        <v>45562</v>
      </c>
      <c r="C21" s="38">
        <f t="shared" si="2"/>
        <v>-0.76120013638192319</v>
      </c>
      <c r="D21" s="38">
        <f t="shared" si="3"/>
        <v>-2.3965827813027252E-2</v>
      </c>
      <c r="E21" s="38">
        <f t="shared" si="4"/>
        <v>-2.7999999999934744</v>
      </c>
      <c r="F21" s="38">
        <f t="shared" si="5"/>
        <v>0.32068526659356777</v>
      </c>
      <c r="G21" s="38">
        <f t="shared" si="6"/>
        <v>1.9149833393175726</v>
      </c>
      <c r="H21" s="38">
        <f t="shared" si="7"/>
        <v>-1.1000000000080945</v>
      </c>
      <c r="I21" s="38">
        <f t="shared" si="11"/>
        <v>-0.35641798529839619</v>
      </c>
      <c r="J21" s="38">
        <f t="shared" si="12"/>
        <v>5.4464087974978592E-2</v>
      </c>
      <c r="K21" s="38">
        <f t="shared" si="13"/>
        <v>-0.79999999999813554</v>
      </c>
      <c r="L21" s="38">
        <f t="shared" si="8"/>
        <v>0.19629158247980172</v>
      </c>
      <c r="M21" s="38">
        <f t="shared" si="9"/>
        <v>-0.18430856661688297</v>
      </c>
      <c r="N21" s="38">
        <f t="shared" si="10"/>
        <v>0.20000000000663931</v>
      </c>
      <c r="O21" s="58" t="str">
        <f>IF(Cordes!F21="","",Cordes!F21)</f>
        <v/>
      </c>
    </row>
    <row r="22" spans="1:15" s="59" customFormat="1" ht="24.95" customHeight="1">
      <c r="A22" s="25">
        <f t="shared" si="0"/>
        <v>33</v>
      </c>
      <c r="B22" s="26">
        <f t="shared" si="1"/>
        <v>45565</v>
      </c>
      <c r="C22" s="38">
        <f t="shared" si="2"/>
        <v>-1.0030225058019759</v>
      </c>
      <c r="D22" s="38">
        <f t="shared" si="3"/>
        <v>-0.68843695038293873</v>
      </c>
      <c r="E22" s="38">
        <f t="shared" si="4"/>
        <v>-3.0000000000001137</v>
      </c>
      <c r="F22" s="38">
        <f t="shared" si="5"/>
        <v>-0.22309084544103186</v>
      </c>
      <c r="G22" s="38">
        <f t="shared" si="6"/>
        <v>1.6613942337135243</v>
      </c>
      <c r="H22" s="38">
        <f t="shared" si="7"/>
        <v>-0.79999999999813554</v>
      </c>
      <c r="I22" s="38">
        <f t="shared" si="11"/>
        <v>-0.45924660477991708</v>
      </c>
      <c r="J22" s="38">
        <f t="shared" si="12"/>
        <v>-0.43484794318773834</v>
      </c>
      <c r="K22" s="38">
        <f t="shared" si="13"/>
        <v>-1.0000000000047748</v>
      </c>
      <c r="L22" s="38">
        <f t="shared" si="8"/>
        <v>0.13572779753090458</v>
      </c>
      <c r="M22" s="38">
        <f t="shared" si="9"/>
        <v>-0.76424991461561576</v>
      </c>
      <c r="N22" s="38">
        <f t="shared" si="10"/>
        <v>0.10000000000331966</v>
      </c>
      <c r="O22" s="58" t="str">
        <f>IF(Cordes!F22="","",Cordes!F22)</f>
        <v/>
      </c>
    </row>
    <row r="23" spans="1:15" s="59" customFormat="1" ht="24.95" customHeight="1">
      <c r="A23" s="25">
        <f t="shared" si="0"/>
        <v>35</v>
      </c>
      <c r="B23" s="26">
        <f t="shared" si="1"/>
        <v>45567</v>
      </c>
      <c r="C23" s="38">
        <f t="shared" si="2"/>
        <v>-0.89409439325871531</v>
      </c>
      <c r="D23" s="38">
        <f t="shared" si="3"/>
        <v>2.439860528960329E-2</v>
      </c>
      <c r="E23" s="38">
        <f t="shared" si="4"/>
        <v>-2.7999999999934744</v>
      </c>
      <c r="F23" s="38">
        <f t="shared" si="5"/>
        <v>-0.40434969012848043</v>
      </c>
      <c r="G23" s="38">
        <f t="shared" si="6"/>
        <v>1.5768644662438533</v>
      </c>
      <c r="H23" s="38">
        <f t="shared" si="7"/>
        <v>-0.90000000000145519</v>
      </c>
      <c r="I23" s="38">
        <f t="shared" si="11"/>
        <v>-0.48931203116220345</v>
      </c>
      <c r="J23" s="38">
        <f t="shared" si="12"/>
        <v>0.10282861948304745</v>
      </c>
      <c r="K23" s="38">
        <f t="shared" si="13"/>
        <v>-0.79999999999813554</v>
      </c>
      <c r="L23" s="38">
        <f t="shared" si="8"/>
        <v>2.1132441867965923E-2</v>
      </c>
      <c r="M23" s="38">
        <f t="shared" si="9"/>
        <v>-4.531471117204082E-2</v>
      </c>
      <c r="N23" s="38">
        <f t="shared" si="10"/>
        <v>0.30000000000995897</v>
      </c>
      <c r="O23" s="58" t="str">
        <f>IF(Cordes!F23="","",Cordes!F23)</f>
        <v/>
      </c>
    </row>
    <row r="24" spans="1:15" s="59" customFormat="1" ht="24.95" customHeight="1">
      <c r="A24" s="25">
        <f t="shared" si="0"/>
        <v>37</v>
      </c>
      <c r="B24" s="26">
        <f t="shared" si="1"/>
        <v>45569</v>
      </c>
      <c r="C24" s="38">
        <f t="shared" si="2"/>
        <v>-0.48321237628945468</v>
      </c>
      <c r="D24" s="38">
        <f t="shared" si="3"/>
        <v>0.32635234790369655</v>
      </c>
      <c r="E24" s="38">
        <f t="shared" si="4"/>
        <v>-3.0999999999892225</v>
      </c>
      <c r="F24" s="38">
        <f t="shared" si="5"/>
        <v>-0.45271422873671696</v>
      </c>
      <c r="G24" s="38">
        <f t="shared" si="6"/>
        <v>1.4439701601634201</v>
      </c>
      <c r="H24" s="38">
        <f t="shared" si="7"/>
        <v>-1.300000000000523</v>
      </c>
      <c r="I24" s="38">
        <f t="shared" si="11"/>
        <v>0.33245184096575287</v>
      </c>
      <c r="J24" s="38">
        <f t="shared" si="12"/>
        <v>0.70673590080159998</v>
      </c>
      <c r="K24" s="38">
        <f t="shared" si="13"/>
        <v>-0.99999999999056399</v>
      </c>
      <c r="L24" s="38">
        <f t="shared" si="8"/>
        <v>0.60717338843518931</v>
      </c>
      <c r="M24" s="38">
        <f t="shared" si="9"/>
        <v>0.11764507759341042</v>
      </c>
      <c r="N24" s="38">
        <f t="shared" si="10"/>
        <v>0.10000000000331966</v>
      </c>
      <c r="O24" s="58" t="str">
        <f>IF(Cordes!F24="","",Cordes!F24)</f>
        <v/>
      </c>
    </row>
    <row r="25" spans="1:15" s="59" customFormat="1" ht="24.95" customHeight="1">
      <c r="A25" s="25">
        <f t="shared" si="0"/>
        <v>40</v>
      </c>
      <c r="B25" s="26">
        <f t="shared" si="1"/>
        <v>45572</v>
      </c>
      <c r="C25" s="38">
        <f t="shared" si="2"/>
        <v>-0.39258295394617448</v>
      </c>
      <c r="D25" s="38">
        <f t="shared" si="3"/>
        <v>0.3686172316406241</v>
      </c>
      <c r="E25" s="38">
        <f t="shared" si="4"/>
        <v>-2.7999999999934744</v>
      </c>
      <c r="F25" s="38">
        <f t="shared" si="5"/>
        <v>-0.18082596170598819</v>
      </c>
      <c r="G25" s="38">
        <f t="shared" si="6"/>
        <v>1.5707648113717081</v>
      </c>
      <c r="H25" s="38">
        <f t="shared" si="7"/>
        <v>-1.300000000000523</v>
      </c>
      <c r="I25" s="38">
        <f t="shared" si="11"/>
        <v>-0.39868281983146403</v>
      </c>
      <c r="J25" s="38">
        <f t="shared" si="12"/>
        <v>0.14509340481110022</v>
      </c>
      <c r="K25" s="38">
        <f t="shared" si="13"/>
        <v>-0.90000000000145519</v>
      </c>
      <c r="L25" s="38">
        <f t="shared" si="8"/>
        <v>0.38364992022899003</v>
      </c>
      <c r="M25" s="38">
        <f t="shared" si="9"/>
        <v>0.1237447253651016</v>
      </c>
      <c r="N25" s="38">
        <f t="shared" si="10"/>
        <v>0.30000000000995897</v>
      </c>
      <c r="O25" s="58" t="str">
        <f>IF(Cordes!F25="","",Cordes!F25)</f>
        <v/>
      </c>
    </row>
    <row r="26" spans="1:15" s="59" customFormat="1" ht="24.95" customHeight="1">
      <c r="A26" s="25">
        <f t="shared" si="0"/>
        <v>47</v>
      </c>
      <c r="B26" s="26">
        <f t="shared" si="1"/>
        <v>45579</v>
      </c>
      <c r="C26" s="38">
        <f t="shared" si="2"/>
        <v>-0.97252440745165813</v>
      </c>
      <c r="D26" s="38">
        <f t="shared" si="3"/>
        <v>0.42918096738604661</v>
      </c>
      <c r="E26" s="38">
        <f t="shared" si="4"/>
        <v>-3.1999999999925421</v>
      </c>
      <c r="F26" s="38">
        <f t="shared" si="5"/>
        <v>-7.7997342224911392E-2</v>
      </c>
      <c r="G26" s="38">
        <f t="shared" si="6"/>
        <v>2.0600768425334155</v>
      </c>
      <c r="H26" s="38">
        <f t="shared" si="7"/>
        <v>-1.1999999999972033</v>
      </c>
      <c r="I26" s="38">
        <f t="shared" si="11"/>
        <v>-0.4348479994917831</v>
      </c>
      <c r="J26" s="38">
        <f t="shared" si="12"/>
        <v>0.45924645007082432</v>
      </c>
      <c r="K26" s="38">
        <f t="shared" si="13"/>
        <v>-1.0999999999938836</v>
      </c>
      <c r="L26" s="38">
        <f t="shared" si="8"/>
        <v>0.11786135727387403</v>
      </c>
      <c r="M26" s="38">
        <f t="shared" si="9"/>
        <v>0.22047369707429815</v>
      </c>
      <c r="N26" s="38">
        <f t="shared" si="10"/>
        <v>0.10000000000331966</v>
      </c>
      <c r="O26" s="58" t="str">
        <f>IF(Cordes!F26="","",Cordes!F26)</f>
        <v/>
      </c>
    </row>
    <row r="27" spans="1:15" s="59" customFormat="1" ht="24.95" customHeight="1">
      <c r="A27" s="25">
        <f t="shared" si="0"/>
        <v>54</v>
      </c>
      <c r="B27" s="26">
        <f t="shared" si="1"/>
        <v>45586</v>
      </c>
      <c r="C27" s="38">
        <f t="shared" si="2"/>
        <v>-0.53157691489769121</v>
      </c>
      <c r="D27" s="38">
        <f t="shared" si="3"/>
        <v>0.19345804182616977</v>
      </c>
      <c r="E27" s="38">
        <f t="shared" si="4"/>
        <v>-3.1999999999925421</v>
      </c>
      <c r="F27" s="38">
        <f t="shared" si="5"/>
        <v>-4.1832211767456329E-2</v>
      </c>
      <c r="G27" s="38">
        <f t="shared" si="6"/>
        <v>1.7459239027801665</v>
      </c>
      <c r="H27" s="38">
        <f t="shared" si="7"/>
        <v>-1.6999999999995907</v>
      </c>
      <c r="I27" s="38">
        <f t="shared" si="11"/>
        <v>-0.35031828122367159</v>
      </c>
      <c r="J27" s="38">
        <f t="shared" si="12"/>
        <v>0.27798771088975716</v>
      </c>
      <c r="K27" s="38">
        <f t="shared" si="13"/>
        <v>-1.300000000000523</v>
      </c>
      <c r="L27" s="38">
        <f t="shared" si="8"/>
        <v>0.38364992022899003</v>
      </c>
      <c r="M27" s="38">
        <f t="shared" si="9"/>
        <v>0.1237447253651016</v>
      </c>
      <c r="N27" s="38">
        <f t="shared" si="10"/>
        <v>0.10000000000331966</v>
      </c>
      <c r="O27" s="58" t="str">
        <f>IF(Cordes!F27="","",Cordes!F27)</f>
        <v/>
      </c>
    </row>
    <row r="28" spans="1:15" s="59" customFormat="1" ht="24.95" customHeight="1">
      <c r="A28" s="25">
        <f t="shared" si="0"/>
        <v>61</v>
      </c>
      <c r="B28" s="26">
        <f t="shared" si="1"/>
        <v>45593</v>
      </c>
      <c r="C28" s="38">
        <f t="shared" si="2"/>
        <v>-0.66752094290611907</v>
      </c>
      <c r="D28" s="38">
        <f t="shared" si="3"/>
        <v>0.13006076542540837</v>
      </c>
      <c r="E28" s="38">
        <f t="shared" si="4"/>
        <v>-3.1999999999925421</v>
      </c>
      <c r="F28" s="38">
        <f t="shared" si="5"/>
        <v>-0.93309306437117101</v>
      </c>
      <c r="G28" s="38">
        <f t="shared" si="6"/>
        <v>1.05443702655399</v>
      </c>
      <c r="H28" s="38">
        <f t="shared" si="7"/>
        <v>-1.9500000000078899</v>
      </c>
      <c r="I28" s="38">
        <f t="shared" si="11"/>
        <v>-0.64028900797641342</v>
      </c>
      <c r="J28" s="38">
        <f t="shared" si="12"/>
        <v>0.30826957876409211</v>
      </c>
      <c r="K28" s="38">
        <f t="shared" si="13"/>
        <v>-1.3500000000021828</v>
      </c>
      <c r="L28" s="38">
        <f t="shared" si="8"/>
        <v>0.30500346454598315</v>
      </c>
      <c r="M28" s="38">
        <f t="shared" si="9"/>
        <v>-0.29912020196027483</v>
      </c>
      <c r="N28" s="38">
        <f t="shared" si="10"/>
        <v>-0.10000000000331966</v>
      </c>
      <c r="O28" s="58" t="str">
        <f>IF(Cordes!F28="","",Cordes!F28)</f>
        <v/>
      </c>
    </row>
    <row r="29" spans="1:15" s="59" customFormat="1" ht="24.95" customHeight="1">
      <c r="A29" s="25">
        <f t="shared" si="0"/>
        <v>69</v>
      </c>
      <c r="B29" s="26">
        <f t="shared" si="1"/>
        <v>45601</v>
      </c>
      <c r="C29" s="38">
        <f t="shared" si="2"/>
        <v>-0.64617205954808909</v>
      </c>
      <c r="D29" s="38">
        <f t="shared" si="3"/>
        <v>0.9123933436758257</v>
      </c>
      <c r="E29" s="38">
        <f t="shared" si="4"/>
        <v>-3.1999999999925421</v>
      </c>
      <c r="F29" s="38">
        <f t="shared" si="5"/>
        <v>-1.3620575902648646</v>
      </c>
      <c r="G29" s="38">
        <f t="shared" si="6"/>
        <v>0.9095599085235766</v>
      </c>
      <c r="H29" s="38">
        <f t="shared" si="7"/>
        <v>-2.0999999999986585</v>
      </c>
      <c r="I29" s="38">
        <f t="shared" si="11"/>
        <v>-0.6039073868255862</v>
      </c>
      <c r="J29" s="38">
        <f t="shared" si="12"/>
        <v>0.82176382292638295</v>
      </c>
      <c r="K29" s="38">
        <f t="shared" si="13"/>
        <v>-1.3999999999896318</v>
      </c>
      <c r="L29" s="38">
        <f t="shared" si="8"/>
        <v>0.71566904002384746</v>
      </c>
      <c r="M29" s="38">
        <f t="shared" si="9"/>
        <v>-0.82481374876680613</v>
      </c>
      <c r="N29" s="38">
        <f t="shared" si="10"/>
        <v>-0.29999999999574811</v>
      </c>
      <c r="O29" s="58" t="str">
        <f>IF(Cordes!F29="","",Cordes!F29)</f>
        <v/>
      </c>
    </row>
    <row r="30" spans="1:15" s="59" customFormat="1" ht="24.95" customHeight="1">
      <c r="A30" s="25">
        <f t="shared" si="0"/>
        <v>77</v>
      </c>
      <c r="B30" s="26">
        <f t="shared" si="1"/>
        <v>45609</v>
      </c>
      <c r="C30" s="38">
        <f t="shared" si="2"/>
        <v>-0.42874808440318546</v>
      </c>
      <c r="D30" s="38">
        <f t="shared" si="3"/>
        <v>0.68277017139322438</v>
      </c>
      <c r="E30" s="38">
        <f t="shared" si="4"/>
        <v>-3.0000000000001137</v>
      </c>
      <c r="F30" s="38">
        <f t="shared" si="5"/>
        <v>-1.4618364386129734</v>
      </c>
      <c r="G30" s="38">
        <f t="shared" si="6"/>
        <v>0.53200958686322808</v>
      </c>
      <c r="H30" s="38">
        <f t="shared" si="7"/>
        <v>-2.0999999999986585</v>
      </c>
      <c r="I30" s="38">
        <f t="shared" si="11"/>
        <v>-0.8879949001960874</v>
      </c>
      <c r="J30" s="38">
        <f t="shared" si="12"/>
        <v>0.24792212979966866</v>
      </c>
      <c r="K30" s="38">
        <f t="shared" si="13"/>
        <v>-1.300000000000523</v>
      </c>
      <c r="L30" s="38">
        <f t="shared" si="8"/>
        <v>0.49214557181720409</v>
      </c>
      <c r="M30" s="38">
        <f t="shared" si="9"/>
        <v>-0.81871410099523811</v>
      </c>
      <c r="N30" s="38">
        <f t="shared" si="10"/>
        <v>1.4210854715202004E-11</v>
      </c>
      <c r="O30" s="58" t="str">
        <f>IF(Cordes!F30="","",Cordes!F30)</f>
        <v/>
      </c>
    </row>
    <row r="31" spans="1:15" s="59" customFormat="1" ht="24.95" customHeight="1">
      <c r="A31" s="25">
        <f t="shared" si="0"/>
        <v>90</v>
      </c>
      <c r="B31" s="26">
        <f t="shared" si="1"/>
        <v>45622</v>
      </c>
      <c r="C31" s="38">
        <f t="shared" si="2"/>
        <v>-1.1237176147433914</v>
      </c>
      <c r="D31" s="38">
        <f t="shared" si="3"/>
        <v>-0.19302526434928668</v>
      </c>
      <c r="E31" s="38">
        <f t="shared" si="4"/>
        <v>-3.899999999987358</v>
      </c>
      <c r="F31" s="38">
        <f t="shared" si="5"/>
        <v>-0.56120966931105798</v>
      </c>
      <c r="G31" s="38">
        <f t="shared" si="6"/>
        <v>2.3864290849293508</v>
      </c>
      <c r="H31" s="38">
        <f t="shared" si="7"/>
        <v>-1.8999999999920192</v>
      </c>
      <c r="I31" s="38">
        <f t="shared" si="11"/>
        <v>-1.0631537805925184</v>
      </c>
      <c r="J31" s="38">
        <f t="shared" si="12"/>
        <v>0.38691597814291545</v>
      </c>
      <c r="K31" s="38">
        <f t="shared" si="13"/>
        <v>-1.8999999999920192</v>
      </c>
      <c r="L31" s="38">
        <f t="shared" si="8"/>
        <v>0.51654417710533806</v>
      </c>
      <c r="M31" s="38">
        <f t="shared" si="9"/>
        <v>7.5380292263725265E-2</v>
      </c>
      <c r="N31" s="38">
        <f t="shared" si="10"/>
        <v>-0.19999999999242846</v>
      </c>
      <c r="O31" s="58" t="str">
        <f>IF(Cordes!F31="","",Cordes!F31)</f>
        <v/>
      </c>
    </row>
    <row r="32" spans="1:15" s="59" customFormat="1" ht="24.95" customHeight="1">
      <c r="A32" s="25">
        <f t="shared" si="0"/>
        <v>112</v>
      </c>
      <c r="B32" s="26">
        <f t="shared" si="1"/>
        <v>45644</v>
      </c>
      <c r="C32" s="38">
        <f t="shared" si="2"/>
        <v>-1.2383127593937893</v>
      </c>
      <c r="D32" s="38">
        <f t="shared" si="3"/>
        <v>0.52591003750003273</v>
      </c>
      <c r="E32" s="38">
        <f t="shared" si="4"/>
        <v>-3.7999999999982492</v>
      </c>
      <c r="F32" s="38">
        <f t="shared" si="5"/>
        <v>-1.4797026678579073</v>
      </c>
      <c r="G32" s="38">
        <f t="shared" si="6"/>
        <v>1.5167332969597096</v>
      </c>
      <c r="H32" s="38">
        <f t="shared" si="7"/>
        <v>-2.3999999999944066</v>
      </c>
      <c r="I32" s="38">
        <f t="shared" si="11"/>
        <v>-3.2016606373193035</v>
      </c>
      <c r="J32" s="38">
        <f t="shared" si="12"/>
        <v>0.71370099801459919</v>
      </c>
      <c r="K32" s="38">
        <f t="shared" si="13"/>
        <v>-2.299999999991087</v>
      </c>
      <c r="L32" s="38">
        <f t="shared" si="8"/>
        <v>0.51044447302972529</v>
      </c>
      <c r="M32" s="38">
        <f t="shared" si="9"/>
        <v>-0.14814333065265273</v>
      </c>
      <c r="N32" s="38">
        <f t="shared" si="10"/>
        <v>-9.9999999989108801E-2</v>
      </c>
      <c r="O32" s="58" t="str">
        <f>IF(Cordes!F32="","",Cordes!F32)</f>
        <v/>
      </c>
    </row>
    <row r="33" spans="1:15" s="59" customFormat="1" ht="24.95" customHeight="1">
      <c r="A33" s="25">
        <f t="shared" si="0"/>
        <v>131</v>
      </c>
      <c r="B33" s="26">
        <f t="shared" si="1"/>
        <v>45663</v>
      </c>
      <c r="C33" s="38">
        <f t="shared" si="2"/>
        <v>-1.3895059666855225</v>
      </c>
      <c r="D33" s="38">
        <f t="shared" si="3"/>
        <v>-9.6296194233585874E-2</v>
      </c>
      <c r="E33" s="38">
        <f t="shared" si="4"/>
        <v>-4.3000000000006366</v>
      </c>
      <c r="F33" s="38">
        <f t="shared" si="5"/>
        <v>-0.83919742940441466</v>
      </c>
      <c r="G33" s="38">
        <f t="shared" si="6"/>
        <v>2.036110909212248</v>
      </c>
      <c r="H33" s="38">
        <f t="shared" si="7"/>
        <v>-2.3999999999944066</v>
      </c>
      <c r="I33" s="38">
        <f t="shared" si="11"/>
        <v>-5.358466395259498</v>
      </c>
      <c r="J33" s="38">
        <f t="shared" si="12"/>
        <v>0.36991524754496907</v>
      </c>
      <c r="K33" s="38">
        <f t="shared" si="13"/>
        <v>-3.1999999999925421</v>
      </c>
      <c r="L33" s="38">
        <f t="shared" si="8"/>
        <v>0.73680148189136929</v>
      </c>
      <c r="M33" s="38">
        <f t="shared" si="9"/>
        <v>-0.87012845993883303</v>
      </c>
      <c r="N33" s="38">
        <f t="shared" si="10"/>
        <v>-0.49999999998817657</v>
      </c>
      <c r="O33" s="58" t="str">
        <f>IF(Cordes!F33="","",Cordes!F33)</f>
        <v/>
      </c>
    </row>
    <row r="34" spans="1:15" s="59" customFormat="1" ht="24.95" customHeight="1">
      <c r="A34" s="25">
        <f t="shared" si="0"/>
        <v>134</v>
      </c>
      <c r="B34" s="26">
        <f t="shared" si="1"/>
        <v>45666</v>
      </c>
      <c r="C34" s="38">
        <f t="shared" si="2"/>
        <v>-1.4679359316756013</v>
      </c>
      <c r="D34" s="38">
        <f t="shared" si="3"/>
        <v>0.30848606235536152</v>
      </c>
      <c r="E34" s="38">
        <f t="shared" si="4"/>
        <v>-4.199999999997317</v>
      </c>
      <c r="F34" s="38">
        <f t="shared" si="5"/>
        <v>-1.6125969739371193</v>
      </c>
      <c r="G34" s="38">
        <f t="shared" si="6"/>
        <v>1.5650978355669052</v>
      </c>
      <c r="H34" s="38">
        <f t="shared" si="7"/>
        <v>-2.3999999999944066</v>
      </c>
      <c r="I34" s="38">
        <f t="shared" si="11"/>
        <v>-5.485261159072774</v>
      </c>
      <c r="J34" s="38">
        <f t="shared" si="12"/>
        <v>0.64180320515763722</v>
      </c>
      <c r="K34" s="38">
        <f t="shared" si="13"/>
        <v>-3.1000000000034333</v>
      </c>
      <c r="L34" s="38">
        <f t="shared" si="8"/>
        <v>0.75793392375933522</v>
      </c>
      <c r="M34" s="38">
        <f t="shared" si="9"/>
        <v>-0.91544317110948092</v>
      </c>
      <c r="N34" s="38">
        <f t="shared" si="10"/>
        <v>-0.39999999998485691</v>
      </c>
      <c r="O34" s="58" t="str">
        <f>IF(Cordes!F34="","",Cordes!F34)</f>
        <v/>
      </c>
    </row>
    <row r="35" spans="1:15" s="59" customFormat="1" ht="24.95" customHeight="1">
      <c r="A35" s="25">
        <f t="shared" si="0"/>
        <v>138</v>
      </c>
      <c r="B35" s="26">
        <f t="shared" si="1"/>
        <v>45670</v>
      </c>
      <c r="C35" s="38">
        <f t="shared" si="2"/>
        <v>-1.6130296459051507</v>
      </c>
      <c r="D35" s="38">
        <f t="shared" si="3"/>
        <v>-9.0196644868658332E-2</v>
      </c>
      <c r="E35" s="38">
        <f t="shared" si="4"/>
        <v>-4.2999999999864258</v>
      </c>
      <c r="F35" s="38">
        <f t="shared" si="5"/>
        <v>-1.6609615125449118</v>
      </c>
      <c r="G35" s="38">
        <f t="shared" si="6"/>
        <v>1.4322035294889526</v>
      </c>
      <c r="H35" s="38">
        <f t="shared" si="7"/>
        <v>-2.5999999999868351</v>
      </c>
      <c r="I35" s="38">
        <f t="shared" si="11"/>
        <v>-5.7571492150905179</v>
      </c>
      <c r="J35" s="38">
        <f t="shared" si="12"/>
        <v>0.51500865235634685</v>
      </c>
      <c r="K35" s="38">
        <f t="shared" si="13"/>
        <v>-3.1999999999925421</v>
      </c>
      <c r="L35" s="38">
        <f t="shared" si="8"/>
        <v>0.89082818063523916</v>
      </c>
      <c r="M35" s="38">
        <f t="shared" si="9"/>
        <v>-0.96380760421123191</v>
      </c>
      <c r="N35" s="38">
        <f t="shared" si="10"/>
        <v>-0.39999999998485691</v>
      </c>
      <c r="O35" s="58" t="str">
        <f>IF(Cordes!F35="","",Cordes!F35)</f>
        <v/>
      </c>
    </row>
    <row r="36" spans="1:15" s="59" customFormat="1" ht="24.95" customHeight="1">
      <c r="A36" s="25">
        <f t="shared" si="0"/>
        <v>142</v>
      </c>
      <c r="B36" s="26">
        <f t="shared" si="1"/>
        <v>45674</v>
      </c>
      <c r="C36" s="38">
        <f t="shared" si="2"/>
        <v>-1.8304534100366254</v>
      </c>
      <c r="D36" s="38">
        <f t="shared" si="3"/>
        <v>0.13942662582050197</v>
      </c>
      <c r="E36" s="38">
        <f t="shared" si="4"/>
        <v>-4.4999999999930651</v>
      </c>
      <c r="F36" s="38">
        <f t="shared" si="5"/>
        <v>-1.3468086219949882</v>
      </c>
      <c r="G36" s="38">
        <f t="shared" si="6"/>
        <v>1.4683687654515678</v>
      </c>
      <c r="H36" s="38">
        <f t="shared" si="7"/>
        <v>-2.7999999999934744</v>
      </c>
      <c r="I36" s="38">
        <f t="shared" si="11"/>
        <v>-5.8900435211692859</v>
      </c>
      <c r="J36" s="38">
        <f t="shared" si="12"/>
        <v>0.56337319096411154</v>
      </c>
      <c r="K36" s="38">
        <f t="shared" si="13"/>
        <v>-3.5000000000025011</v>
      </c>
      <c r="L36" s="38">
        <f t="shared" si="8"/>
        <v>0.81239821564516035</v>
      </c>
      <c r="M36" s="38">
        <f t="shared" si="9"/>
        <v>-0.5590253476219168</v>
      </c>
      <c r="N36" s="38">
        <f t="shared" si="10"/>
        <v>-0.59999999999149622</v>
      </c>
      <c r="O36" s="58" t="str">
        <f>IF(Cordes!F36="","",Cordes!F36)</f>
        <v/>
      </c>
    </row>
    <row r="37" spans="1:15" s="59" customFormat="1" ht="24.95" customHeight="1">
      <c r="A37" s="25">
        <f t="shared" si="0"/>
        <v>149</v>
      </c>
      <c r="B37" s="26">
        <f t="shared" si="1"/>
        <v>45681</v>
      </c>
      <c r="C37" s="38">
        <f t="shared" si="2"/>
        <v>-1.4439702093684836</v>
      </c>
      <c r="D37" s="38">
        <f t="shared" si="3"/>
        <v>-0.45271412322900328</v>
      </c>
      <c r="E37" s="38">
        <f t="shared" si="4"/>
        <v>-4.3999999999897454</v>
      </c>
      <c r="F37" s="38">
        <f t="shared" si="5"/>
        <v>-1.0566214537512941</v>
      </c>
      <c r="G37" s="38">
        <f t="shared" si="6"/>
        <v>2.2657341870020962</v>
      </c>
      <c r="H37" s="38">
        <f t="shared" si="7"/>
        <v>-2.299999999991087</v>
      </c>
      <c r="I37" s="38">
        <f t="shared" si="11"/>
        <v>-5.9506072569148749</v>
      </c>
      <c r="J37" s="38">
        <f t="shared" si="12"/>
        <v>-1.6568262540858636E-2</v>
      </c>
      <c r="K37" s="38">
        <f t="shared" si="13"/>
        <v>-3.2999999999958618</v>
      </c>
      <c r="L37" s="38">
        <f t="shared" si="8"/>
        <v>0.78233252904746919</v>
      </c>
      <c r="M37" s="38">
        <f t="shared" si="9"/>
        <v>-2.1348777852250519E-2</v>
      </c>
      <c r="N37" s="38">
        <f t="shared" si="10"/>
        <v>-0.39999999998485691</v>
      </c>
      <c r="O37" s="58" t="str">
        <f>IF(Cordes!F37="","",Cordes!F37)</f>
        <v/>
      </c>
    </row>
    <row r="38" spans="1:15" s="59" customFormat="1" ht="24.95" customHeight="1">
      <c r="A38" s="25">
        <f t="shared" si="0"/>
        <v>154</v>
      </c>
      <c r="B38" s="26">
        <f t="shared" si="1"/>
        <v>45686</v>
      </c>
      <c r="C38" s="38">
        <f t="shared" si="2"/>
        <v>-1.5857974999620161</v>
      </c>
      <c r="D38" s="38">
        <f t="shared" si="3"/>
        <v>8.8012266876301593E-2</v>
      </c>
      <c r="E38" s="38">
        <f t="shared" si="4"/>
        <v>-4.3999999999897454</v>
      </c>
      <c r="F38" s="38">
        <f t="shared" si="5"/>
        <v>-1.0171900614683871</v>
      </c>
      <c r="G38" s="38">
        <f t="shared" si="6"/>
        <v>2.8909901406649792</v>
      </c>
      <c r="H38" s="38">
        <f t="shared" si="7"/>
        <v>-2.3499999999927468</v>
      </c>
      <c r="I38" s="38">
        <f t="shared" si="11"/>
        <v>-6.3704223568037399</v>
      </c>
      <c r="J38" s="38">
        <f t="shared" si="12"/>
        <v>0.17384005735304742</v>
      </c>
      <c r="K38" s="38">
        <f t="shared" si="13"/>
        <v>-3.3499999999975216</v>
      </c>
      <c r="L38" s="38">
        <f t="shared" si="8"/>
        <v>0.71283554857171083</v>
      </c>
      <c r="M38" s="38">
        <f t="shared" si="9"/>
        <v>-0.10892837275887357</v>
      </c>
      <c r="N38" s="38">
        <f t="shared" si="10"/>
        <v>-0.44999999998651674</v>
      </c>
      <c r="O38" s="58" t="str">
        <f>IF(Cordes!F38="","",Cordes!F38)</f>
        <v/>
      </c>
    </row>
    <row r="39" spans="1:15" s="59" customFormat="1" ht="24.95" customHeight="1">
      <c r="A39" s="25">
        <f t="shared" si="0"/>
        <v>163</v>
      </c>
      <c r="B39" s="26">
        <f t="shared" si="1"/>
        <v>45695</v>
      </c>
      <c r="C39" s="38">
        <f t="shared" si="2"/>
        <v>-1.4679359316756013</v>
      </c>
      <c r="D39" s="38">
        <f t="shared" si="3"/>
        <v>0.30848606235536152</v>
      </c>
      <c r="E39" s="38">
        <f t="shared" si="4"/>
        <v>-4.0999999999939973</v>
      </c>
      <c r="F39" s="38">
        <f t="shared" si="5"/>
        <v>-1.6849274950669901</v>
      </c>
      <c r="G39" s="38">
        <f t="shared" si="6"/>
        <v>2.1934037221742164</v>
      </c>
      <c r="H39" s="38">
        <f t="shared" si="7"/>
        <v>-2.3000000000052978</v>
      </c>
      <c r="I39" s="38">
        <f t="shared" si="11"/>
        <v>-6.657343101410973</v>
      </c>
      <c r="J39" s="38">
        <f t="shared" si="12"/>
        <v>0.31588373313336249</v>
      </c>
      <c r="K39" s="38">
        <f t="shared" si="13"/>
        <v>-3.3999999999991815</v>
      </c>
      <c r="L39" s="38">
        <f t="shared" si="8"/>
        <v>0.52874337424269058</v>
      </c>
      <c r="M39" s="38">
        <f t="shared" si="9"/>
        <v>0.52242743968948169</v>
      </c>
      <c r="N39" s="38">
        <f t="shared" si="10"/>
        <v>1.4210854715202004E-11</v>
      </c>
      <c r="O39" s="58" t="str">
        <f>IF(Cordes!F39="","",Cordes!F39)</f>
        <v/>
      </c>
    </row>
    <row r="40" spans="1:15" s="59" customFormat="1" ht="24.95" customHeight="1">
      <c r="A40" s="25">
        <f t="shared" si="0"/>
        <v>169</v>
      </c>
      <c r="B40" s="26">
        <f t="shared" si="1"/>
        <v>45701</v>
      </c>
      <c r="C40" s="38">
        <f t="shared" si="2"/>
        <v>-1.6008302377548134</v>
      </c>
      <c r="D40" s="38">
        <f t="shared" si="3"/>
        <v>0.35685060096365356</v>
      </c>
      <c r="E40" s="38">
        <f t="shared" si="4"/>
        <v>-4.0999999999797865</v>
      </c>
      <c r="F40" s="38">
        <f t="shared" si="5"/>
        <v>-1.0021573728784539</v>
      </c>
      <c r="G40" s="38">
        <f t="shared" si="6"/>
        <v>2.6221519120844734</v>
      </c>
      <c r="H40" s="38">
        <f t="shared" si="7"/>
        <v>-1.8999999999778083</v>
      </c>
      <c r="I40" s="38">
        <f t="shared" si="11"/>
        <v>-6.6451439042731764</v>
      </c>
      <c r="J40" s="38">
        <f t="shared" si="12"/>
        <v>0.76293088055826019</v>
      </c>
      <c r="K40" s="38">
        <f t="shared" si="13"/>
        <v>-3.3999999999849706</v>
      </c>
      <c r="L40" s="38">
        <f t="shared" si="8"/>
        <v>0.61327309251124618</v>
      </c>
      <c r="M40" s="38">
        <f t="shared" si="9"/>
        <v>0.34116870050962705</v>
      </c>
      <c r="N40" s="38">
        <f t="shared" si="10"/>
        <v>-0.1999999999782176</v>
      </c>
      <c r="O40" s="58" t="str">
        <f>IF(Cordes!F40="","",Cordes!F40)</f>
        <v/>
      </c>
    </row>
    <row r="41" spans="1:15" s="59" customFormat="1" ht="24.95" customHeight="1">
      <c r="A41" s="25">
        <f t="shared" si="0"/>
        <v>176</v>
      </c>
      <c r="B41" s="26">
        <f t="shared" si="1"/>
        <v>45708</v>
      </c>
      <c r="C41" s="38">
        <f t="shared" si="2"/>
        <v>-1.7881885755035576</v>
      </c>
      <c r="D41" s="38">
        <f t="shared" si="3"/>
        <v>4.8797308983581505E-2</v>
      </c>
      <c r="E41" s="38">
        <f t="shared" si="4"/>
        <v>-4.199999999997317</v>
      </c>
      <c r="F41" s="38">
        <f t="shared" si="5"/>
        <v>-1.4069397349745216</v>
      </c>
      <c r="G41" s="38">
        <f t="shared" si="6"/>
        <v>2.5437218978907503</v>
      </c>
      <c r="H41" s="38">
        <f t="shared" si="7"/>
        <v>-2.3999999999944066</v>
      </c>
      <c r="I41" s="38">
        <f t="shared" si="11"/>
        <v>-6.9292313684417017</v>
      </c>
      <c r="J41" s="38">
        <f t="shared" si="12"/>
        <v>0.18908908192541429</v>
      </c>
      <c r="K41" s="38">
        <f t="shared" si="13"/>
        <v>-3.3999999999991815</v>
      </c>
      <c r="L41" s="38">
        <f t="shared" si="8"/>
        <v>0.51044447302972529</v>
      </c>
      <c r="M41" s="38">
        <f t="shared" si="9"/>
        <v>-0.14814333065265273</v>
      </c>
      <c r="N41" s="38">
        <f t="shared" si="10"/>
        <v>-0.39999999998485691</v>
      </c>
      <c r="O41" s="58" t="str">
        <f>IF(Cordes!F41="","",Cordes!F41)</f>
        <v/>
      </c>
    </row>
    <row r="42" spans="1:15" s="59" customFormat="1" ht="24.95" customHeight="1">
      <c r="A42" s="25">
        <f t="shared" si="0"/>
        <v>183</v>
      </c>
      <c r="B42" s="26">
        <f t="shared" si="1"/>
        <v>45715</v>
      </c>
      <c r="C42" s="38">
        <f t="shared" si="2"/>
        <v>-2.0600768425342864</v>
      </c>
      <c r="D42" s="38">
        <f t="shared" si="3"/>
        <v>-7.7997342223934743E-2</v>
      </c>
      <c r="E42" s="38">
        <f t="shared" si="4"/>
        <v>-4.0999999999939973</v>
      </c>
      <c r="F42" s="38">
        <f t="shared" si="5"/>
        <v>-1.6727280869166528</v>
      </c>
      <c r="G42" s="38">
        <f t="shared" si="6"/>
        <v>2.6404509680058688</v>
      </c>
      <c r="H42" s="38">
        <f t="shared" si="7"/>
        <v>-2.3999999999944066</v>
      </c>
      <c r="I42" s="38">
        <f t="shared" si="11"/>
        <v>-7.3401132235999533</v>
      </c>
      <c r="J42" s="38">
        <f t="shared" si="12"/>
        <v>-0.11286445677592682</v>
      </c>
      <c r="K42" s="38">
        <f t="shared" si="13"/>
        <v>-3.5999999999916099</v>
      </c>
      <c r="L42" s="38">
        <f t="shared" si="8"/>
        <v>0.10566211093365752</v>
      </c>
      <c r="M42" s="38">
        <f t="shared" si="9"/>
        <v>-0.22657334484610034</v>
      </c>
      <c r="N42" s="38">
        <f t="shared" si="10"/>
        <v>1.4210854715202004E-11</v>
      </c>
      <c r="O42" s="58" t="str">
        <f>IF(Cordes!F42="","",Cordes!F42)</f>
        <v/>
      </c>
    </row>
    <row r="43" spans="1:15" s="59" customFormat="1" ht="24.95" customHeight="1">
      <c r="A43" s="25">
        <f t="shared" si="0"/>
        <v>190</v>
      </c>
      <c r="B43" s="26">
        <f t="shared" si="1"/>
        <v>45722</v>
      </c>
      <c r="C43" s="38">
        <f t="shared" si="2"/>
        <v>-2.277500606665761</v>
      </c>
      <c r="D43" s="38">
        <f t="shared" si="3"/>
        <v>0.15162592846330955</v>
      </c>
      <c r="E43" s="38">
        <f t="shared" si="4"/>
        <v>-4.4999999999930651</v>
      </c>
      <c r="F43" s="38">
        <f t="shared" si="5"/>
        <v>-1.594298072724154</v>
      </c>
      <c r="G43" s="38">
        <f t="shared" si="6"/>
        <v>2.235668605911175</v>
      </c>
      <c r="H43" s="38">
        <f t="shared" si="7"/>
        <v>-2.6999999999901547</v>
      </c>
      <c r="I43" s="38">
        <f t="shared" si="11"/>
        <v>-7.5453380016070604</v>
      </c>
      <c r="J43" s="38">
        <f t="shared" si="12"/>
        <v>0.56380586293058865</v>
      </c>
      <c r="K43" s="38">
        <f t="shared" si="13"/>
        <v>-3.2999999999958618</v>
      </c>
      <c r="L43" s="38">
        <f t="shared" si="8"/>
        <v>0.14792699466914527</v>
      </c>
      <c r="M43" s="38">
        <f t="shared" si="9"/>
        <v>-0.31720276718896767</v>
      </c>
      <c r="N43" s="38">
        <f t="shared" si="10"/>
        <v>-0.29999999999574811</v>
      </c>
      <c r="O43" s="58" t="str">
        <f>IF(Cordes!F43="","",Cordes!F43)</f>
        <v/>
      </c>
    </row>
    <row r="44" spans="1:15" s="59" customFormat="1" ht="24.95" customHeight="1">
      <c r="A44" s="25">
        <f t="shared" si="0"/>
        <v>197</v>
      </c>
      <c r="B44" s="26">
        <f t="shared" si="1"/>
        <v>45729</v>
      </c>
      <c r="C44" s="38">
        <f t="shared" si="2"/>
        <v>-2.3559308318716887</v>
      </c>
      <c r="D44" s="38">
        <f t="shared" si="3"/>
        <v>0.55640819215354353</v>
      </c>
      <c r="E44" s="38">
        <f t="shared" si="4"/>
        <v>-4.3000000000006366</v>
      </c>
      <c r="F44" s="38">
        <f t="shared" si="5"/>
        <v>-2.4522270753086772</v>
      </c>
      <c r="G44" s="38">
        <f t="shared" si="6"/>
        <v>1.9459142643431273</v>
      </c>
      <c r="H44" s="38">
        <f t="shared" si="7"/>
        <v>-2.6999999999901547</v>
      </c>
      <c r="I44" s="38">
        <f t="shared" si="11"/>
        <v>-7.6721325544077956</v>
      </c>
      <c r="J44" s="38">
        <f t="shared" si="12"/>
        <v>0.83569391894997014</v>
      </c>
      <c r="K44" s="38">
        <f t="shared" si="13"/>
        <v>-3.5999999999916099</v>
      </c>
      <c r="L44" s="38">
        <f t="shared" si="8"/>
        <v>6.3397276401033764E-2</v>
      </c>
      <c r="M44" s="38">
        <f t="shared" si="9"/>
        <v>-0.13594402800929523</v>
      </c>
      <c r="N44" s="38">
        <f t="shared" si="10"/>
        <v>-0.29999999999574811</v>
      </c>
      <c r="O44" s="58" t="str">
        <f>IF(Cordes!F44="","",Cordes!F44)</f>
        <v/>
      </c>
    </row>
    <row r="45" spans="1:15" s="59" customFormat="1" ht="24.95" customHeight="1">
      <c r="A45" s="25">
        <f t="shared" si="0"/>
        <v>201</v>
      </c>
      <c r="B45" s="26">
        <f t="shared" si="1"/>
        <v>45733</v>
      </c>
      <c r="C45" s="38">
        <f t="shared" si="2"/>
        <v>-2.0962419729917414</v>
      </c>
      <c r="D45" s="38">
        <f t="shared" si="3"/>
        <v>0.23615559752992055</v>
      </c>
      <c r="E45" s="38">
        <f t="shared" si="4"/>
        <v>-4.5999999999963848</v>
      </c>
      <c r="F45" s="38">
        <f t="shared" si="5"/>
        <v>-2.0897095969480972</v>
      </c>
      <c r="G45" s="38">
        <f t="shared" si="6"/>
        <v>2.1149737008799954</v>
      </c>
      <c r="H45" s="38">
        <f t="shared" si="7"/>
        <v>-3.0000000000001137</v>
      </c>
      <c r="I45" s="38">
        <f t="shared" si="11"/>
        <v>-7.6843317515451481</v>
      </c>
      <c r="J45" s="38">
        <f t="shared" si="12"/>
        <v>0.38864677152183891</v>
      </c>
      <c r="K45" s="38">
        <f t="shared" si="13"/>
        <v>-3.9000000000015689</v>
      </c>
      <c r="L45" s="38">
        <f t="shared" si="8"/>
        <v>0.28082130074791323</v>
      </c>
      <c r="M45" s="38">
        <f t="shared" si="9"/>
        <v>-0.3655673057965988</v>
      </c>
      <c r="N45" s="38">
        <f t="shared" si="10"/>
        <v>-0.49999999998817657</v>
      </c>
      <c r="O45" s="58" t="str">
        <f>IF(Cordes!F45="","",Cordes!F45)</f>
        <v/>
      </c>
    </row>
    <row r="46" spans="1:15" s="59" customFormat="1" ht="24.95" customHeight="1">
      <c r="A46" s="25">
        <f t="shared" si="0"/>
        <v>210</v>
      </c>
      <c r="B46" s="26">
        <f t="shared" si="1"/>
        <v>45742</v>
      </c>
      <c r="C46" s="38">
        <f t="shared" si="2"/>
        <v>-2.1565895274622271</v>
      </c>
      <c r="D46" s="38">
        <f t="shared" si="3"/>
        <v>0.48386144054713126</v>
      </c>
      <c r="E46" s="38">
        <f t="shared" si="4"/>
        <v>-4.0999999999939973</v>
      </c>
      <c r="F46" s="38">
        <f t="shared" si="5"/>
        <v>-2.6879500008694102</v>
      </c>
      <c r="G46" s="38">
        <f t="shared" si="6"/>
        <v>1.5049667717901734</v>
      </c>
      <c r="H46" s="38">
        <f t="shared" si="7"/>
        <v>-3.1999999999925421</v>
      </c>
      <c r="I46" s="38">
        <f t="shared" si="11"/>
        <v>-7.6115688186622066</v>
      </c>
      <c r="J46" s="38">
        <f t="shared" si="12"/>
        <v>1.41563537245408</v>
      </c>
      <c r="K46" s="38">
        <f t="shared" si="13"/>
        <v>-3.7999999999982492</v>
      </c>
      <c r="L46" s="38">
        <f t="shared" si="8"/>
        <v>0.55067603533531795</v>
      </c>
      <c r="M46" s="38">
        <f t="shared" si="9"/>
        <v>-0.31328062493423892</v>
      </c>
      <c r="N46" s="38">
        <f t="shared" si="10"/>
        <v>-0.73333333331504491</v>
      </c>
      <c r="O46" s="58" t="str">
        <f>IF(Cordes!F46="","",Cordes!F46)</f>
        <v/>
      </c>
    </row>
    <row r="47" spans="1:15" s="59" customFormat="1" ht="24.95" customHeight="1">
      <c r="A47" s="25">
        <f t="shared" si="0"/>
        <v>223</v>
      </c>
      <c r="B47" s="26">
        <f t="shared" si="1"/>
        <v>45755</v>
      </c>
      <c r="C47" s="38">
        <f t="shared" si="2"/>
        <v>-2.4526597472771527</v>
      </c>
      <c r="D47" s="38">
        <f t="shared" si="3"/>
        <v>0.29061978390956722</v>
      </c>
      <c r="E47" s="38">
        <f t="shared" si="4"/>
        <v>-4.4999999999930651</v>
      </c>
      <c r="F47" s="38">
        <f t="shared" si="5"/>
        <v>-2.3132333253710335</v>
      </c>
      <c r="G47" s="38">
        <f t="shared" si="6"/>
        <v>2.121073355752956</v>
      </c>
      <c r="H47" s="38">
        <f t="shared" si="7"/>
        <v>-3.0000000000001137</v>
      </c>
      <c r="I47" s="38">
        <f t="shared" si="11"/>
        <v>-8.0689260821862341</v>
      </c>
      <c r="J47" s="38">
        <f t="shared" si="12"/>
        <v>0.50353050246114417</v>
      </c>
      <c r="K47" s="38">
        <f t="shared" si="13"/>
        <v>-3.7999999999982492</v>
      </c>
      <c r="L47" s="38">
        <f t="shared" si="8"/>
        <v>0.34719635819380201</v>
      </c>
      <c r="M47" s="38">
        <f t="shared" si="9"/>
        <v>-0.66563202367673868</v>
      </c>
      <c r="N47" s="38">
        <f t="shared" si="10"/>
        <v>-0.56666666665705634</v>
      </c>
      <c r="O47" s="58" t="str">
        <f>IF(Cordes!F47="","",Cordes!F47)</f>
        <v/>
      </c>
    </row>
    <row r="48" spans="1:15" s="59" customFormat="1" ht="24.95" customHeight="1">
      <c r="A48" s="25">
        <f t="shared" si="0"/>
        <v>237</v>
      </c>
      <c r="B48" s="26">
        <f t="shared" si="1"/>
        <v>45769</v>
      </c>
      <c r="C48" s="38">
        <f t="shared" si="2"/>
        <v>-1.7759893783662051</v>
      </c>
      <c r="D48" s="38">
        <f t="shared" si="3"/>
        <v>0.49584445640891894</v>
      </c>
      <c r="E48" s="38">
        <f t="shared" si="4"/>
        <v>-4.7999999999888132</v>
      </c>
      <c r="F48" s="38">
        <f t="shared" si="5"/>
        <v>-1.6182640060442566</v>
      </c>
      <c r="G48" s="38">
        <f t="shared" si="6"/>
        <v>2.9968686930899882</v>
      </c>
      <c r="H48" s="38">
        <f t="shared" si="7"/>
        <v>-3.0000000000001137</v>
      </c>
      <c r="I48" s="38">
        <f t="shared" si="11"/>
        <v>-7.8594908921569839</v>
      </c>
      <c r="J48" s="38">
        <f t="shared" si="12"/>
        <v>0.52764062696782077</v>
      </c>
      <c r="K48" s="38">
        <f t="shared" si="13"/>
        <v>-4.3000000000006366</v>
      </c>
      <c r="L48" s="38">
        <f t="shared" si="8"/>
        <v>0.89082818063523916</v>
      </c>
      <c r="M48" s="38">
        <f t="shared" si="9"/>
        <v>-0.96380760421123191</v>
      </c>
      <c r="N48" s="38">
        <f t="shared" si="10"/>
        <v>-0.99999999999056399</v>
      </c>
      <c r="O48" s="58" t="str">
        <f>IF(Cordes!F48="","",Cordes!F48)</f>
        <v/>
      </c>
    </row>
    <row r="49" spans="1:15" s="59" customFormat="1" ht="24.95" customHeight="1">
      <c r="A49" s="25">
        <f t="shared" si="0"/>
        <v>250</v>
      </c>
      <c r="B49" s="26">
        <f t="shared" si="1"/>
        <v>45782</v>
      </c>
      <c r="C49" s="38">
        <f t="shared" si="2"/>
        <v>-1.8727182937721132</v>
      </c>
      <c r="D49" s="38">
        <f t="shared" si="3"/>
        <v>0.2300560481624499</v>
      </c>
      <c r="E49" s="38">
        <f t="shared" si="4"/>
        <v>-4.7999999999888132</v>
      </c>
      <c r="F49" s="38">
        <f t="shared" si="5"/>
        <v>-2.5066913671953905</v>
      </c>
      <c r="G49" s="38">
        <f t="shared" si="6"/>
        <v>1.5894964408558963</v>
      </c>
      <c r="H49" s="38">
        <f t="shared" si="7"/>
        <v>-3.3999999999991815</v>
      </c>
      <c r="I49" s="38">
        <f t="shared" si="11"/>
        <v>-8.1797435359858284</v>
      </c>
      <c r="J49" s="38">
        <f t="shared" si="12"/>
        <v>0.2679518735933667</v>
      </c>
      <c r="K49" s="38">
        <f t="shared" si="13"/>
        <v>-4.3999999999897454</v>
      </c>
      <c r="L49" s="38">
        <f t="shared" si="8"/>
        <v>0.41981505068688918</v>
      </c>
      <c r="M49" s="38">
        <f t="shared" si="9"/>
        <v>-0.19040821438790281</v>
      </c>
      <c r="N49" s="38">
        <f t="shared" si="10"/>
        <v>-0.59999999999149622</v>
      </c>
      <c r="O49" s="58" t="str">
        <f>IF(Cordes!F49="","",Cordes!F49)</f>
        <v/>
      </c>
    </row>
    <row r="50" spans="1:15" s="59" customFormat="1" ht="24.95" customHeight="1">
      <c r="A50" s="25">
        <f t="shared" si="0"/>
        <v>266</v>
      </c>
      <c r="B50" s="26">
        <f t="shared" si="1"/>
        <v>45798</v>
      </c>
      <c r="C50" s="38">
        <f t="shared" si="2"/>
        <v>-1.9873136494354959</v>
      </c>
      <c r="D50" s="38">
        <f t="shared" si="3"/>
        <v>0.948991251608018</v>
      </c>
      <c r="E50" s="38">
        <f t="shared" si="4"/>
        <v>-4.6999999999997044</v>
      </c>
      <c r="F50" s="38">
        <f t="shared" si="5"/>
        <v>-2.1136755302677557</v>
      </c>
      <c r="G50" s="38">
        <f t="shared" si="6"/>
        <v>2.8761737880602758</v>
      </c>
      <c r="H50" s="38">
        <f t="shared" si="7"/>
        <v>-3.0000000000001137</v>
      </c>
      <c r="I50" s="38">
        <f t="shared" si="11"/>
        <v>-8.2943386806362263</v>
      </c>
      <c r="J50" s="38">
        <f t="shared" si="12"/>
        <v>0.98688717544338778</v>
      </c>
      <c r="K50" s="38">
        <f t="shared" si="13"/>
        <v>-4.199999999997317</v>
      </c>
      <c r="L50" s="38">
        <f t="shared" si="8"/>
        <v>0.8668622473155807</v>
      </c>
      <c r="M50" s="38">
        <f t="shared" si="9"/>
        <v>-0.20260751703172</v>
      </c>
      <c r="N50" s="38">
        <f t="shared" si="10"/>
        <v>-0.79999999999813554</v>
      </c>
      <c r="O50" s="58" t="str">
        <f>IF(Cordes!F50="","",Cordes!F50)</f>
        <v/>
      </c>
    </row>
    <row r="51" spans="1:15" ht="29.1" customHeight="1">
      <c r="A51" s="69"/>
      <c r="B51" s="70"/>
      <c r="C51" s="71"/>
      <c r="D51" s="71"/>
      <c r="E51" s="71"/>
      <c r="F51" s="72"/>
      <c r="G51" s="72"/>
      <c r="H51" s="72"/>
      <c r="I51" s="71"/>
      <c r="J51" s="71"/>
      <c r="K51" s="71"/>
      <c r="L51" s="72"/>
      <c r="M51" s="72"/>
      <c r="N51" s="71"/>
      <c r="O51" s="73"/>
    </row>
    <row r="52" spans="1:15" ht="29.1" customHeight="1">
      <c r="A52" s="69"/>
      <c r="B52" s="70"/>
      <c r="C52" s="71"/>
      <c r="D52" s="71"/>
      <c r="E52" s="71"/>
      <c r="F52" s="72"/>
      <c r="G52" s="72"/>
      <c r="H52" s="72"/>
      <c r="I52" s="71"/>
      <c r="J52" s="71"/>
      <c r="K52" s="71"/>
      <c r="L52" s="72"/>
      <c r="M52" s="72"/>
      <c r="N52" s="71"/>
      <c r="O52" s="73"/>
    </row>
    <row r="53" spans="1:15" ht="29.1" customHeight="1">
      <c r="A53" s="69"/>
      <c r="B53" s="70"/>
      <c r="C53" s="71"/>
      <c r="D53" s="71"/>
      <c r="E53" s="71"/>
      <c r="F53" s="72"/>
      <c r="G53" s="72"/>
      <c r="H53" s="72"/>
      <c r="I53" s="71"/>
      <c r="J53" s="71"/>
      <c r="K53" s="71"/>
      <c r="L53" s="72"/>
      <c r="M53" s="72"/>
      <c r="N53" s="71"/>
      <c r="O53" s="73"/>
    </row>
    <row r="54" spans="1:15" ht="29.1" customHeight="1">
      <c r="A54" s="69"/>
      <c r="B54" s="70"/>
      <c r="C54" s="71"/>
      <c r="D54" s="71"/>
      <c r="E54" s="71"/>
      <c r="F54" s="72"/>
      <c r="G54" s="72"/>
      <c r="H54" s="72"/>
      <c r="I54" s="71"/>
      <c r="J54" s="71"/>
      <c r="K54" s="71"/>
      <c r="L54" s="72"/>
      <c r="M54" s="72"/>
      <c r="N54" s="71"/>
      <c r="O54" s="73"/>
    </row>
    <row r="55" spans="1:15" ht="29.1" customHeight="1">
      <c r="A55" s="69"/>
      <c r="B55" s="70"/>
      <c r="C55" s="71"/>
      <c r="D55" s="71"/>
      <c r="E55" s="71"/>
      <c r="F55" s="72"/>
      <c r="G55" s="72"/>
      <c r="H55" s="72"/>
      <c r="I55" s="71"/>
      <c r="J55" s="71"/>
      <c r="K55" s="71"/>
      <c r="L55" s="72"/>
      <c r="M55" s="72"/>
      <c r="N55" s="71"/>
      <c r="O55" s="73"/>
    </row>
    <row r="56" spans="1:15" ht="29.1" customHeight="1">
      <c r="A56" s="69"/>
      <c r="B56" s="70"/>
      <c r="C56" s="71"/>
      <c r="D56" s="71"/>
      <c r="E56" s="71"/>
      <c r="F56" s="72"/>
      <c r="G56" s="72"/>
      <c r="H56" s="72"/>
      <c r="I56" s="71"/>
      <c r="J56" s="71"/>
      <c r="K56" s="71"/>
      <c r="L56" s="72"/>
      <c r="M56" s="72"/>
      <c r="N56" s="71"/>
      <c r="O56" s="73"/>
    </row>
    <row r="57" spans="1:15" ht="29.1" customHeight="1">
      <c r="A57" s="69"/>
      <c r="B57" s="70"/>
      <c r="C57" s="71"/>
      <c r="D57" s="71"/>
      <c r="E57" s="71"/>
      <c r="F57" s="72"/>
      <c r="G57" s="72"/>
      <c r="H57" s="72"/>
      <c r="I57" s="71"/>
      <c r="J57" s="71"/>
      <c r="K57" s="71"/>
      <c r="L57" s="72"/>
      <c r="M57" s="72"/>
      <c r="N57" s="71"/>
      <c r="O57" s="73"/>
    </row>
    <row r="58" spans="1:15" ht="29.1" customHeight="1">
      <c r="A58" s="69"/>
      <c r="B58" s="70"/>
      <c r="C58" s="71"/>
      <c r="D58" s="71"/>
      <c r="E58" s="71"/>
      <c r="F58" s="72"/>
      <c r="G58" s="72"/>
      <c r="H58" s="72"/>
      <c r="I58" s="71"/>
      <c r="J58" s="71"/>
      <c r="K58" s="71"/>
      <c r="L58" s="72"/>
      <c r="M58" s="72"/>
      <c r="N58" s="71"/>
      <c r="O58" s="73"/>
    </row>
    <row r="59" spans="1:15" ht="29.1" customHeight="1">
      <c r="A59" s="69"/>
      <c r="B59" s="70"/>
      <c r="C59" s="71"/>
      <c r="D59" s="71"/>
      <c r="E59" s="71"/>
      <c r="F59" s="72"/>
      <c r="G59" s="72"/>
      <c r="H59" s="72"/>
      <c r="I59" s="71"/>
      <c r="J59" s="71"/>
      <c r="K59" s="71"/>
      <c r="L59" s="72"/>
      <c r="M59" s="72"/>
      <c r="N59" s="71"/>
      <c r="O59" s="73"/>
    </row>
    <row r="60" spans="1:15" ht="29.1" customHeight="1">
      <c r="A60" s="69"/>
      <c r="B60" s="70"/>
      <c r="C60" s="71"/>
      <c r="D60" s="71"/>
      <c r="E60" s="71"/>
      <c r="F60" s="72"/>
      <c r="G60" s="72"/>
      <c r="H60" s="72"/>
      <c r="I60" s="71"/>
      <c r="J60" s="71"/>
      <c r="K60" s="71"/>
      <c r="L60" s="72"/>
      <c r="M60" s="72"/>
      <c r="N60" s="71"/>
      <c r="O60" s="73"/>
    </row>
    <row r="61" spans="1:15" ht="29.1" customHeight="1">
      <c r="A61" s="69"/>
      <c r="B61" s="70"/>
      <c r="C61" s="71"/>
      <c r="D61" s="71"/>
      <c r="E61" s="71"/>
      <c r="F61" s="72"/>
      <c r="G61" s="72"/>
      <c r="H61" s="72"/>
      <c r="I61" s="71"/>
      <c r="J61" s="71"/>
      <c r="K61" s="71"/>
      <c r="L61" s="72"/>
      <c r="M61" s="72"/>
      <c r="N61" s="71"/>
      <c r="O61" s="73"/>
    </row>
    <row r="62" spans="1:15" ht="29.1" customHeight="1">
      <c r="A62" s="69"/>
      <c r="B62" s="70"/>
      <c r="C62" s="71"/>
      <c r="D62" s="71"/>
      <c r="E62" s="71"/>
      <c r="F62" s="72"/>
      <c r="G62" s="72"/>
      <c r="H62" s="72"/>
      <c r="I62" s="71"/>
      <c r="J62" s="71"/>
      <c r="K62" s="71"/>
      <c r="L62" s="72"/>
      <c r="M62" s="72"/>
      <c r="N62" s="71"/>
      <c r="O62" s="73"/>
    </row>
    <row r="63" spans="1:15" ht="29.1" customHeight="1">
      <c r="A63" s="69"/>
      <c r="B63" s="70"/>
      <c r="C63" s="71"/>
      <c r="D63" s="71"/>
      <c r="E63" s="71"/>
      <c r="F63" s="72"/>
      <c r="G63" s="72"/>
      <c r="H63" s="72"/>
      <c r="I63" s="71"/>
      <c r="J63" s="71"/>
      <c r="K63" s="71"/>
      <c r="L63" s="72"/>
      <c r="M63" s="72"/>
      <c r="N63" s="71"/>
      <c r="O63" s="73"/>
    </row>
    <row r="64" spans="1:15" ht="29.1" customHeight="1">
      <c r="A64" s="69"/>
      <c r="B64" s="70"/>
      <c r="C64" s="71"/>
      <c r="D64" s="71"/>
      <c r="E64" s="71"/>
      <c r="F64" s="72"/>
      <c r="G64" s="72"/>
      <c r="H64" s="72"/>
      <c r="I64" s="71"/>
      <c r="J64" s="71"/>
      <c r="K64" s="71"/>
      <c r="L64" s="72"/>
      <c r="M64" s="72"/>
      <c r="N64" s="71"/>
      <c r="O64" s="73"/>
    </row>
    <row r="65" spans="1:15" ht="29.1" customHeight="1">
      <c r="A65" s="69"/>
      <c r="B65" s="70"/>
      <c r="C65" s="71"/>
      <c r="D65" s="71"/>
      <c r="E65" s="71"/>
      <c r="F65" s="72"/>
      <c r="G65" s="72"/>
      <c r="H65" s="72"/>
      <c r="I65" s="71"/>
      <c r="J65" s="71"/>
      <c r="K65" s="71"/>
      <c r="L65" s="72"/>
      <c r="M65" s="72"/>
      <c r="N65" s="71"/>
      <c r="O65" s="73"/>
    </row>
    <row r="66" spans="1:15" ht="29.1" customHeight="1">
      <c r="A66" s="69"/>
      <c r="B66" s="70"/>
      <c r="C66" s="71"/>
      <c r="D66" s="71"/>
      <c r="E66" s="71"/>
      <c r="F66" s="72"/>
      <c r="G66" s="72"/>
      <c r="H66" s="72"/>
      <c r="I66" s="71"/>
      <c r="J66" s="71"/>
      <c r="K66" s="71"/>
      <c r="L66" s="72"/>
      <c r="M66" s="72"/>
      <c r="N66" s="71"/>
      <c r="O66" s="73"/>
    </row>
    <row r="67" spans="1:15" ht="28.5" customHeight="1">
      <c r="A67" s="69"/>
      <c r="B67" s="70"/>
      <c r="C67" s="71"/>
      <c r="D67" s="71"/>
      <c r="E67" s="71"/>
      <c r="F67" s="72"/>
      <c r="G67" s="72"/>
      <c r="H67" s="72"/>
      <c r="I67" s="71"/>
      <c r="J67" s="71"/>
      <c r="K67" s="71"/>
      <c r="L67" s="72"/>
      <c r="M67" s="72"/>
      <c r="N67" s="71"/>
      <c r="O67" s="73"/>
    </row>
    <row r="68" spans="1:15" ht="28.5" customHeight="1">
      <c r="A68" s="69"/>
      <c r="B68" s="70"/>
      <c r="C68" s="71"/>
      <c r="D68" s="71"/>
      <c r="E68" s="71"/>
      <c r="F68" s="72"/>
      <c r="G68" s="72"/>
      <c r="H68" s="72"/>
      <c r="I68" s="71"/>
      <c r="J68" s="71"/>
      <c r="K68" s="71"/>
      <c r="L68" s="72"/>
      <c r="M68" s="72"/>
      <c r="N68" s="71"/>
      <c r="O68" s="73"/>
    </row>
    <row r="69" spans="1:15" ht="28.5" customHeight="1">
      <c r="A69" s="69"/>
      <c r="B69" s="70"/>
      <c r="C69" s="71"/>
      <c r="D69" s="71"/>
      <c r="E69" s="71"/>
      <c r="F69" s="72"/>
      <c r="G69" s="72"/>
      <c r="H69" s="72"/>
      <c r="I69" s="71"/>
      <c r="J69" s="71"/>
      <c r="K69" s="71"/>
      <c r="L69" s="72"/>
      <c r="M69" s="72"/>
      <c r="N69" s="71"/>
      <c r="O69" s="73"/>
    </row>
    <row r="70" spans="1:15" ht="28.5" customHeight="1">
      <c r="A70" s="69"/>
      <c r="B70" s="70"/>
      <c r="C70" s="71"/>
      <c r="D70" s="71"/>
      <c r="E70" s="71"/>
      <c r="F70" s="72"/>
      <c r="G70" s="72"/>
      <c r="H70" s="72"/>
      <c r="I70" s="71"/>
      <c r="J70" s="71"/>
      <c r="K70" s="71"/>
      <c r="L70" s="72"/>
      <c r="M70" s="72"/>
      <c r="N70" s="71"/>
      <c r="O70" s="73"/>
    </row>
    <row r="71" spans="1:15" ht="28.5" customHeight="1">
      <c r="A71" s="69"/>
      <c r="B71" s="70"/>
      <c r="C71" s="71"/>
      <c r="D71" s="71"/>
      <c r="E71" s="71"/>
      <c r="F71" s="72"/>
      <c r="G71" s="72"/>
      <c r="H71" s="72"/>
      <c r="I71" s="71"/>
      <c r="J71" s="71"/>
      <c r="K71" s="71"/>
      <c r="L71" s="72"/>
      <c r="M71" s="72"/>
      <c r="N71" s="71"/>
      <c r="O71" s="73"/>
    </row>
    <row r="72" spans="1:15" ht="28.5" customHeight="1">
      <c r="A72" s="69"/>
      <c r="B72" s="70"/>
      <c r="C72" s="71"/>
      <c r="D72" s="71"/>
      <c r="E72" s="71"/>
      <c r="F72" s="72"/>
      <c r="G72" s="72"/>
      <c r="H72" s="72"/>
      <c r="I72" s="71"/>
      <c r="J72" s="71"/>
      <c r="K72" s="71"/>
      <c r="L72" s="72"/>
      <c r="M72" s="72"/>
      <c r="N72" s="71"/>
      <c r="O72" s="73"/>
    </row>
    <row r="73" spans="1:15" ht="28.5" customHeight="1">
      <c r="A73" s="69"/>
      <c r="B73" s="70"/>
      <c r="C73" s="71"/>
      <c r="D73" s="71"/>
      <c r="E73" s="71"/>
      <c r="F73" s="72"/>
      <c r="G73" s="72"/>
      <c r="H73" s="72"/>
      <c r="I73" s="71"/>
      <c r="J73" s="71"/>
      <c r="K73" s="71"/>
      <c r="L73" s="72"/>
      <c r="M73" s="72"/>
      <c r="N73" s="71"/>
      <c r="O73" s="73"/>
    </row>
    <row r="74" spans="1:15" ht="28.5" customHeight="1">
      <c r="A74" s="69"/>
      <c r="B74" s="70"/>
      <c r="C74" s="71"/>
      <c r="D74" s="71"/>
      <c r="E74" s="71"/>
      <c r="F74" s="72"/>
      <c r="G74" s="72"/>
      <c r="H74" s="72"/>
      <c r="I74" s="71"/>
      <c r="J74" s="71"/>
      <c r="K74" s="71"/>
      <c r="L74" s="72"/>
      <c r="M74" s="72"/>
      <c r="N74" s="71"/>
      <c r="O74" s="73"/>
    </row>
    <row r="75" spans="1:15" ht="28.5" customHeight="1">
      <c r="A75" s="69"/>
      <c r="B75" s="70"/>
      <c r="C75" s="71"/>
      <c r="D75" s="71"/>
      <c r="E75" s="71"/>
      <c r="F75" s="72"/>
      <c r="G75" s="72"/>
      <c r="H75" s="72"/>
      <c r="I75" s="71"/>
      <c r="J75" s="71"/>
      <c r="K75" s="71"/>
      <c r="L75" s="72"/>
      <c r="M75" s="72"/>
      <c r="N75" s="71"/>
      <c r="O75" s="73"/>
    </row>
    <row r="76" spans="1:15" ht="28.5" customHeight="1">
      <c r="A76" s="69"/>
      <c r="B76" s="70"/>
      <c r="C76" s="71"/>
      <c r="D76" s="71"/>
      <c r="E76" s="71"/>
      <c r="F76" s="72"/>
      <c r="G76" s="72"/>
      <c r="H76" s="72"/>
      <c r="I76" s="71"/>
      <c r="J76" s="71"/>
      <c r="K76" s="71"/>
      <c r="L76" s="72"/>
      <c r="M76" s="72"/>
      <c r="N76" s="71"/>
      <c r="O76" s="73"/>
    </row>
    <row r="77" spans="1:15" ht="28.5" customHeight="1">
      <c r="A77" s="69"/>
      <c r="B77" s="70"/>
      <c r="C77" s="71"/>
      <c r="D77" s="71"/>
      <c r="E77" s="71"/>
      <c r="F77" s="72"/>
      <c r="G77" s="72"/>
      <c r="H77" s="72"/>
      <c r="I77" s="71"/>
      <c r="J77" s="71"/>
      <c r="K77" s="71"/>
      <c r="L77" s="72"/>
      <c r="M77" s="72"/>
      <c r="N77" s="71"/>
      <c r="O77" s="73"/>
    </row>
    <row r="78" spans="1:15" ht="28.5" customHeight="1">
      <c r="A78" s="69"/>
      <c r="B78" s="70"/>
      <c r="C78" s="71"/>
      <c r="D78" s="71"/>
      <c r="E78" s="71"/>
      <c r="F78" s="72"/>
      <c r="G78" s="72"/>
      <c r="H78" s="72"/>
      <c r="I78" s="71"/>
      <c r="J78" s="71"/>
      <c r="K78" s="71"/>
      <c r="L78" s="72"/>
      <c r="M78" s="72"/>
      <c r="N78" s="71"/>
      <c r="O78" s="73"/>
    </row>
    <row r="79" spans="1:15" ht="28.5" customHeight="1">
      <c r="A79" s="69"/>
      <c r="B79" s="70"/>
      <c r="C79" s="71"/>
      <c r="D79" s="71"/>
      <c r="E79" s="71"/>
      <c r="F79" s="72"/>
      <c r="G79" s="72"/>
      <c r="H79" s="72"/>
      <c r="I79" s="71"/>
      <c r="J79" s="71"/>
      <c r="K79" s="71"/>
      <c r="L79" s="72"/>
      <c r="M79" s="72"/>
      <c r="N79" s="71"/>
      <c r="O79" s="73"/>
    </row>
    <row r="80" spans="1:15" ht="28.5" customHeight="1">
      <c r="A80" s="69"/>
      <c r="B80" s="70"/>
      <c r="C80" s="71"/>
      <c r="D80" s="71"/>
      <c r="E80" s="71"/>
      <c r="F80" s="72"/>
      <c r="G80" s="72"/>
      <c r="H80" s="72"/>
      <c r="I80" s="71"/>
      <c r="J80" s="71"/>
      <c r="K80" s="71"/>
      <c r="L80" s="72"/>
      <c r="M80" s="72"/>
      <c r="N80" s="71"/>
      <c r="O80" s="73"/>
    </row>
    <row r="81" spans="1:15" ht="28.5" customHeight="1">
      <c r="A81" s="69"/>
      <c r="B81" s="70"/>
      <c r="C81" s="71"/>
      <c r="D81" s="71"/>
      <c r="E81" s="71"/>
      <c r="F81" s="72"/>
      <c r="G81" s="72"/>
      <c r="H81" s="72"/>
      <c r="I81" s="71"/>
      <c r="J81" s="71"/>
      <c r="K81" s="71"/>
      <c r="L81" s="72"/>
      <c r="M81" s="72"/>
      <c r="N81" s="71"/>
      <c r="O81" s="73"/>
    </row>
    <row r="82" spans="1:15" ht="26.25" customHeight="1">
      <c r="A82" s="69"/>
      <c r="B82" s="70"/>
      <c r="C82" s="71"/>
      <c r="D82" s="71"/>
      <c r="E82" s="71"/>
      <c r="F82" s="72"/>
      <c r="G82" s="72"/>
      <c r="H82" s="72"/>
      <c r="I82" s="71"/>
      <c r="J82" s="71"/>
      <c r="K82" s="71"/>
      <c r="L82" s="72"/>
      <c r="M82" s="72"/>
      <c r="N82" s="71"/>
      <c r="O82" s="73"/>
    </row>
    <row r="83" spans="1:15" ht="26.25" customHeight="1">
      <c r="A83" s="69"/>
      <c r="B83" s="70"/>
      <c r="C83" s="71"/>
      <c r="D83" s="71"/>
      <c r="E83" s="71"/>
      <c r="F83" s="72"/>
      <c r="G83" s="72"/>
      <c r="H83" s="72"/>
      <c r="I83" s="71"/>
      <c r="J83" s="71"/>
      <c r="K83" s="71"/>
      <c r="L83" s="72"/>
      <c r="M83" s="72"/>
      <c r="N83" s="71"/>
      <c r="O83" s="73"/>
    </row>
    <row r="84" spans="1:15" ht="26.25" customHeight="1">
      <c r="A84" s="69"/>
      <c r="B84" s="70"/>
      <c r="C84" s="71"/>
      <c r="D84" s="71"/>
      <c r="E84" s="71"/>
      <c r="F84" s="72"/>
      <c r="G84" s="72"/>
      <c r="H84" s="72"/>
      <c r="I84" s="71"/>
      <c r="J84" s="71"/>
      <c r="K84" s="71"/>
      <c r="L84" s="72"/>
      <c r="M84" s="72"/>
      <c r="N84" s="71"/>
      <c r="O84" s="73"/>
    </row>
    <row r="85" spans="1:15" ht="26.25" customHeight="1">
      <c r="A85" s="69"/>
      <c r="B85" s="70"/>
      <c r="C85" s="71"/>
      <c r="D85" s="71"/>
      <c r="E85" s="71"/>
      <c r="F85" s="72"/>
      <c r="G85" s="72"/>
      <c r="H85" s="72"/>
      <c r="I85" s="71"/>
      <c r="J85" s="71"/>
      <c r="K85" s="71"/>
      <c r="L85" s="72"/>
      <c r="M85" s="72"/>
      <c r="N85" s="71"/>
      <c r="O85" s="73"/>
    </row>
    <row r="86" spans="1:15" ht="26.25" customHeight="1">
      <c r="A86" s="69"/>
      <c r="B86" s="70"/>
      <c r="C86" s="71"/>
      <c r="D86" s="71"/>
      <c r="E86" s="71"/>
      <c r="F86" s="72"/>
      <c r="G86" s="72"/>
      <c r="H86" s="72"/>
      <c r="I86" s="71"/>
      <c r="J86" s="71"/>
      <c r="K86" s="71"/>
      <c r="L86" s="72"/>
      <c r="M86" s="72"/>
      <c r="N86" s="71"/>
      <c r="O86" s="73"/>
    </row>
    <row r="87" spans="1:15" ht="26.25" customHeight="1">
      <c r="A87" s="69"/>
      <c r="B87" s="70"/>
      <c r="C87" s="71"/>
      <c r="D87" s="71"/>
      <c r="E87" s="71"/>
      <c r="F87" s="72"/>
      <c r="G87" s="72"/>
      <c r="H87" s="72"/>
      <c r="I87" s="71"/>
      <c r="J87" s="71"/>
      <c r="K87" s="71"/>
      <c r="L87" s="72"/>
      <c r="M87" s="72"/>
      <c r="N87" s="71"/>
      <c r="O87" s="73"/>
    </row>
    <row r="88" spans="1:15" ht="26.25" customHeight="1">
      <c r="A88" s="69"/>
      <c r="B88" s="70"/>
      <c r="C88" s="71"/>
      <c r="D88" s="71"/>
      <c r="E88" s="71"/>
      <c r="F88" s="72"/>
      <c r="G88" s="72"/>
      <c r="H88" s="72"/>
      <c r="I88" s="71"/>
      <c r="J88" s="71"/>
      <c r="K88" s="71"/>
      <c r="L88" s="72"/>
      <c r="M88" s="72"/>
      <c r="N88" s="71"/>
      <c r="O88" s="73"/>
    </row>
    <row r="89" spans="1:15" ht="26.25" customHeight="1">
      <c r="A89" s="69"/>
      <c r="B89" s="70"/>
      <c r="C89" s="71"/>
      <c r="D89" s="71"/>
      <c r="E89" s="71"/>
      <c r="F89" s="72"/>
      <c r="G89" s="72"/>
      <c r="H89" s="72"/>
      <c r="I89" s="71"/>
      <c r="J89" s="71"/>
      <c r="K89" s="71"/>
      <c r="L89" s="72"/>
      <c r="M89" s="72"/>
      <c r="N89" s="71"/>
      <c r="O89" s="73"/>
    </row>
    <row r="90" spans="1:15" ht="26.25" customHeight="1">
      <c r="A90" s="69"/>
      <c r="B90" s="70"/>
      <c r="C90" s="71"/>
      <c r="D90" s="71"/>
      <c r="E90" s="71"/>
      <c r="F90" s="72"/>
      <c r="G90" s="72"/>
      <c r="H90" s="72"/>
      <c r="I90" s="71"/>
      <c r="J90" s="71"/>
      <c r="K90" s="71"/>
      <c r="L90" s="72"/>
      <c r="M90" s="72"/>
      <c r="N90" s="71"/>
      <c r="O90" s="73"/>
    </row>
  </sheetData>
  <mergeCells count="8">
    <mergeCell ref="J1:N1"/>
    <mergeCell ref="J2:N2"/>
    <mergeCell ref="A5:N5"/>
    <mergeCell ref="F8:H8"/>
    <mergeCell ref="C7:N7"/>
    <mergeCell ref="C8:E8"/>
    <mergeCell ref="L8:N8"/>
    <mergeCell ref="I8:K8"/>
  </mergeCells>
  <phoneticPr fontId="0" type="noConversion"/>
  <printOptions horizontalCentered="1"/>
  <pageMargins left="0.39370078740157499" right="0.39370078740157499" top="0.196850393700787" bottom="0.196850393700787" header="0.511811023622047" footer="0.511811023622047"/>
  <pageSetup paperSize="9" scale="53" fitToHeight="0" orientation="landscape" cellComments="atEnd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AH67"/>
  <sheetViews>
    <sheetView showGridLines="0" topLeftCell="A24" zoomScaleNormal="100" workbookViewId="0">
      <selection activeCell="AA24" sqref="AA24"/>
    </sheetView>
  </sheetViews>
  <sheetFormatPr baseColWidth="10" defaultColWidth="11.42578125" defaultRowHeight="12.75"/>
  <cols>
    <col min="1" max="1" width="3" style="2" customWidth="1"/>
    <col min="2" max="12" width="9.7109375" style="2" customWidth="1"/>
    <col min="13" max="13" width="4.7109375" style="2" customWidth="1"/>
    <col min="14" max="24" width="9.7109375" style="2" customWidth="1"/>
    <col min="25" max="25" width="4.28515625" style="2" customWidth="1"/>
    <col min="26" max="28" width="11.42578125" style="2"/>
    <col min="29" max="29" width="14.85546875" style="2" customWidth="1"/>
    <col min="30" max="16384" width="11.42578125" style="2"/>
  </cols>
  <sheetData>
    <row r="1" spans="1:34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AE1" s="2" t="s">
        <v>33</v>
      </c>
      <c r="AG1" s="27">
        <f>AG3+10</f>
        <v>45808</v>
      </c>
    </row>
    <row r="2" spans="1:34" ht="13.5" customHeight="1">
      <c r="A2" s="61"/>
      <c r="B2" s="44"/>
      <c r="C2" s="45"/>
      <c r="D2" s="45"/>
      <c r="E2" s="45"/>
      <c r="F2" s="45"/>
      <c r="G2" s="45"/>
      <c r="H2" s="45"/>
      <c r="I2" s="206" t="s">
        <v>6</v>
      </c>
      <c r="J2" s="206"/>
      <c r="K2" s="206"/>
      <c r="L2" s="207"/>
      <c r="M2" s="63"/>
      <c r="N2" s="44"/>
      <c r="O2" s="45"/>
      <c r="P2" s="45"/>
      <c r="Q2" s="45"/>
      <c r="R2" s="45"/>
      <c r="S2" s="45"/>
      <c r="T2" s="45"/>
      <c r="U2" s="206" t="s">
        <v>6</v>
      </c>
      <c r="V2" s="206"/>
      <c r="W2" s="206"/>
      <c r="X2" s="207"/>
      <c r="Y2" s="64"/>
      <c r="AG2" s="12"/>
    </row>
    <row r="3" spans="1:34" ht="13.5" customHeight="1">
      <c r="A3" s="61"/>
      <c r="B3" s="46"/>
      <c r="I3" s="201" t="s">
        <v>25</v>
      </c>
      <c r="J3" s="201"/>
      <c r="K3" s="201"/>
      <c r="L3" s="208"/>
      <c r="M3" s="64"/>
      <c r="N3" s="46"/>
      <c r="U3" s="201" t="s">
        <v>25</v>
      </c>
      <c r="V3" s="201"/>
      <c r="W3" s="201"/>
      <c r="X3" s="208"/>
      <c r="Y3" s="64"/>
      <c r="AE3" s="57" t="s">
        <v>34</v>
      </c>
      <c r="AG3" s="27">
        <f>MAX('Résultats observations'!A10:A73)</f>
        <v>45798</v>
      </c>
    </row>
    <row r="4" spans="1:34" ht="13.5" customHeight="1">
      <c r="A4" s="61"/>
      <c r="B4" s="46"/>
      <c r="I4" s="47"/>
      <c r="J4" s="47"/>
      <c r="K4" s="47"/>
      <c r="L4" s="48"/>
      <c r="M4" s="61"/>
      <c r="N4" s="46"/>
      <c r="U4" s="47"/>
      <c r="V4" s="47"/>
      <c r="W4" s="47"/>
      <c r="X4" s="48"/>
      <c r="Y4" s="61"/>
      <c r="AG4" s="12"/>
    </row>
    <row r="5" spans="1:34" ht="13.5" customHeight="1">
      <c r="A5" s="61"/>
      <c r="B5" s="46"/>
      <c r="J5" s="212"/>
      <c r="K5" s="212"/>
      <c r="L5" s="213"/>
      <c r="M5" s="65"/>
      <c r="N5" s="46"/>
      <c r="V5" s="212"/>
      <c r="W5" s="212"/>
      <c r="X5" s="213"/>
      <c r="Y5" s="65"/>
      <c r="AE5" s="57" t="s">
        <v>35</v>
      </c>
      <c r="AG5" s="27">
        <f t="array" ref="AG5">MAX(IF('Résultats observations'!A10:A79&lt;=$AG$1,'Résultats observations'!A10:A79))</f>
        <v>45798</v>
      </c>
    </row>
    <row r="6" spans="1:34" ht="13.5" customHeight="1">
      <c r="A6" s="61"/>
      <c r="B6" s="209" t="str">
        <f>"GER - Alvéole HA21-3 - Cordes - Mesures au " &amp; TEXT(AG5,"jj/mm/aa")</f>
        <v>GER - Alvéole HA21-3 - Cordes - Mesures au 21/05/25</v>
      </c>
      <c r="C6" s="210"/>
      <c r="D6" s="210"/>
      <c r="E6" s="210"/>
      <c r="F6" s="210"/>
      <c r="G6" s="210"/>
      <c r="H6" s="210"/>
      <c r="I6" s="210"/>
      <c r="J6" s="210"/>
      <c r="K6" s="210"/>
      <c r="L6" s="211"/>
      <c r="M6" s="66"/>
      <c r="N6" s="209" t="str">
        <f>"GER - Alvéole HA21-3 - Déplacements altimétriques - Mesures au " &amp; TEXT(AG5,"jj/mm/aa")</f>
        <v>GER - Alvéole HA21-3 - Déplacements altimétriques - Mesures au 21/05/25</v>
      </c>
      <c r="O6" s="210"/>
      <c r="P6" s="210"/>
      <c r="Q6" s="210"/>
      <c r="R6" s="210"/>
      <c r="S6" s="210"/>
      <c r="T6" s="210"/>
      <c r="U6" s="210"/>
      <c r="V6" s="210"/>
      <c r="W6" s="210"/>
      <c r="X6" s="211"/>
      <c r="Y6" s="66"/>
    </row>
    <row r="7" spans="1:34" ht="13.5" customHeight="1">
      <c r="A7" s="61"/>
      <c r="B7" s="46"/>
      <c r="L7" s="48"/>
      <c r="M7" s="61"/>
      <c r="N7" s="46"/>
      <c r="X7" s="48"/>
      <c r="Y7" s="61"/>
      <c r="AE7" s="57" t="s">
        <v>36</v>
      </c>
      <c r="AG7" s="27">
        <f>excav</f>
        <v>45532</v>
      </c>
    </row>
    <row r="8" spans="1:34" s="28" customFormat="1" ht="13.5" customHeight="1">
      <c r="A8" s="61"/>
      <c r="B8" s="49"/>
      <c r="C8"/>
      <c r="D8"/>
      <c r="E8"/>
      <c r="F8"/>
      <c r="G8"/>
      <c r="H8"/>
      <c r="I8"/>
      <c r="J8"/>
      <c r="K8"/>
      <c r="L8" s="50"/>
      <c r="M8" s="62"/>
      <c r="N8" s="49"/>
      <c r="O8"/>
      <c r="P8"/>
      <c r="Q8"/>
      <c r="R8"/>
      <c r="S8"/>
      <c r="T8"/>
      <c r="U8"/>
      <c r="V8"/>
      <c r="W8"/>
      <c r="X8" s="50"/>
      <c r="Y8" s="62"/>
      <c r="AA8" s="87"/>
      <c r="AB8" s="87"/>
      <c r="AC8" s="87"/>
      <c r="AD8" s="87"/>
      <c r="AE8" s="87"/>
      <c r="AF8" s="87"/>
      <c r="AG8" s="88"/>
      <c r="AH8" s="87"/>
    </row>
    <row r="9" spans="1:34" ht="13.5" customHeight="1">
      <c r="A9" s="61"/>
      <c r="B9" s="49"/>
      <c r="C9"/>
      <c r="D9"/>
      <c r="E9"/>
      <c r="F9"/>
      <c r="G9"/>
      <c r="H9"/>
      <c r="I9"/>
      <c r="J9"/>
      <c r="K9"/>
      <c r="L9" s="50"/>
      <c r="M9" s="62"/>
      <c r="N9" s="49"/>
      <c r="O9"/>
      <c r="P9"/>
      <c r="Q9"/>
      <c r="R9"/>
      <c r="S9"/>
      <c r="T9"/>
      <c r="U9"/>
      <c r="V9"/>
      <c r="W9"/>
      <c r="X9" s="50"/>
      <c r="Y9" s="62"/>
      <c r="AA9" s="88"/>
      <c r="AB9" s="88"/>
      <c r="AC9" s="88"/>
      <c r="AD9" s="88"/>
      <c r="AE9" s="88"/>
      <c r="AF9" s="88"/>
      <c r="AG9" s="88"/>
      <c r="AH9" s="88"/>
    </row>
    <row r="10" spans="1:34" customFormat="1" ht="13.5" customHeight="1">
      <c r="A10" s="62"/>
      <c r="B10" s="49"/>
      <c r="L10" s="50"/>
      <c r="M10" s="62"/>
      <c r="N10" s="49"/>
      <c r="X10" s="50"/>
      <c r="Y10" s="62"/>
      <c r="AA10" s="89"/>
      <c r="AB10" s="89"/>
      <c r="AC10" s="89"/>
      <c r="AD10" s="89"/>
      <c r="AE10" s="89"/>
      <c r="AF10" s="89"/>
      <c r="AG10" s="89"/>
      <c r="AH10" s="89"/>
    </row>
    <row r="11" spans="1:34" customFormat="1" ht="13.5" customHeight="1">
      <c r="A11" s="62"/>
      <c r="B11" s="49"/>
      <c r="L11" s="50"/>
      <c r="M11" s="62"/>
      <c r="N11" s="49"/>
      <c r="X11" s="50"/>
      <c r="Y11" s="62"/>
      <c r="AA11" s="89"/>
      <c r="AB11" s="89"/>
      <c r="AC11" s="89"/>
      <c r="AD11" s="89"/>
      <c r="AE11" s="89"/>
      <c r="AF11" s="89"/>
      <c r="AG11" s="89"/>
      <c r="AH11" s="89"/>
    </row>
    <row r="12" spans="1:34" customFormat="1" ht="13.5" customHeight="1">
      <c r="A12" s="62"/>
      <c r="B12" s="49"/>
      <c r="L12" s="50"/>
      <c r="M12" s="62"/>
      <c r="N12" s="49"/>
      <c r="X12" s="50"/>
      <c r="Y12" s="62"/>
      <c r="AA12" s="89"/>
      <c r="AB12" s="89"/>
      <c r="AC12" s="89"/>
      <c r="AD12" s="89"/>
      <c r="AE12" s="89"/>
      <c r="AF12" s="89"/>
      <c r="AG12" s="89"/>
      <c r="AH12" s="89"/>
    </row>
    <row r="13" spans="1:34" customFormat="1" ht="13.5" customHeight="1">
      <c r="A13" s="62"/>
      <c r="B13" s="49"/>
      <c r="L13" s="50"/>
      <c r="M13" s="62"/>
      <c r="N13" s="49"/>
      <c r="X13" s="50"/>
      <c r="Y13" s="62"/>
      <c r="AA13" s="89"/>
      <c r="AB13" s="89"/>
      <c r="AC13" s="89"/>
      <c r="AD13" s="89"/>
      <c r="AE13" s="89"/>
      <c r="AF13" s="89"/>
      <c r="AG13" s="89"/>
      <c r="AH13" s="89"/>
    </row>
    <row r="14" spans="1:34" customFormat="1" ht="13.5" customHeight="1">
      <c r="A14" s="62"/>
      <c r="B14" s="49"/>
      <c r="L14" s="50"/>
      <c r="M14" s="62"/>
      <c r="N14" s="49"/>
      <c r="X14" s="50"/>
      <c r="Y14" s="62"/>
      <c r="AA14" s="89"/>
      <c r="AB14" s="89"/>
      <c r="AC14" s="89"/>
      <c r="AD14" s="89"/>
      <c r="AE14" s="89"/>
      <c r="AF14" s="89"/>
      <c r="AG14" s="89"/>
      <c r="AH14" s="89"/>
    </row>
    <row r="15" spans="1:34" customFormat="1" ht="13.5" customHeight="1">
      <c r="A15" s="62"/>
      <c r="B15" s="49"/>
      <c r="L15" s="50"/>
      <c r="M15" s="62"/>
      <c r="N15" s="49"/>
      <c r="X15" s="50"/>
      <c r="Y15" s="62"/>
      <c r="AA15" s="89"/>
      <c r="AB15" s="89"/>
      <c r="AC15" s="89"/>
      <c r="AD15" s="89"/>
      <c r="AE15" s="89"/>
      <c r="AF15" s="89"/>
      <c r="AG15" s="89"/>
      <c r="AH15" s="89"/>
    </row>
    <row r="16" spans="1:34" customFormat="1" ht="13.5" customHeight="1">
      <c r="A16" s="62"/>
      <c r="B16" s="49"/>
      <c r="L16" s="50"/>
      <c r="M16" s="62"/>
      <c r="N16" s="49"/>
      <c r="X16" s="50"/>
      <c r="Y16" s="62"/>
      <c r="AA16" s="89"/>
      <c r="AB16" s="89"/>
      <c r="AC16" s="89"/>
      <c r="AD16" s="89"/>
      <c r="AE16" s="89"/>
      <c r="AF16" s="89"/>
      <c r="AG16" s="89"/>
      <c r="AH16" s="89"/>
    </row>
    <row r="17" spans="1:34" customFormat="1" ht="13.5" customHeight="1">
      <c r="A17" s="62"/>
      <c r="B17" s="49"/>
      <c r="L17" s="50"/>
      <c r="M17" s="62"/>
      <c r="N17" s="49"/>
      <c r="X17" s="50"/>
      <c r="Y17" s="62"/>
      <c r="AA17" s="89"/>
      <c r="AB17" s="89"/>
      <c r="AC17" s="89"/>
      <c r="AD17" s="89"/>
      <c r="AE17" s="89"/>
      <c r="AF17" s="89"/>
      <c r="AG17" s="89"/>
      <c r="AH17" s="89"/>
    </row>
    <row r="18" spans="1:34" customFormat="1" ht="13.5" customHeight="1">
      <c r="A18" s="62"/>
      <c r="B18" s="49"/>
      <c r="L18" s="50"/>
      <c r="M18" s="62"/>
      <c r="N18" s="49"/>
      <c r="X18" s="50"/>
      <c r="Y18" s="62"/>
      <c r="AA18" s="89"/>
      <c r="AB18" s="89"/>
      <c r="AC18" s="89"/>
      <c r="AD18" s="89"/>
      <c r="AE18" s="89"/>
      <c r="AF18" s="89"/>
      <c r="AG18" s="89"/>
      <c r="AH18" s="89"/>
    </row>
    <row r="19" spans="1:34" customFormat="1" ht="13.5" customHeight="1">
      <c r="A19" s="62"/>
      <c r="B19" s="49"/>
      <c r="L19" s="50"/>
      <c r="M19" s="62"/>
      <c r="N19" s="49"/>
      <c r="X19" s="50"/>
      <c r="Y19" s="62"/>
      <c r="AA19" s="89"/>
      <c r="AB19" s="89"/>
      <c r="AC19" s="89"/>
      <c r="AD19" s="89"/>
      <c r="AE19" s="89"/>
      <c r="AF19" s="89"/>
      <c r="AG19" s="89"/>
      <c r="AH19" s="89"/>
    </row>
    <row r="20" spans="1:34" customFormat="1" ht="13.5" customHeight="1">
      <c r="A20" s="62"/>
      <c r="B20" s="49"/>
      <c r="L20" s="50"/>
      <c r="M20" s="62"/>
      <c r="N20" s="49"/>
      <c r="X20" s="50"/>
      <c r="Y20" s="62"/>
      <c r="AA20" s="89"/>
      <c r="AB20" s="89"/>
      <c r="AC20" s="89"/>
      <c r="AD20" s="89"/>
      <c r="AE20" s="89"/>
      <c r="AF20" s="89"/>
      <c r="AG20" s="89"/>
      <c r="AH20" s="89"/>
    </row>
    <row r="21" spans="1:34" customFormat="1" ht="13.5" customHeight="1">
      <c r="A21" s="62"/>
      <c r="B21" s="49"/>
      <c r="L21" s="50"/>
      <c r="M21" s="62"/>
      <c r="N21" s="49"/>
      <c r="X21" s="50"/>
      <c r="Y21" s="62"/>
      <c r="AA21" s="89"/>
      <c r="AB21" s="89"/>
      <c r="AC21" s="89"/>
      <c r="AD21" s="89"/>
      <c r="AE21" s="89"/>
      <c r="AF21" s="89"/>
      <c r="AG21" s="89"/>
      <c r="AH21" s="89"/>
    </row>
    <row r="22" spans="1:34" customFormat="1" ht="13.5" customHeight="1">
      <c r="A22" s="62"/>
      <c r="B22" s="49"/>
      <c r="L22" s="50"/>
      <c r="M22" s="62"/>
      <c r="N22" s="49"/>
      <c r="X22" s="50"/>
      <c r="Y22" s="62"/>
      <c r="AA22" s="89"/>
      <c r="AB22" s="89"/>
      <c r="AC22" s="89"/>
      <c r="AD22" s="89"/>
      <c r="AE22" s="89"/>
      <c r="AF22" s="89"/>
      <c r="AG22" s="89"/>
      <c r="AH22" s="89"/>
    </row>
    <row r="23" spans="1:34" customFormat="1" ht="13.5" customHeight="1">
      <c r="A23" s="62"/>
      <c r="B23" s="49"/>
      <c r="L23" s="50"/>
      <c r="M23" s="62"/>
      <c r="N23" s="49"/>
      <c r="X23" s="50"/>
      <c r="Y23" s="62"/>
      <c r="AA23" s="89"/>
      <c r="AB23" s="89"/>
      <c r="AC23" s="89"/>
      <c r="AD23" s="89"/>
      <c r="AE23" s="89"/>
      <c r="AF23" s="89"/>
      <c r="AG23" s="89"/>
      <c r="AH23" s="89"/>
    </row>
    <row r="24" spans="1:34" customFormat="1" ht="13.5" customHeight="1">
      <c r="A24" s="62"/>
      <c r="B24" s="49"/>
      <c r="L24" s="50"/>
      <c r="M24" s="62"/>
      <c r="N24" s="49"/>
      <c r="X24" s="50"/>
      <c r="Y24" s="62"/>
      <c r="AA24" s="89"/>
      <c r="AB24" s="89"/>
      <c r="AC24" s="89"/>
      <c r="AD24" s="89"/>
      <c r="AE24" s="89"/>
      <c r="AF24" s="89"/>
      <c r="AG24" s="89"/>
      <c r="AH24" s="89"/>
    </row>
    <row r="25" spans="1:34" customFormat="1" ht="13.5" customHeight="1">
      <c r="A25" s="62"/>
      <c r="B25" s="49"/>
      <c r="L25" s="50"/>
      <c r="M25" s="62"/>
      <c r="N25" s="49"/>
      <c r="X25" s="50"/>
      <c r="Y25" s="62"/>
      <c r="AA25" s="89"/>
      <c r="AB25" s="89"/>
      <c r="AC25" s="89"/>
      <c r="AD25" s="89"/>
      <c r="AE25" s="89"/>
      <c r="AF25" s="89"/>
      <c r="AG25" s="89"/>
      <c r="AH25" s="89"/>
    </row>
    <row r="26" spans="1:34" customFormat="1" ht="13.5" customHeight="1">
      <c r="A26" s="62"/>
      <c r="B26" s="49"/>
      <c r="L26" s="50"/>
      <c r="M26" s="62"/>
      <c r="N26" s="49"/>
      <c r="X26" s="50"/>
      <c r="Y26" s="62"/>
      <c r="AA26" s="89"/>
      <c r="AB26" s="89"/>
      <c r="AC26" s="89"/>
      <c r="AD26" s="89"/>
      <c r="AE26" s="89"/>
      <c r="AF26" s="89"/>
      <c r="AG26" s="89"/>
      <c r="AH26" s="89"/>
    </row>
    <row r="27" spans="1:34" customFormat="1" ht="13.5" customHeight="1">
      <c r="A27" s="62"/>
      <c r="B27" s="49"/>
      <c r="L27" s="50"/>
      <c r="M27" s="62"/>
      <c r="N27" s="49"/>
      <c r="X27" s="50"/>
      <c r="Y27" s="62"/>
      <c r="AA27" s="89"/>
      <c r="AB27" s="89"/>
      <c r="AC27" s="89"/>
      <c r="AD27" s="89"/>
      <c r="AE27" s="89"/>
      <c r="AF27" s="89"/>
      <c r="AG27" s="89"/>
      <c r="AH27" s="89"/>
    </row>
    <row r="28" spans="1:34" customFormat="1" ht="13.5" customHeight="1">
      <c r="A28" s="62"/>
      <c r="B28" s="49"/>
      <c r="L28" s="50"/>
      <c r="M28" s="62"/>
      <c r="N28" s="49"/>
      <c r="X28" s="50"/>
      <c r="Y28" s="62"/>
      <c r="AA28" s="89"/>
      <c r="AB28" s="89"/>
      <c r="AC28" s="89"/>
      <c r="AD28" s="89"/>
      <c r="AE28" s="89"/>
      <c r="AF28" s="89"/>
      <c r="AG28" s="89"/>
      <c r="AH28" s="89"/>
    </row>
    <row r="29" spans="1:34" customFormat="1" ht="13.5" customHeight="1">
      <c r="A29" s="62"/>
      <c r="B29" s="49"/>
      <c r="L29" s="50"/>
      <c r="M29" s="62"/>
      <c r="N29" s="49"/>
      <c r="X29" s="50"/>
      <c r="Y29" s="62"/>
      <c r="AA29" s="89"/>
      <c r="AB29" s="89"/>
      <c r="AC29" s="89"/>
      <c r="AD29" s="89"/>
      <c r="AE29" s="89"/>
      <c r="AF29" s="89"/>
      <c r="AG29" s="89"/>
      <c r="AH29" s="89"/>
    </row>
    <row r="30" spans="1:34" customFormat="1" ht="13.5" customHeight="1">
      <c r="A30" s="62"/>
      <c r="B30" s="49"/>
      <c r="L30" s="50"/>
      <c r="M30" s="62"/>
      <c r="N30" s="49"/>
      <c r="X30" s="50"/>
      <c r="Y30" s="62"/>
      <c r="AA30" s="89"/>
      <c r="AB30" s="89"/>
      <c r="AC30" s="89"/>
      <c r="AD30" s="89"/>
      <c r="AE30" s="89"/>
      <c r="AF30" s="89"/>
      <c r="AG30" s="89"/>
      <c r="AH30" s="89"/>
    </row>
    <row r="31" spans="1:34" customFormat="1" ht="13.5" customHeight="1">
      <c r="A31" s="62"/>
      <c r="B31" s="49"/>
      <c r="L31" s="50"/>
      <c r="M31" s="62"/>
      <c r="N31" s="49"/>
      <c r="X31" s="50"/>
      <c r="Y31" s="62"/>
      <c r="AA31" s="89"/>
      <c r="AB31" s="89"/>
      <c r="AC31" s="89"/>
      <c r="AD31" s="89"/>
      <c r="AE31" s="89"/>
      <c r="AF31" s="89"/>
      <c r="AG31" s="89"/>
      <c r="AH31" s="89"/>
    </row>
    <row r="32" spans="1:34" customFormat="1" ht="13.5" customHeight="1">
      <c r="A32" s="62"/>
      <c r="B32" s="49"/>
      <c r="L32" s="50"/>
      <c r="M32" s="62"/>
      <c r="N32" s="49"/>
      <c r="X32" s="50"/>
      <c r="Y32" s="62"/>
      <c r="AA32" s="89"/>
      <c r="AB32" s="89"/>
      <c r="AC32" s="89"/>
      <c r="AD32" s="89"/>
      <c r="AE32" s="89"/>
      <c r="AF32" s="89"/>
      <c r="AG32" s="89"/>
      <c r="AH32" s="89"/>
    </row>
    <row r="33" spans="1:34" customFormat="1" ht="13.5" customHeight="1">
      <c r="A33" s="62"/>
      <c r="B33" s="51"/>
      <c r="C33" s="52"/>
      <c r="D33" s="52"/>
      <c r="E33" s="52"/>
      <c r="F33" s="52"/>
      <c r="G33" s="52"/>
      <c r="H33" s="52"/>
      <c r="I33" s="52"/>
      <c r="J33" s="52"/>
      <c r="K33" s="52"/>
      <c r="L33" s="53"/>
      <c r="M33" s="67"/>
      <c r="N33" s="51"/>
      <c r="O33" s="52"/>
      <c r="P33" s="52"/>
      <c r="Q33" s="52"/>
      <c r="R33" s="52"/>
      <c r="S33" s="52"/>
      <c r="T33" s="52"/>
      <c r="U33" s="52"/>
      <c r="V33" s="52"/>
      <c r="W33" s="52"/>
      <c r="X33" s="53"/>
      <c r="Y33" s="62"/>
      <c r="AA33" s="89"/>
      <c r="AB33" s="89"/>
      <c r="AC33" s="89"/>
      <c r="AD33" s="89"/>
      <c r="AE33" s="89"/>
      <c r="AF33" s="89"/>
      <c r="AG33" s="89"/>
      <c r="AH33" s="89"/>
    </row>
    <row r="34" spans="1:34" customFormat="1" ht="13.5" customHeight="1">
      <c r="A34" s="62"/>
      <c r="B34" s="74"/>
      <c r="C34" s="62"/>
      <c r="D34" s="62"/>
      <c r="E34" s="62"/>
      <c r="F34" s="62"/>
      <c r="G34" s="62"/>
      <c r="H34" s="62"/>
      <c r="I34" s="62"/>
      <c r="J34" s="62"/>
      <c r="K34" s="62"/>
      <c r="L34" s="75"/>
      <c r="M34" s="62"/>
      <c r="N34" s="74"/>
      <c r="O34" s="62"/>
      <c r="P34" s="62"/>
      <c r="Q34" s="62"/>
      <c r="R34" s="62"/>
      <c r="S34" s="62"/>
      <c r="T34" s="62"/>
      <c r="U34" s="62"/>
      <c r="V34" s="62"/>
      <c r="W34" s="62"/>
      <c r="X34" s="75"/>
      <c r="Y34" s="62"/>
      <c r="AA34" s="89"/>
      <c r="AB34" s="89"/>
      <c r="AC34" s="89"/>
      <c r="AD34" s="89"/>
      <c r="AE34" s="89"/>
      <c r="AF34" s="89"/>
      <c r="AG34" s="89"/>
      <c r="AH34" s="89"/>
    </row>
    <row r="35" spans="1:34" ht="13.5" customHeight="1">
      <c r="A35" s="61"/>
      <c r="B35" s="44"/>
      <c r="C35" s="45"/>
      <c r="D35" s="45"/>
      <c r="E35" s="45"/>
      <c r="F35" s="45"/>
      <c r="G35" s="45"/>
      <c r="H35" s="45"/>
      <c r="I35" s="206" t="s">
        <v>6</v>
      </c>
      <c r="J35" s="206"/>
      <c r="K35" s="206"/>
      <c r="L35" s="207"/>
      <c r="M35" s="63"/>
      <c r="N35" s="44"/>
      <c r="O35" s="45"/>
      <c r="P35" s="45"/>
      <c r="Q35" s="45"/>
      <c r="R35" s="45"/>
      <c r="S35" s="45"/>
      <c r="T35" s="45"/>
      <c r="U35" s="206" t="s">
        <v>6</v>
      </c>
      <c r="V35" s="206"/>
      <c r="W35" s="206"/>
      <c r="X35" s="207"/>
      <c r="Y35" s="64"/>
      <c r="AA35" s="89"/>
      <c r="AB35" s="89"/>
      <c r="AC35" s="89"/>
      <c r="AD35" s="89"/>
      <c r="AE35" s="89"/>
      <c r="AF35" s="89"/>
      <c r="AG35" s="89"/>
      <c r="AH35" s="88"/>
    </row>
    <row r="36" spans="1:34" ht="13.5" customHeight="1">
      <c r="A36" s="61"/>
      <c r="B36" s="46"/>
      <c r="I36" s="201" t="s">
        <v>25</v>
      </c>
      <c r="J36" s="201"/>
      <c r="K36" s="201"/>
      <c r="L36" s="208"/>
      <c r="M36" s="64"/>
      <c r="N36" s="46"/>
      <c r="U36" s="201" t="s">
        <v>25</v>
      </c>
      <c r="V36" s="201"/>
      <c r="W36" s="201"/>
      <c r="X36" s="208"/>
      <c r="Y36" s="64"/>
      <c r="AA36" s="89"/>
      <c r="AB36" s="89"/>
      <c r="AC36" s="89"/>
      <c r="AD36" s="89"/>
      <c r="AE36" s="89"/>
      <c r="AF36" s="89"/>
      <c r="AG36" s="89"/>
      <c r="AH36" s="88"/>
    </row>
    <row r="37" spans="1:34" ht="13.5" customHeight="1">
      <c r="A37" s="61"/>
      <c r="B37" s="46"/>
      <c r="I37" s="47"/>
      <c r="J37" s="47"/>
      <c r="K37" s="47"/>
      <c r="L37" s="48"/>
      <c r="M37" s="61"/>
      <c r="N37" s="46"/>
      <c r="U37" s="47"/>
      <c r="V37" s="47"/>
      <c r="W37" s="47"/>
      <c r="X37" s="48"/>
      <c r="Y37" s="61"/>
      <c r="AA37" s="89"/>
      <c r="AB37" s="89"/>
      <c r="AC37" s="89"/>
      <c r="AD37" s="89"/>
      <c r="AE37" s="89"/>
      <c r="AF37" s="89"/>
      <c r="AG37" s="89"/>
      <c r="AH37" s="88"/>
    </row>
    <row r="38" spans="1:34" ht="13.5" customHeight="1">
      <c r="A38" s="61"/>
      <c r="B38" s="46"/>
      <c r="J38" s="212"/>
      <c r="K38" s="212"/>
      <c r="L38" s="213"/>
      <c r="M38" s="65"/>
      <c r="N38" s="46"/>
      <c r="X38" s="48"/>
      <c r="Y38" s="61"/>
      <c r="AA38" s="89"/>
      <c r="AB38" s="89"/>
      <c r="AC38" s="89"/>
      <c r="AD38" s="89"/>
      <c r="AE38" s="89"/>
      <c r="AF38" s="89"/>
      <c r="AG38" s="89"/>
      <c r="AH38" s="88"/>
    </row>
    <row r="39" spans="1:34" ht="13.5" customHeight="1">
      <c r="A39" s="61"/>
      <c r="B39" s="209" t="str">
        <f>"GER - Alvéole HA21-3 - Déplacements vers GER  - Mesures au " &amp; TEXT(AG5,"jj/mm/aa")</f>
        <v>GER - Alvéole HA21-3 - Déplacements vers GER  - Mesures au 21/05/25</v>
      </c>
      <c r="C39" s="210"/>
      <c r="D39" s="210"/>
      <c r="E39" s="210"/>
      <c r="F39" s="210"/>
      <c r="G39" s="210"/>
      <c r="H39" s="210"/>
      <c r="I39" s="210"/>
      <c r="J39" s="210"/>
      <c r="K39" s="210"/>
      <c r="L39" s="211"/>
      <c r="M39" s="66"/>
      <c r="N39" s="209" t="str">
        <f>"GER - Alvéole HA21-3 - Déplacements latéraux  - Mesures au " &amp; TEXT(AG5,"jj/mm/aa")</f>
        <v>GER - Alvéole HA21-3 - Déplacements latéraux  - Mesures au 21/05/25</v>
      </c>
      <c r="O39" s="210"/>
      <c r="P39" s="210"/>
      <c r="Q39" s="210"/>
      <c r="R39" s="210"/>
      <c r="S39" s="210"/>
      <c r="T39" s="210"/>
      <c r="U39" s="210"/>
      <c r="V39" s="210"/>
      <c r="W39" s="210"/>
      <c r="X39" s="211"/>
      <c r="Y39" s="66"/>
      <c r="AA39" s="89"/>
      <c r="AB39" s="89"/>
      <c r="AC39" s="89"/>
      <c r="AD39" s="89"/>
      <c r="AE39" s="89"/>
      <c r="AF39" s="89"/>
      <c r="AG39" s="89"/>
      <c r="AH39" s="88"/>
    </row>
    <row r="40" spans="1:34" ht="13.5" customHeight="1">
      <c r="A40" s="61"/>
      <c r="B40" s="46"/>
      <c r="L40" s="48"/>
      <c r="M40" s="61"/>
      <c r="N40" s="46"/>
      <c r="X40" s="48"/>
      <c r="Y40" s="61"/>
      <c r="AA40" s="89"/>
      <c r="AB40" s="89"/>
      <c r="AC40" s="89"/>
      <c r="AD40" s="89"/>
      <c r="AE40" s="89"/>
      <c r="AF40" s="89"/>
      <c r="AG40" s="89"/>
      <c r="AH40" s="88"/>
    </row>
    <row r="41" spans="1:34" ht="13.5" customHeight="1">
      <c r="A41" s="61"/>
      <c r="B41" s="46"/>
      <c r="L41" s="48"/>
      <c r="M41" s="61"/>
      <c r="N41" s="46"/>
      <c r="X41" s="48"/>
      <c r="Y41" s="61"/>
      <c r="AA41" s="89"/>
      <c r="AB41" s="89"/>
      <c r="AC41" s="89"/>
      <c r="AD41" s="89"/>
      <c r="AE41" s="89"/>
      <c r="AF41" s="89"/>
      <c r="AG41" s="89"/>
      <c r="AH41" s="88"/>
    </row>
    <row r="42" spans="1:34" ht="13.5" customHeight="1">
      <c r="A42" s="61"/>
      <c r="B42" s="46"/>
      <c r="L42" s="48"/>
      <c r="M42" s="61"/>
      <c r="N42" s="46"/>
      <c r="X42" s="48"/>
      <c r="Y42" s="61"/>
      <c r="AA42" s="89"/>
      <c r="AB42" s="89"/>
      <c r="AC42" s="89"/>
      <c r="AD42" s="89"/>
      <c r="AE42" s="89"/>
      <c r="AF42" s="89"/>
      <c r="AG42" s="89"/>
      <c r="AH42" s="88"/>
    </row>
    <row r="43" spans="1:34" ht="13.5" customHeight="1">
      <c r="A43" s="61"/>
      <c r="B43" s="46"/>
      <c r="L43" s="48"/>
      <c r="M43" s="61"/>
      <c r="N43" s="46"/>
      <c r="X43" s="48"/>
      <c r="Y43" s="61"/>
      <c r="AA43" s="89"/>
      <c r="AB43" s="89"/>
      <c r="AC43" s="89"/>
      <c r="AD43" s="89"/>
      <c r="AE43" s="89"/>
      <c r="AF43" s="89"/>
      <c r="AG43" s="89"/>
      <c r="AH43" s="88"/>
    </row>
    <row r="44" spans="1:34" ht="13.5" customHeight="1">
      <c r="A44" s="61"/>
      <c r="B44" s="46"/>
      <c r="L44" s="48"/>
      <c r="M44" s="61"/>
      <c r="N44" s="46"/>
      <c r="X44" s="48"/>
      <c r="Y44" s="61"/>
      <c r="AA44" s="89"/>
      <c r="AB44" s="89"/>
      <c r="AC44" s="89"/>
      <c r="AD44" s="89"/>
      <c r="AE44" s="89"/>
      <c r="AF44" s="89"/>
      <c r="AG44" s="89"/>
      <c r="AH44" s="88"/>
    </row>
    <row r="45" spans="1:34" ht="13.5" customHeight="1">
      <c r="A45" s="61"/>
      <c r="B45" s="46"/>
      <c r="L45" s="48"/>
      <c r="M45" s="61"/>
      <c r="N45" s="46"/>
      <c r="X45" s="48"/>
      <c r="Y45" s="61"/>
      <c r="AA45" s="89"/>
      <c r="AB45" s="89"/>
      <c r="AC45" s="89"/>
      <c r="AD45" s="89"/>
      <c r="AE45" s="89"/>
      <c r="AF45" s="89"/>
      <c r="AG45" s="89"/>
      <c r="AH45" s="88"/>
    </row>
    <row r="46" spans="1:34" ht="13.5" customHeight="1">
      <c r="A46" s="61"/>
      <c r="B46" s="46"/>
      <c r="L46" s="48"/>
      <c r="M46" s="61"/>
      <c r="N46" s="46"/>
      <c r="X46" s="48"/>
      <c r="Y46" s="61"/>
      <c r="AA46" s="89"/>
      <c r="AB46" s="89"/>
      <c r="AC46" s="89"/>
      <c r="AD46" s="89"/>
      <c r="AE46" s="89"/>
      <c r="AF46" s="89"/>
      <c r="AG46" s="89"/>
      <c r="AH46" s="88"/>
    </row>
    <row r="47" spans="1:34" ht="13.5" customHeight="1">
      <c r="A47" s="61"/>
      <c r="B47" s="46"/>
      <c r="L47" s="48"/>
      <c r="M47" s="61"/>
      <c r="N47" s="46"/>
      <c r="X47" s="48"/>
      <c r="Y47" s="61"/>
      <c r="AA47" s="89"/>
      <c r="AB47" s="89"/>
      <c r="AC47" s="89"/>
      <c r="AD47" s="89"/>
      <c r="AE47" s="89"/>
      <c r="AF47" s="89"/>
      <c r="AG47" s="89"/>
      <c r="AH47" s="88"/>
    </row>
    <row r="48" spans="1:34" ht="13.5" customHeight="1">
      <c r="A48" s="61"/>
      <c r="B48" s="46"/>
      <c r="L48" s="48"/>
      <c r="M48" s="61"/>
      <c r="N48" s="46"/>
      <c r="X48" s="48"/>
      <c r="Y48" s="61"/>
      <c r="AA48" s="89"/>
      <c r="AB48" s="89"/>
      <c r="AC48" s="89"/>
      <c r="AD48" s="89"/>
      <c r="AE48" s="89"/>
      <c r="AF48" s="89"/>
      <c r="AG48" s="89"/>
      <c r="AH48" s="88"/>
    </row>
    <row r="49" spans="1:34" ht="13.5" customHeight="1">
      <c r="A49" s="61"/>
      <c r="B49" s="46"/>
      <c r="L49" s="48"/>
      <c r="M49" s="61"/>
      <c r="N49" s="46"/>
      <c r="X49" s="48"/>
      <c r="Y49" s="61"/>
      <c r="AA49" s="89"/>
      <c r="AB49" s="89"/>
      <c r="AC49" s="89"/>
      <c r="AD49" s="89"/>
      <c r="AE49" s="89"/>
      <c r="AF49" s="89"/>
      <c r="AG49" s="89"/>
      <c r="AH49" s="88"/>
    </row>
    <row r="50" spans="1:34" ht="13.5" customHeight="1">
      <c r="A50" s="61"/>
      <c r="B50" s="46"/>
      <c r="L50" s="48"/>
      <c r="M50" s="61"/>
      <c r="N50" s="46"/>
      <c r="X50" s="48"/>
      <c r="Y50" s="61"/>
      <c r="AA50" s="89"/>
      <c r="AB50" s="89"/>
      <c r="AC50" s="89"/>
      <c r="AD50" s="89"/>
      <c r="AE50" s="89"/>
      <c r="AF50" s="89"/>
      <c r="AG50" s="89"/>
      <c r="AH50" s="88"/>
    </row>
    <row r="51" spans="1:34" ht="13.5" customHeight="1">
      <c r="A51" s="61"/>
      <c r="B51" s="46"/>
      <c r="L51" s="48"/>
      <c r="M51" s="61"/>
      <c r="N51" s="46"/>
      <c r="X51" s="48"/>
      <c r="Y51" s="61"/>
      <c r="AA51" s="89"/>
      <c r="AB51" s="89"/>
      <c r="AC51" s="89"/>
      <c r="AD51" s="89"/>
      <c r="AE51" s="89"/>
      <c r="AF51" s="89"/>
      <c r="AG51" s="89"/>
      <c r="AH51" s="88"/>
    </row>
    <row r="52" spans="1:34" ht="13.5" customHeight="1">
      <c r="A52" s="61"/>
      <c r="B52" s="46"/>
      <c r="L52" s="48"/>
      <c r="M52" s="61"/>
      <c r="N52" s="46"/>
      <c r="X52" s="48"/>
      <c r="Y52" s="61"/>
      <c r="AA52" s="89"/>
      <c r="AB52" s="89"/>
      <c r="AC52" s="89"/>
      <c r="AD52" s="89"/>
      <c r="AE52" s="89"/>
      <c r="AF52" s="89"/>
      <c r="AG52" s="89"/>
      <c r="AH52" s="88"/>
    </row>
    <row r="53" spans="1:34" ht="13.5" customHeight="1">
      <c r="A53" s="61"/>
      <c r="B53" s="46"/>
      <c r="L53" s="48"/>
      <c r="M53" s="61"/>
      <c r="N53" s="46"/>
      <c r="X53" s="48"/>
      <c r="Y53" s="61"/>
      <c r="AA53" s="89"/>
      <c r="AB53" s="89"/>
      <c r="AC53" s="89"/>
      <c r="AD53" s="89"/>
      <c r="AE53" s="89"/>
      <c r="AF53" s="89"/>
      <c r="AG53" s="89"/>
      <c r="AH53" s="88"/>
    </row>
    <row r="54" spans="1:34" ht="13.5" customHeight="1">
      <c r="A54" s="61"/>
      <c r="B54" s="46"/>
      <c r="L54" s="48"/>
      <c r="M54" s="61"/>
      <c r="N54" s="46"/>
      <c r="X54" s="48"/>
      <c r="Y54" s="61"/>
      <c r="AA54" s="89"/>
      <c r="AB54" s="89"/>
      <c r="AC54" s="89"/>
      <c r="AD54" s="89"/>
      <c r="AE54" s="89"/>
      <c r="AF54" s="89"/>
      <c r="AG54" s="89"/>
      <c r="AH54" s="88"/>
    </row>
    <row r="55" spans="1:34" ht="13.5" customHeight="1">
      <c r="A55" s="61"/>
      <c r="B55" s="46"/>
      <c r="L55" s="48"/>
      <c r="M55" s="61"/>
      <c r="N55" s="46"/>
      <c r="X55" s="48"/>
      <c r="Y55" s="61"/>
      <c r="AA55" s="89"/>
      <c r="AB55" s="89"/>
      <c r="AC55" s="89"/>
      <c r="AD55" s="89"/>
      <c r="AE55" s="89"/>
      <c r="AF55" s="89"/>
      <c r="AG55" s="89"/>
      <c r="AH55" s="88"/>
    </row>
    <row r="56" spans="1:34" ht="13.5" customHeight="1">
      <c r="A56" s="61"/>
      <c r="B56" s="46"/>
      <c r="L56" s="48"/>
      <c r="M56" s="61"/>
      <c r="N56" s="46"/>
      <c r="X56" s="48"/>
      <c r="Y56" s="61"/>
      <c r="AA56" s="89"/>
      <c r="AB56" s="89"/>
      <c r="AC56" s="89"/>
      <c r="AD56" s="89"/>
      <c r="AE56" s="89"/>
      <c r="AF56" s="89"/>
      <c r="AG56" s="89"/>
      <c r="AH56" s="88"/>
    </row>
    <row r="57" spans="1:34" ht="13.5" customHeight="1">
      <c r="A57" s="61"/>
      <c r="B57" s="46"/>
      <c r="L57" s="48"/>
      <c r="M57" s="61"/>
      <c r="N57" s="46"/>
      <c r="X57" s="48"/>
      <c r="Y57" s="61"/>
      <c r="AA57" s="89"/>
      <c r="AB57" s="89"/>
      <c r="AC57" s="89"/>
      <c r="AD57" s="89"/>
      <c r="AE57" s="89"/>
      <c r="AF57" s="89"/>
      <c r="AG57" s="89"/>
      <c r="AH57" s="88"/>
    </row>
    <row r="58" spans="1:34" ht="13.5" customHeight="1">
      <c r="A58" s="61"/>
      <c r="B58" s="46"/>
      <c r="L58" s="48"/>
      <c r="M58" s="61"/>
      <c r="N58" s="46"/>
      <c r="X58" s="48"/>
      <c r="Y58" s="61"/>
      <c r="AA58" s="89"/>
      <c r="AB58" s="89"/>
      <c r="AC58" s="89"/>
      <c r="AD58" s="89"/>
      <c r="AE58" s="89"/>
      <c r="AF58" s="89"/>
      <c r="AG58" s="89"/>
      <c r="AH58" s="88"/>
    </row>
    <row r="59" spans="1:34" ht="13.5" customHeight="1">
      <c r="A59" s="61"/>
      <c r="B59" s="46"/>
      <c r="L59" s="48"/>
      <c r="M59" s="61"/>
      <c r="N59" s="46"/>
      <c r="X59" s="48"/>
      <c r="Y59" s="61"/>
      <c r="AA59" s="89"/>
      <c r="AB59" s="89"/>
      <c r="AC59" s="89"/>
      <c r="AD59" s="89"/>
      <c r="AE59" s="89"/>
      <c r="AF59" s="89"/>
      <c r="AG59" s="89"/>
      <c r="AH59" s="88"/>
    </row>
    <row r="60" spans="1:34" ht="13.5" customHeight="1">
      <c r="A60" s="61"/>
      <c r="B60" s="46"/>
      <c r="L60" s="48"/>
      <c r="M60" s="61"/>
      <c r="N60" s="46"/>
      <c r="X60" s="48"/>
      <c r="Y60" s="61"/>
      <c r="AA60" s="89"/>
      <c r="AB60" s="89"/>
      <c r="AC60" s="89"/>
      <c r="AD60" s="89"/>
      <c r="AE60" s="89"/>
      <c r="AF60" s="89"/>
      <c r="AG60" s="89"/>
      <c r="AH60" s="88"/>
    </row>
    <row r="61" spans="1:34" ht="13.5" customHeight="1">
      <c r="A61" s="61"/>
      <c r="B61" s="46"/>
      <c r="L61" s="48"/>
      <c r="M61" s="61"/>
      <c r="N61" s="46"/>
      <c r="X61" s="48"/>
      <c r="Y61" s="61"/>
      <c r="AA61" s="89"/>
      <c r="AB61" s="89"/>
      <c r="AC61" s="89"/>
      <c r="AD61" s="89"/>
      <c r="AE61" s="89"/>
      <c r="AF61" s="89"/>
      <c r="AG61" s="89"/>
      <c r="AH61" s="88"/>
    </row>
    <row r="62" spans="1:34" ht="13.5" customHeight="1">
      <c r="A62" s="61"/>
      <c r="B62" s="46"/>
      <c r="L62" s="48"/>
      <c r="M62" s="61"/>
      <c r="N62" s="46"/>
      <c r="X62" s="48"/>
      <c r="Y62" s="61"/>
      <c r="AA62" s="89"/>
      <c r="AB62" s="89"/>
      <c r="AC62" s="89"/>
      <c r="AD62" s="89"/>
      <c r="AE62" s="89"/>
      <c r="AF62" s="89"/>
      <c r="AG62" s="89"/>
      <c r="AH62" s="88"/>
    </row>
    <row r="63" spans="1:34" ht="13.5" customHeight="1">
      <c r="A63" s="61"/>
      <c r="B63" s="46"/>
      <c r="L63" s="48"/>
      <c r="M63" s="61"/>
      <c r="N63" s="46"/>
      <c r="X63" s="48"/>
      <c r="Y63" s="61"/>
      <c r="AA63" s="89"/>
      <c r="AB63" s="89"/>
      <c r="AC63" s="89"/>
      <c r="AD63" s="89"/>
      <c r="AE63" s="89"/>
      <c r="AF63" s="89"/>
      <c r="AG63" s="89"/>
      <c r="AH63" s="88"/>
    </row>
    <row r="64" spans="1:34" ht="13.5" customHeight="1">
      <c r="A64" s="61"/>
      <c r="B64" s="46"/>
      <c r="L64" s="48"/>
      <c r="M64" s="61"/>
      <c r="N64" s="46"/>
      <c r="X64" s="48"/>
      <c r="Y64" s="61"/>
      <c r="AA64" s="89"/>
      <c r="AB64" s="89"/>
      <c r="AC64" s="89"/>
      <c r="AD64" s="89"/>
      <c r="AE64" s="89"/>
      <c r="AF64" s="89"/>
      <c r="AG64" s="89"/>
      <c r="AH64" s="88"/>
    </row>
    <row r="65" spans="1:30" ht="13.5" customHeight="1">
      <c r="A65" s="61"/>
      <c r="B65" s="46"/>
      <c r="L65" s="48"/>
      <c r="M65" s="61"/>
      <c r="N65" s="46"/>
      <c r="X65" s="48"/>
      <c r="Y65" s="61"/>
      <c r="AC65" s="60"/>
      <c r="AD65" s="60"/>
    </row>
    <row r="66" spans="1:30" ht="13.5" customHeight="1">
      <c r="A66" s="61"/>
      <c r="B66" s="54"/>
      <c r="C66" s="55"/>
      <c r="D66" s="55"/>
      <c r="E66" s="55"/>
      <c r="F66" s="55"/>
      <c r="G66" s="55"/>
      <c r="H66" s="55"/>
      <c r="I66" s="55"/>
      <c r="J66" s="55"/>
      <c r="K66" s="55"/>
      <c r="L66" s="56"/>
      <c r="M66" s="68"/>
      <c r="N66" s="54"/>
      <c r="O66" s="55"/>
      <c r="P66" s="55"/>
      <c r="Q66" s="55"/>
      <c r="R66" s="55"/>
      <c r="S66" s="55"/>
      <c r="T66" s="55"/>
      <c r="U66" s="55"/>
      <c r="V66" s="55"/>
      <c r="W66" s="55"/>
      <c r="X66" s="56"/>
      <c r="Y66" s="61"/>
      <c r="AC66" s="60"/>
      <c r="AD66" s="60"/>
    </row>
    <row r="67" spans="1:30" ht="13.5" customHeight="1">
      <c r="A67" s="61"/>
      <c r="B67" s="76"/>
      <c r="C67" s="61"/>
      <c r="D67" s="61"/>
      <c r="E67" s="61"/>
      <c r="F67" s="61"/>
      <c r="G67" s="61"/>
      <c r="H67" s="61"/>
      <c r="I67" s="61"/>
      <c r="J67" s="61"/>
      <c r="K67" s="61"/>
      <c r="L67" s="77"/>
      <c r="M67" s="61"/>
      <c r="N67" s="76"/>
      <c r="O67" s="61"/>
      <c r="P67" s="61"/>
      <c r="Q67" s="61"/>
      <c r="R67" s="61"/>
      <c r="S67" s="61"/>
      <c r="T67" s="61"/>
      <c r="U67" s="61"/>
      <c r="V67" s="61"/>
      <c r="W67" s="61"/>
      <c r="X67" s="77"/>
      <c r="Y67" s="61"/>
      <c r="Z67" s="61"/>
      <c r="AC67" s="60"/>
      <c r="AD67" s="60"/>
    </row>
  </sheetData>
  <mergeCells count="15">
    <mergeCell ref="I35:L35"/>
    <mergeCell ref="I36:L36"/>
    <mergeCell ref="J38:L38"/>
    <mergeCell ref="B39:L39"/>
    <mergeCell ref="U35:X35"/>
    <mergeCell ref="U36:X36"/>
    <mergeCell ref="N39:X39"/>
    <mergeCell ref="U2:X2"/>
    <mergeCell ref="U3:X3"/>
    <mergeCell ref="I2:L2"/>
    <mergeCell ref="I3:L3"/>
    <mergeCell ref="B6:L6"/>
    <mergeCell ref="J5:L5"/>
    <mergeCell ref="V5:X5"/>
    <mergeCell ref="N6:X6"/>
  </mergeCells>
  <phoneticPr fontId="29" type="noConversion"/>
  <printOptions horizontalCentered="1" verticalCentered="1"/>
  <pageMargins left="0.39370078740157483" right="0.39370078740157483" top="0.19685039370078741" bottom="0.19685039370078741" header="0.51181102362204722" footer="0.51181102362204722"/>
  <pageSetup paperSize="9" scale="115" orientation="landscape" horizontalDpi="4294967293" r:id="rId1"/>
  <headerFooter alignWithMargins="0"/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hangerDateDerniereMesure">
                <anchor moveWithCells="1" sizeWithCells="1">
                  <from>
                    <xdr:col>27</xdr:col>
                    <xdr:colOff>561975</xdr:colOff>
                    <xdr:row>3</xdr:row>
                    <xdr:rowOff>142875</xdr:rowOff>
                  </from>
                  <to>
                    <xdr:col>28</xdr:col>
                    <xdr:colOff>666750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E94"/>
  <sheetViews>
    <sheetView zoomScale="70" zoomScaleNormal="70" workbookViewId="0">
      <pane xSplit="5" ySplit="2" topLeftCell="F3" activePane="bottomRight" state="frozen"/>
      <selection activeCell="D1" sqref="D1"/>
      <selection pane="topRight" activeCell="M1" sqref="M1"/>
      <selection pane="bottomLeft" activeCell="D3" sqref="D3"/>
      <selection pane="bottomRight" activeCell="B40" sqref="B40"/>
    </sheetView>
  </sheetViews>
  <sheetFormatPr baseColWidth="10" defaultColWidth="10.7109375" defaultRowHeight="12.75"/>
  <cols>
    <col min="1" max="1" width="12.85546875" bestFit="1" customWidth="1"/>
    <col min="2" max="2" width="103.28515625" customWidth="1"/>
    <col min="3" max="3" width="101.42578125" customWidth="1"/>
    <col min="4" max="4" width="48.85546875" customWidth="1"/>
    <col min="5" max="5" width="38.42578125" customWidth="1"/>
  </cols>
  <sheetData>
    <row r="1" spans="1:5">
      <c r="A1" s="216" t="s">
        <v>8</v>
      </c>
      <c r="B1" s="214" t="s">
        <v>26</v>
      </c>
      <c r="C1" s="214" t="s">
        <v>29</v>
      </c>
      <c r="D1" s="214" t="s">
        <v>30</v>
      </c>
      <c r="E1" s="214" t="s">
        <v>28</v>
      </c>
    </row>
    <row r="2" spans="1:5">
      <c r="A2" s="217"/>
      <c r="B2" s="215"/>
      <c r="C2" s="215"/>
      <c r="D2" s="215"/>
      <c r="E2" s="215"/>
    </row>
    <row r="3" spans="1:5">
      <c r="A3" s="31">
        <f>'Résultats observations'!A10</f>
        <v>45532</v>
      </c>
      <c r="B3" s="37" t="s">
        <v>76</v>
      </c>
      <c r="C3" s="37" t="s">
        <v>32</v>
      </c>
      <c r="D3" s="37" t="s">
        <v>77</v>
      </c>
      <c r="E3" s="37" t="s">
        <v>31</v>
      </c>
    </row>
    <row r="4" spans="1:5">
      <c r="A4" s="31">
        <f>'Résultats observations'!A11</f>
        <v>45540</v>
      </c>
      <c r="B4" s="37" t="s">
        <v>89</v>
      </c>
      <c r="C4" s="37" t="s">
        <v>32</v>
      </c>
      <c r="D4" s="37" t="s">
        <v>90</v>
      </c>
      <c r="E4" s="37" t="s">
        <v>31</v>
      </c>
    </row>
    <row r="5" spans="1:5">
      <c r="A5" s="31">
        <f>'Résultats observations'!A12</f>
        <v>45544</v>
      </c>
      <c r="B5" s="37" t="s">
        <v>96</v>
      </c>
      <c r="C5" s="37" t="s">
        <v>32</v>
      </c>
      <c r="D5" s="37" t="s">
        <v>97</v>
      </c>
      <c r="E5" s="37" t="s">
        <v>31</v>
      </c>
    </row>
    <row r="6" spans="1:5">
      <c r="A6" s="31">
        <f>'Résultats observations'!A13</f>
        <v>45548</v>
      </c>
      <c r="B6" s="37" t="s">
        <v>106</v>
      </c>
      <c r="C6" s="37" t="s">
        <v>32</v>
      </c>
      <c r="D6" s="37" t="s">
        <v>104</v>
      </c>
      <c r="E6" s="37" t="s">
        <v>31</v>
      </c>
    </row>
    <row r="7" spans="1:5">
      <c r="A7" s="31">
        <f>'Résultats observations'!A14</f>
        <v>45552</v>
      </c>
      <c r="B7" s="37" t="s">
        <v>107</v>
      </c>
      <c r="C7" s="37" t="s">
        <v>32</v>
      </c>
      <c r="D7" s="37" t="s">
        <v>105</v>
      </c>
      <c r="E7" s="37" t="s">
        <v>31</v>
      </c>
    </row>
    <row r="8" spans="1:5">
      <c r="A8" s="31">
        <f>'Résultats observations'!A15</f>
        <v>45553</v>
      </c>
      <c r="B8" s="37"/>
      <c r="C8" s="37" t="s">
        <v>32</v>
      </c>
      <c r="D8" s="37" t="s">
        <v>130</v>
      </c>
      <c r="E8" s="37" t="s">
        <v>31</v>
      </c>
    </row>
    <row r="9" spans="1:5" ht="25.5">
      <c r="A9" s="31">
        <f>'Résultats observations'!A16</f>
        <v>45554</v>
      </c>
      <c r="B9" s="37" t="s">
        <v>120</v>
      </c>
      <c r="C9" s="169" t="s">
        <v>132</v>
      </c>
      <c r="D9" s="37" t="s">
        <v>130</v>
      </c>
      <c r="E9" s="37" t="s">
        <v>31</v>
      </c>
    </row>
    <row r="10" spans="1:5">
      <c r="A10" s="31">
        <f>'Résultats observations'!A17</f>
        <v>45557</v>
      </c>
      <c r="B10" s="37" t="s">
        <v>125</v>
      </c>
      <c r="C10" s="169" t="s">
        <v>131</v>
      </c>
      <c r="D10" s="37"/>
      <c r="E10" s="37" t="s">
        <v>31</v>
      </c>
    </row>
    <row r="11" spans="1:5">
      <c r="A11" s="31">
        <f>'Résultats observations'!A18</f>
        <v>45558</v>
      </c>
      <c r="B11" s="37" t="s">
        <v>126</v>
      </c>
      <c r="C11" s="169" t="s">
        <v>133</v>
      </c>
      <c r="D11" s="37" t="s">
        <v>129</v>
      </c>
      <c r="E11" s="37" t="s">
        <v>31</v>
      </c>
    </row>
    <row r="12" spans="1:5">
      <c r="A12" s="31">
        <f>'Résultats observations'!A19</f>
        <v>45559</v>
      </c>
      <c r="B12" s="37" t="s">
        <v>127</v>
      </c>
      <c r="C12" s="169" t="s">
        <v>131</v>
      </c>
      <c r="D12" s="37" t="s">
        <v>127</v>
      </c>
      <c r="E12" s="37" t="s">
        <v>31</v>
      </c>
    </row>
    <row r="13" spans="1:5">
      <c r="A13" s="31">
        <f>'Résultats observations'!A20</f>
        <v>45560</v>
      </c>
      <c r="B13" s="37" t="s">
        <v>128</v>
      </c>
      <c r="C13" s="169" t="s">
        <v>131</v>
      </c>
      <c r="D13" s="37" t="s">
        <v>128</v>
      </c>
      <c r="E13" s="37" t="s">
        <v>31</v>
      </c>
    </row>
    <row r="14" spans="1:5">
      <c r="A14" s="31">
        <f>'Résultats observations'!A21</f>
        <v>45562</v>
      </c>
      <c r="B14" s="37"/>
      <c r="C14" s="169" t="s">
        <v>131</v>
      </c>
      <c r="D14" s="37"/>
      <c r="E14" s="37" t="s">
        <v>31</v>
      </c>
    </row>
    <row r="15" spans="1:5">
      <c r="A15" s="31">
        <f>'Résultats observations'!A22</f>
        <v>45565</v>
      </c>
      <c r="B15" s="37"/>
      <c r="C15" s="169" t="s">
        <v>131</v>
      </c>
      <c r="D15" s="37"/>
      <c r="E15" s="37" t="s">
        <v>31</v>
      </c>
    </row>
    <row r="16" spans="1:5">
      <c r="A16" s="31">
        <f>'Résultats observations'!A23</f>
        <v>45567</v>
      </c>
      <c r="B16" s="37" t="s">
        <v>146</v>
      </c>
      <c r="C16" s="169" t="s">
        <v>131</v>
      </c>
      <c r="D16" s="37" t="s">
        <v>146</v>
      </c>
      <c r="E16" s="37" t="s">
        <v>31</v>
      </c>
    </row>
    <row r="17" spans="1:5">
      <c r="A17" s="31">
        <f>'Résultats observations'!A24</f>
        <v>45569</v>
      </c>
      <c r="B17" s="37"/>
      <c r="C17" s="37"/>
      <c r="D17" s="37"/>
      <c r="E17" s="37"/>
    </row>
    <row r="18" spans="1:5">
      <c r="A18" s="31">
        <f>'Résultats observations'!A25</f>
        <v>45572</v>
      </c>
      <c r="B18" s="37"/>
      <c r="C18" s="37"/>
      <c r="D18" s="37"/>
      <c r="E18" s="37"/>
    </row>
    <row r="19" spans="1:5">
      <c r="A19" s="31">
        <f>'Résultats observations'!A26</f>
        <v>45579</v>
      </c>
      <c r="B19" s="37"/>
      <c r="C19" s="37"/>
      <c r="D19" s="37"/>
      <c r="E19" s="37"/>
    </row>
    <row r="20" spans="1:5">
      <c r="A20" s="31">
        <f>'Résultats observations'!A27</f>
        <v>45586</v>
      </c>
      <c r="B20" s="37"/>
      <c r="C20" s="37"/>
      <c r="D20" s="37"/>
      <c r="E20" s="37"/>
    </row>
    <row r="21" spans="1:5">
      <c r="A21" s="31">
        <f>'Résultats observations'!A28</f>
        <v>45593</v>
      </c>
      <c r="B21" s="37"/>
      <c r="C21" s="37"/>
      <c r="D21" s="37"/>
      <c r="E21" s="37"/>
    </row>
    <row r="22" spans="1:5">
      <c r="A22" s="31">
        <f>'Résultats observations'!A29</f>
        <v>45601</v>
      </c>
      <c r="B22" s="37"/>
      <c r="C22" s="37"/>
      <c r="D22" s="37"/>
      <c r="E22" s="37"/>
    </row>
    <row r="23" spans="1:5">
      <c r="A23" s="31">
        <f>'Résultats observations'!A30</f>
        <v>45609</v>
      </c>
      <c r="B23" s="37"/>
      <c r="C23" s="37"/>
      <c r="D23" s="37"/>
      <c r="E23" s="37"/>
    </row>
    <row r="24" spans="1:5">
      <c r="A24" s="31">
        <f>'Résultats observations'!A31</f>
        <v>45622</v>
      </c>
      <c r="B24" s="37" t="s">
        <v>176</v>
      </c>
      <c r="C24" s="37" t="s">
        <v>177</v>
      </c>
      <c r="D24" s="37" t="s">
        <v>183</v>
      </c>
      <c r="E24" s="37"/>
    </row>
    <row r="25" spans="1:5">
      <c r="A25" s="31">
        <f>'Résultats observations'!A32</f>
        <v>45644</v>
      </c>
      <c r="B25" s="37" t="s">
        <v>179</v>
      </c>
      <c r="C25" s="37" t="s">
        <v>180</v>
      </c>
      <c r="D25" s="37" t="s">
        <v>182</v>
      </c>
      <c r="E25" s="37"/>
    </row>
    <row r="26" spans="1:5">
      <c r="A26" s="31">
        <f>'Résultats observations'!A33</f>
        <v>45663</v>
      </c>
      <c r="B26" s="37" t="s">
        <v>179</v>
      </c>
      <c r="C26" s="37" t="s">
        <v>181</v>
      </c>
      <c r="D26" s="37" t="s">
        <v>182</v>
      </c>
      <c r="E26" s="37"/>
    </row>
    <row r="27" spans="1:5">
      <c r="A27" s="31">
        <f>'Résultats observations'!A34</f>
        <v>45666</v>
      </c>
      <c r="B27" s="37"/>
      <c r="C27" s="37"/>
      <c r="D27" s="37"/>
      <c r="E27" s="37"/>
    </row>
    <row r="28" spans="1:5">
      <c r="A28" s="31">
        <f>'Résultats observations'!A35</f>
        <v>45670</v>
      </c>
      <c r="B28" s="37"/>
      <c r="C28" s="37"/>
      <c r="D28" s="37"/>
      <c r="E28" s="37"/>
    </row>
    <row r="29" spans="1:5">
      <c r="A29" s="31">
        <f>'Résultats observations'!A36</f>
        <v>45674</v>
      </c>
      <c r="B29" s="37"/>
      <c r="C29" s="37"/>
      <c r="D29" s="37"/>
      <c r="E29" s="37"/>
    </row>
    <row r="30" spans="1:5">
      <c r="A30" s="31">
        <f>'Résultats observations'!A37</f>
        <v>45681</v>
      </c>
      <c r="B30" s="37" t="s">
        <v>184</v>
      </c>
      <c r="C30" s="37"/>
      <c r="D30" s="37"/>
      <c r="E30" s="37"/>
    </row>
    <row r="31" spans="1:5">
      <c r="A31" s="31">
        <f>'Résultats observations'!A38</f>
        <v>45686</v>
      </c>
      <c r="B31" s="37"/>
      <c r="C31" s="37"/>
      <c r="D31" s="37"/>
      <c r="E31" s="37"/>
    </row>
    <row r="32" spans="1:5">
      <c r="A32" s="31">
        <f>'Résultats observations'!A39</f>
        <v>45695</v>
      </c>
      <c r="B32" s="37"/>
      <c r="C32" s="37"/>
      <c r="D32" s="37"/>
      <c r="E32" s="37"/>
    </row>
    <row r="33" spans="1:5">
      <c r="A33" s="31">
        <f>'Résultats observations'!A40</f>
        <v>45701</v>
      </c>
      <c r="B33" s="37" t="s">
        <v>194</v>
      </c>
      <c r="C33" s="37"/>
      <c r="D33" s="37"/>
      <c r="E33" s="37"/>
    </row>
    <row r="34" spans="1:5">
      <c r="A34" s="31">
        <f>'Résultats observations'!A41</f>
        <v>45708</v>
      </c>
      <c r="B34" s="37"/>
      <c r="C34" s="37"/>
      <c r="D34" s="37"/>
      <c r="E34" s="37"/>
    </row>
    <row r="35" spans="1:5">
      <c r="A35" s="31">
        <f>'Résultats observations'!A42</f>
        <v>45715</v>
      </c>
      <c r="B35" s="37"/>
      <c r="C35" s="37"/>
      <c r="D35" s="37"/>
      <c r="E35" s="37"/>
    </row>
    <row r="36" spans="1:5">
      <c r="A36" s="31">
        <f>'Résultats observations'!A43</f>
        <v>45722</v>
      </c>
      <c r="B36" s="37"/>
      <c r="C36" s="37"/>
      <c r="D36" s="37"/>
      <c r="E36" s="37"/>
    </row>
    <row r="37" spans="1:5">
      <c r="A37" s="31">
        <f>'Résultats observations'!A44</f>
        <v>45729</v>
      </c>
      <c r="B37" s="37"/>
      <c r="C37" s="37"/>
      <c r="D37" s="37"/>
      <c r="E37" s="37"/>
    </row>
    <row r="38" spans="1:5">
      <c r="A38" s="31">
        <f>'Résultats observations'!A45</f>
        <v>45733</v>
      </c>
      <c r="B38" s="37"/>
      <c r="C38" s="37"/>
      <c r="D38" s="37"/>
      <c r="E38" s="37"/>
    </row>
    <row r="39" spans="1:5">
      <c r="A39" s="31">
        <f>'Résultats observations'!A46</f>
        <v>45742</v>
      </c>
      <c r="B39" s="37" t="s">
        <v>215</v>
      </c>
      <c r="C39" s="37" t="s">
        <v>216</v>
      </c>
      <c r="D39" s="37"/>
      <c r="E39" s="37"/>
    </row>
    <row r="40" spans="1:5">
      <c r="A40" s="31"/>
      <c r="B40" s="37"/>
      <c r="C40" s="37"/>
      <c r="D40" s="37"/>
      <c r="E40" s="37"/>
    </row>
    <row r="41" spans="1:5">
      <c r="A41" s="31"/>
      <c r="B41" s="37"/>
      <c r="C41" s="37"/>
      <c r="D41" s="37"/>
      <c r="E41" s="37"/>
    </row>
    <row r="42" spans="1:5">
      <c r="A42" s="31"/>
      <c r="B42" s="37"/>
      <c r="C42" s="37"/>
      <c r="D42" s="37"/>
      <c r="E42" s="37"/>
    </row>
    <row r="43" spans="1:5">
      <c r="A43" s="31"/>
      <c r="B43" s="37"/>
      <c r="C43" s="37"/>
      <c r="D43" s="37"/>
      <c r="E43" s="37"/>
    </row>
    <row r="44" spans="1:5">
      <c r="A44" s="31"/>
      <c r="B44" s="37"/>
      <c r="C44" s="37"/>
      <c r="D44" s="37"/>
      <c r="E44" s="37"/>
    </row>
    <row r="45" spans="1:5">
      <c r="A45" s="31"/>
      <c r="B45" s="37"/>
      <c r="C45" s="37"/>
      <c r="D45" s="37"/>
      <c r="E45" s="37"/>
    </row>
    <row r="46" spans="1:5">
      <c r="A46" s="31"/>
      <c r="B46" s="37"/>
      <c r="C46" s="37"/>
      <c r="D46" s="37"/>
      <c r="E46" s="37"/>
    </row>
    <row r="47" spans="1:5">
      <c r="A47" s="31"/>
      <c r="B47" s="37"/>
      <c r="C47" s="37"/>
      <c r="D47" s="37"/>
      <c r="E47" s="37"/>
    </row>
    <row r="48" spans="1:5">
      <c r="A48" s="31"/>
      <c r="B48" s="37"/>
      <c r="C48" s="37"/>
      <c r="D48" s="37"/>
      <c r="E48" s="37"/>
    </row>
    <row r="49" spans="1:5">
      <c r="A49" s="31"/>
      <c r="B49" s="37"/>
      <c r="C49" s="37"/>
      <c r="D49" s="37"/>
      <c r="E49" s="37"/>
    </row>
    <row r="50" spans="1:5">
      <c r="A50" s="31"/>
      <c r="B50" s="37"/>
      <c r="C50" s="37"/>
      <c r="D50" s="37"/>
      <c r="E50" s="37"/>
    </row>
    <row r="51" spans="1:5">
      <c r="A51" s="31"/>
      <c r="B51" s="37"/>
      <c r="C51" s="37"/>
      <c r="D51" s="37"/>
      <c r="E51" s="37"/>
    </row>
    <row r="52" spans="1:5">
      <c r="A52" s="31"/>
      <c r="B52" s="37"/>
      <c r="C52" s="37"/>
      <c r="D52" s="37"/>
      <c r="E52" s="37"/>
    </row>
    <row r="53" spans="1:5">
      <c r="A53" s="31"/>
      <c r="B53" s="37"/>
      <c r="C53" s="37"/>
      <c r="D53" s="37"/>
      <c r="E53" s="37"/>
    </row>
    <row r="54" spans="1:5">
      <c r="A54" s="31"/>
      <c r="B54" s="37"/>
      <c r="C54" s="37"/>
      <c r="D54" s="37"/>
      <c r="E54" s="37"/>
    </row>
    <row r="55" spans="1:5">
      <c r="A55" s="31"/>
      <c r="B55" s="37"/>
      <c r="C55" s="37"/>
      <c r="D55" s="37"/>
      <c r="E55" s="37"/>
    </row>
    <row r="56" spans="1:5">
      <c r="A56" s="31"/>
      <c r="B56" s="37"/>
      <c r="C56" s="37"/>
      <c r="D56" s="37"/>
      <c r="E56" s="37"/>
    </row>
    <row r="57" spans="1:5">
      <c r="A57" s="31"/>
      <c r="B57" s="37"/>
      <c r="C57" s="37"/>
      <c r="D57" s="37"/>
      <c r="E57" s="37"/>
    </row>
    <row r="58" spans="1:5">
      <c r="A58" s="31"/>
      <c r="B58" s="37"/>
      <c r="C58" s="37"/>
      <c r="D58" s="37"/>
      <c r="E58" s="37"/>
    </row>
    <row r="59" spans="1:5">
      <c r="A59" s="31"/>
      <c r="B59" s="37"/>
      <c r="C59" s="37"/>
      <c r="D59" s="37"/>
      <c r="E59" s="37"/>
    </row>
    <row r="60" spans="1:5">
      <c r="A60" s="31"/>
      <c r="B60" s="37"/>
      <c r="C60" s="37"/>
      <c r="D60" s="37"/>
      <c r="E60" s="37"/>
    </row>
    <row r="61" spans="1:5">
      <c r="A61" s="31"/>
      <c r="B61" s="37"/>
      <c r="C61" s="37"/>
      <c r="D61" s="37"/>
      <c r="E61" s="37"/>
    </row>
    <row r="62" spans="1:5">
      <c r="A62" s="31"/>
      <c r="B62" s="37"/>
      <c r="C62" s="37"/>
      <c r="D62" s="37"/>
      <c r="E62" s="37"/>
    </row>
    <row r="63" spans="1:5">
      <c r="A63" s="31"/>
      <c r="B63" s="37"/>
      <c r="C63" s="37"/>
      <c r="D63" s="37"/>
      <c r="E63" s="37"/>
    </row>
    <row r="64" spans="1:5">
      <c r="A64" s="31"/>
      <c r="B64" s="37"/>
      <c r="C64" s="37"/>
      <c r="D64" s="37"/>
      <c r="E64" s="37"/>
    </row>
    <row r="65" spans="1:5">
      <c r="A65" s="31"/>
      <c r="B65" s="37"/>
      <c r="C65" s="37"/>
      <c r="D65" s="37"/>
      <c r="E65" s="37"/>
    </row>
    <row r="66" spans="1:5">
      <c r="A66" s="31"/>
      <c r="B66" s="37"/>
      <c r="C66" s="37"/>
      <c r="D66" s="37"/>
      <c r="E66" s="37"/>
    </row>
    <row r="67" spans="1:5">
      <c r="A67" s="31"/>
      <c r="B67" s="37"/>
      <c r="C67" s="37"/>
      <c r="D67" s="37"/>
      <c r="E67" s="37"/>
    </row>
    <row r="68" spans="1:5">
      <c r="A68" s="31"/>
      <c r="B68" s="37"/>
      <c r="C68" s="37"/>
      <c r="D68" s="37"/>
      <c r="E68" s="37"/>
    </row>
    <row r="69" spans="1:5">
      <c r="A69" s="31"/>
      <c r="B69" s="37"/>
      <c r="C69" s="37"/>
      <c r="D69" s="37"/>
      <c r="E69" s="37"/>
    </row>
    <row r="70" spans="1:5">
      <c r="A70" s="31"/>
      <c r="B70" s="37"/>
      <c r="C70" s="37"/>
      <c r="D70" s="37"/>
      <c r="E70" s="37"/>
    </row>
    <row r="71" spans="1:5">
      <c r="A71" s="31"/>
      <c r="B71" s="37"/>
      <c r="C71" s="37"/>
      <c r="D71" s="37"/>
      <c r="E71" s="37"/>
    </row>
    <row r="72" spans="1:5">
      <c r="A72" s="31"/>
      <c r="B72" s="37"/>
      <c r="C72" s="37"/>
      <c r="D72" s="37"/>
      <c r="E72" s="37"/>
    </row>
    <row r="73" spans="1:5">
      <c r="A73" s="31"/>
      <c r="B73" s="37"/>
      <c r="C73" s="37"/>
      <c r="D73" s="37"/>
      <c r="E73" s="37"/>
    </row>
    <row r="74" spans="1:5">
      <c r="A74" s="31"/>
      <c r="B74" s="37"/>
      <c r="C74" s="37"/>
      <c r="D74" s="37"/>
      <c r="E74" s="37"/>
    </row>
    <row r="75" spans="1:5">
      <c r="A75" s="31"/>
      <c r="B75" s="37"/>
      <c r="C75" s="37"/>
      <c r="D75" s="37"/>
      <c r="E75" s="37"/>
    </row>
    <row r="76" spans="1:5">
      <c r="A76" s="31"/>
      <c r="B76" s="37"/>
      <c r="C76" s="37"/>
      <c r="D76" s="37"/>
      <c r="E76" s="37"/>
    </row>
    <row r="77" spans="1:5">
      <c r="A77" s="31"/>
      <c r="B77" s="37"/>
      <c r="C77" s="37"/>
      <c r="D77" s="37"/>
      <c r="E77" s="37"/>
    </row>
    <row r="78" spans="1:5">
      <c r="A78" s="31"/>
      <c r="B78" s="37"/>
      <c r="C78" s="37"/>
      <c r="D78" s="37"/>
      <c r="E78" s="37"/>
    </row>
    <row r="79" spans="1:5">
      <c r="A79" s="31"/>
      <c r="B79" s="37"/>
      <c r="C79" s="37"/>
      <c r="D79" s="37"/>
      <c r="E79" s="37"/>
    </row>
    <row r="80" spans="1:5">
      <c r="A80" s="31"/>
      <c r="B80" s="37"/>
      <c r="C80" s="37"/>
      <c r="D80" s="37"/>
      <c r="E80" s="37"/>
    </row>
    <row r="81" spans="1:5">
      <c r="A81" s="31"/>
      <c r="B81" s="37"/>
      <c r="C81" s="37"/>
      <c r="D81" s="37"/>
      <c r="E81" s="37"/>
    </row>
    <row r="82" spans="1:5">
      <c r="A82" s="31"/>
      <c r="B82" s="37"/>
      <c r="C82" s="37"/>
      <c r="D82" s="37"/>
      <c r="E82" s="37"/>
    </row>
    <row r="83" spans="1:5">
      <c r="A83" s="31"/>
      <c r="B83" s="37"/>
      <c r="C83" s="37"/>
      <c r="D83" s="37"/>
      <c r="E83" s="37"/>
    </row>
    <row r="84" spans="1:5">
      <c r="A84" s="31"/>
      <c r="B84" s="37"/>
      <c r="C84" s="37"/>
      <c r="D84" s="37"/>
      <c r="E84" s="37"/>
    </row>
    <row r="85" spans="1:5">
      <c r="A85" s="31"/>
      <c r="B85" s="37"/>
      <c r="C85" s="37"/>
      <c r="D85" s="37"/>
      <c r="E85" s="37"/>
    </row>
    <row r="86" spans="1:5">
      <c r="A86" s="31"/>
      <c r="B86" s="37"/>
      <c r="C86" s="37"/>
      <c r="D86" s="37"/>
      <c r="E86" s="37"/>
    </row>
    <row r="87" spans="1:5">
      <c r="A87" s="31"/>
      <c r="B87" s="37"/>
      <c r="C87" s="37"/>
      <c r="D87" s="37"/>
      <c r="E87" s="37"/>
    </row>
    <row r="88" spans="1:5">
      <c r="A88" s="31"/>
      <c r="B88" s="37"/>
      <c r="C88" s="37"/>
      <c r="D88" s="37"/>
      <c r="E88" s="37"/>
    </row>
    <row r="89" spans="1:5">
      <c r="A89" s="31"/>
      <c r="B89" s="37"/>
      <c r="C89" s="37"/>
      <c r="D89" s="37"/>
      <c r="E89" s="37"/>
    </row>
    <row r="90" spans="1:5">
      <c r="A90" s="31"/>
      <c r="B90" s="37"/>
      <c r="C90" s="37"/>
      <c r="D90" s="37"/>
      <c r="E90" s="37"/>
    </row>
    <row r="91" spans="1:5">
      <c r="A91" s="31"/>
      <c r="B91" s="37"/>
      <c r="C91" s="37"/>
      <c r="D91" s="37"/>
      <c r="E91" s="37"/>
    </row>
    <row r="92" spans="1:5">
      <c r="A92" s="31"/>
      <c r="B92" s="37"/>
      <c r="C92" s="37"/>
      <c r="D92" s="37"/>
      <c r="E92" s="37"/>
    </row>
    <row r="93" spans="1:5">
      <c r="A93" s="31"/>
      <c r="B93" s="37"/>
      <c r="C93" s="37"/>
      <c r="D93" s="37"/>
      <c r="E93" s="37"/>
    </row>
    <row r="94" spans="1:5">
      <c r="A94" s="31"/>
      <c r="B94" s="37"/>
      <c r="C94" s="37"/>
      <c r="D94" s="37"/>
      <c r="E94" s="37"/>
    </row>
  </sheetData>
  <mergeCells count="5">
    <mergeCell ref="C1:C2"/>
    <mergeCell ref="D1:D2"/>
    <mergeCell ref="E1:E2"/>
    <mergeCell ref="A1:A2"/>
    <mergeCell ref="B1:B2"/>
  </mergeCells>
  <phoneticPr fontId="2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37</vt:i4>
      </vt:variant>
    </vt:vector>
  </HeadingPairs>
  <TitlesOfParts>
    <vt:vector size="43" baseType="lpstr">
      <vt:lpstr>Résultats observations</vt:lpstr>
      <vt:lpstr>DATABASE</vt:lpstr>
      <vt:lpstr>Cordes</vt:lpstr>
      <vt:lpstr>Déplacements</vt:lpstr>
      <vt:lpstr>Graphiques</vt:lpstr>
      <vt:lpstr>commentaires</vt:lpstr>
      <vt:lpstr>date</vt:lpstr>
      <vt:lpstr>DH_BG</vt:lpstr>
      <vt:lpstr>DH_HG</vt:lpstr>
      <vt:lpstr>DH_IG</vt:lpstr>
      <vt:lpstr>DHhaut</vt:lpstr>
      <vt:lpstr>DPM_BG</vt:lpstr>
      <vt:lpstr>DPM_HG</vt:lpstr>
      <vt:lpstr>DPM_IG</vt:lpstr>
      <vt:lpstr>DPMhaut</vt:lpstr>
      <vt:lpstr>DZ_BG</vt:lpstr>
      <vt:lpstr>DZ_HG</vt:lpstr>
      <vt:lpstr>DZ_IG</vt:lpstr>
      <vt:lpstr>DZhaut</vt:lpstr>
      <vt:lpstr>Ecart_BG</vt:lpstr>
      <vt:lpstr>Ecart_HG</vt:lpstr>
      <vt:lpstr>Ecart_IG</vt:lpstr>
      <vt:lpstr>excav</vt:lpstr>
      <vt:lpstr>galerie</vt:lpstr>
      <vt:lpstr>Cordes!Impression_des_titres</vt:lpstr>
      <vt:lpstr>Déplacements!Impression_des_titres</vt:lpstr>
      <vt:lpstr>'Résultats observations'!Impression_des_titres</vt:lpstr>
      <vt:lpstr>jours</vt:lpstr>
      <vt:lpstr>Xbasgauche</vt:lpstr>
      <vt:lpstr>Xhaut</vt:lpstr>
      <vt:lpstr>Xhautgauche</vt:lpstr>
      <vt:lpstr>Xintergauche</vt:lpstr>
      <vt:lpstr>Ybasgauche</vt:lpstr>
      <vt:lpstr>Yhaut</vt:lpstr>
      <vt:lpstr>Yhautgauche</vt:lpstr>
      <vt:lpstr>Yintergauche</vt:lpstr>
      <vt:lpstr>Zbasgauche</vt:lpstr>
      <vt:lpstr>Zhaut</vt:lpstr>
      <vt:lpstr>Zhautgauche</vt:lpstr>
      <vt:lpstr>Zintergauche</vt:lpstr>
      <vt:lpstr>Cordes!Zone_d_impression</vt:lpstr>
      <vt:lpstr>Déplacements!Zone_d_impression</vt:lpstr>
      <vt:lpstr>'Résultats observations'!Zone_d_impression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</dc:creator>
  <cp:lastModifiedBy>olivier boissard</cp:lastModifiedBy>
  <cp:lastPrinted>2022-03-31T10:18:23Z</cp:lastPrinted>
  <dcterms:created xsi:type="dcterms:W3CDTF">2008-07-29T13:58:19Z</dcterms:created>
  <dcterms:modified xsi:type="dcterms:W3CDTF">2025-10-17T07:21:42Z</dcterms:modified>
</cp:coreProperties>
</file>