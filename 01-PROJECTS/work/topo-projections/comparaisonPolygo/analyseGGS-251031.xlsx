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9840D5C5-589C-4415-9964-B072979FD2D9}" xr6:coauthVersionLast="47" xr6:coauthVersionMax="47" xr10:uidLastSave="{00000000-0000-0000-0000-000000000000}"/>
  <bookViews>
    <workbookView xWindow="57480" yWindow="-120" windowWidth="25440" windowHeight="15390" activeTab="2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F8" i="4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</calcChain>
</file>

<file path=xl/sharedStrings.xml><?xml version="1.0" encoding="utf-8"?>
<sst xmlns="http://schemas.openxmlformats.org/spreadsheetml/2006/main" count="497" uniqueCount="204">
  <si>
    <t>Nom1</t>
  </si>
  <si>
    <t>X1</t>
  </si>
  <si>
    <t>Y1</t>
  </si>
  <si>
    <t>Z1</t>
  </si>
  <si>
    <t>Nom2</t>
  </si>
  <si>
    <t>X2</t>
  </si>
  <si>
    <t>Y2</t>
  </si>
  <si>
    <t>Z2</t>
  </si>
  <si>
    <t>REF_1101</t>
  </si>
  <si>
    <t>S1</t>
  </si>
  <si>
    <t>REF_1102</t>
  </si>
  <si>
    <t>S2</t>
  </si>
  <si>
    <t>REF_1104</t>
  </si>
  <si>
    <t>X_03.GGS.10D</t>
  </si>
  <si>
    <t>REF_1106</t>
  </si>
  <si>
    <t>X_14.GGS.8D</t>
  </si>
  <si>
    <t>REF_1107</t>
  </si>
  <si>
    <t>X_14.GGS.10G</t>
  </si>
  <si>
    <t>REF_1202</t>
  </si>
  <si>
    <t>X_03.GGS.10G</t>
  </si>
  <si>
    <t>REF_1203</t>
  </si>
  <si>
    <t>REF_1204</t>
  </si>
  <si>
    <t>s1-51.GGS.3G</t>
  </si>
  <si>
    <t>REF_1205</t>
  </si>
  <si>
    <t>s1-43.GGS.4G</t>
  </si>
  <si>
    <t>REF_3101</t>
  </si>
  <si>
    <t>s1-51.GGS.3D</t>
  </si>
  <si>
    <t>REF_3102</t>
  </si>
  <si>
    <t>s1-43.GGS.5D</t>
  </si>
  <si>
    <t>REF_3103</t>
  </si>
  <si>
    <t>s1-38.GGS.8G</t>
  </si>
  <si>
    <t>REF_3104</t>
  </si>
  <si>
    <t>s1-38.GGS.7D</t>
  </si>
  <si>
    <t>REF_3105</t>
  </si>
  <si>
    <t>s1-31.GGS.9D</t>
  </si>
  <si>
    <t>REF_3106</t>
  </si>
  <si>
    <t>s1-31.GGS.8G</t>
  </si>
  <si>
    <t>REF_2201</t>
  </si>
  <si>
    <t>s1-S2</t>
  </si>
  <si>
    <t>REF_2202</t>
  </si>
  <si>
    <t>s1-19.GGS.7D</t>
  </si>
  <si>
    <t>REF_2203</t>
  </si>
  <si>
    <t>s1-19.GGS.8G</t>
  </si>
  <si>
    <t>REF_2204</t>
  </si>
  <si>
    <t>s1-03.GGS.10D</t>
  </si>
  <si>
    <t>REF_2205</t>
  </si>
  <si>
    <t>s1-14.GGS.8D</t>
  </si>
  <si>
    <t>03.GGS.10G</t>
  </si>
  <si>
    <t>s1-14.GGS.10G</t>
  </si>
  <si>
    <t>03.GGS.10D</t>
  </si>
  <si>
    <t>s1-03.GGS.10G</t>
  </si>
  <si>
    <t>CX.2005</t>
  </si>
  <si>
    <t>s1-4</t>
  </si>
  <si>
    <t>CX.1005.2</t>
  </si>
  <si>
    <t>S1.2</t>
  </si>
  <si>
    <t>07.GGS.3D</t>
  </si>
  <si>
    <t>s2-S1</t>
  </si>
  <si>
    <t>CX.2007.2</t>
  </si>
  <si>
    <t>s2-14.GGS.10G</t>
  </si>
  <si>
    <t>10.GGS.10D</t>
  </si>
  <si>
    <t>s2-03.GGS.10G</t>
  </si>
  <si>
    <t>10.GGS.10G</t>
  </si>
  <si>
    <t>s2-03.GGS.10D</t>
  </si>
  <si>
    <t>CX.2011</t>
  </si>
  <si>
    <t>s2-14.GGS.8D</t>
  </si>
  <si>
    <t>CX.1011</t>
  </si>
  <si>
    <t>s2-S1.2</t>
  </si>
  <si>
    <t>14.GGS.8D</t>
  </si>
  <si>
    <t>s2-101.GRD.1G</t>
  </si>
  <si>
    <t>14.GGS.10G</t>
  </si>
  <si>
    <t>s2-106.GRD.3G</t>
  </si>
  <si>
    <t>15.GGS.2D</t>
  </si>
  <si>
    <t>s2-115.GRD.4G</t>
  </si>
  <si>
    <t>15.GGS.2G</t>
  </si>
  <si>
    <t>s2-120.GRD.4G</t>
  </si>
  <si>
    <t>CX.1015</t>
  </si>
  <si>
    <t>s2-001.GVA.1BD</t>
  </si>
  <si>
    <t>s2-006.GVA.2G</t>
  </si>
  <si>
    <t>18.GGS.1D</t>
  </si>
  <si>
    <t>s2-011.GVA.2G</t>
  </si>
  <si>
    <t>19.GGS.7D</t>
  </si>
  <si>
    <t>s2-C.401.GVA.2</t>
  </si>
  <si>
    <t>19.GGS.8G</t>
  </si>
  <si>
    <t>s2-C.402.GVA.2</t>
  </si>
  <si>
    <t>21.GGS.4D</t>
  </si>
  <si>
    <t>s2-C.404.GRD.2</t>
  </si>
  <si>
    <t>22.GGS.1G</t>
  </si>
  <si>
    <t>s2-C.202GRD.1G</t>
  </si>
  <si>
    <t>24.GGS.1D</t>
  </si>
  <si>
    <t>24.GGS.1G</t>
  </si>
  <si>
    <t>26.GGS.7D</t>
  </si>
  <si>
    <t>26.GGS.4G</t>
  </si>
  <si>
    <t>29.GGS.3D</t>
  </si>
  <si>
    <t>30.GGS.4G</t>
  </si>
  <si>
    <t>31.GGS.9D</t>
  </si>
  <si>
    <t>31.GGS.8G</t>
  </si>
  <si>
    <t>35.GGS.5D</t>
  </si>
  <si>
    <t>36.GGS.2G</t>
  </si>
  <si>
    <t>37.GGS.2D</t>
  </si>
  <si>
    <t>38.GGS.8G</t>
  </si>
  <si>
    <t>38.GGS.7D</t>
  </si>
  <si>
    <t>42.GGS.3D</t>
  </si>
  <si>
    <t>42.GGS.4G</t>
  </si>
  <si>
    <t>43.GGS.5D</t>
  </si>
  <si>
    <t>43.GGS.4G</t>
  </si>
  <si>
    <t>48.GGS.4D</t>
  </si>
  <si>
    <t>48.GGS.3G</t>
  </si>
  <si>
    <t>51.GGS.3G</t>
  </si>
  <si>
    <t>51.GGS.3D</t>
  </si>
  <si>
    <t>ref_S031</t>
  </si>
  <si>
    <t>ref_S032</t>
  </si>
  <si>
    <t>ref_S033</t>
  </si>
  <si>
    <t>ref_S035</t>
  </si>
  <si>
    <t>ref_S071</t>
  </si>
  <si>
    <t>ref_S072</t>
  </si>
  <si>
    <t>ref_S073</t>
  </si>
  <si>
    <t>ref_S075</t>
  </si>
  <si>
    <t>ref_S201</t>
  </si>
  <si>
    <t>ref_S202</t>
  </si>
  <si>
    <t>ref_S203</t>
  </si>
  <si>
    <t>ref_S205</t>
  </si>
  <si>
    <t>ref_S311</t>
  </si>
  <si>
    <t>ref_S312</t>
  </si>
  <si>
    <t>ref_S313</t>
  </si>
  <si>
    <t>ref_S314</t>
  </si>
  <si>
    <t>ref_S315</t>
  </si>
  <si>
    <t>096.GRD.1G</t>
  </si>
  <si>
    <t>096.GRD.1D</t>
  </si>
  <si>
    <t>C.408.GRD.2</t>
  </si>
  <si>
    <t>101.GRD.2D</t>
  </si>
  <si>
    <t>101.GRD.1G</t>
  </si>
  <si>
    <t>C.407.GRD.2</t>
  </si>
  <si>
    <t>C.198.GRD.2</t>
  </si>
  <si>
    <t>106.GRD.1BG</t>
  </si>
  <si>
    <t>106.GRD.2D</t>
  </si>
  <si>
    <t>106.GRD.3G</t>
  </si>
  <si>
    <t>C.188.GRD.2G</t>
  </si>
  <si>
    <t>C.199.GRD.2</t>
  </si>
  <si>
    <t>C.410.GGS.2</t>
  </si>
  <si>
    <t>C.194.GRD.1</t>
  </si>
  <si>
    <t>111.GRD.3D</t>
  </si>
  <si>
    <t>STATION_ST1</t>
  </si>
  <si>
    <t>C.195.GRD.1</t>
  </si>
  <si>
    <t>C.196.GRD.3</t>
  </si>
  <si>
    <t>115.GRD.4G</t>
  </si>
  <si>
    <t>115.GRD.2D</t>
  </si>
  <si>
    <t>C.405.GRD.3</t>
  </si>
  <si>
    <t>C.403.GRD.2</t>
  </si>
  <si>
    <t>120.GRD.4D</t>
  </si>
  <si>
    <t>120.GRD.4G</t>
  </si>
  <si>
    <t>C.201.GRD.6N</t>
  </si>
  <si>
    <t>C.514.GRD</t>
  </si>
  <si>
    <t>C.404.GRD.2</t>
  </si>
  <si>
    <t>125.GRD.4G</t>
  </si>
  <si>
    <t>125.GRD.5D</t>
  </si>
  <si>
    <t>C.511.GRD</t>
  </si>
  <si>
    <t>131.GRD.7G</t>
  </si>
  <si>
    <t>C.512.GRD</t>
  </si>
  <si>
    <t>C.510.GRD</t>
  </si>
  <si>
    <t>C.409.GRD.2</t>
  </si>
  <si>
    <t>C.202GRD.1G</t>
  </si>
  <si>
    <t>C.513GRD.1D</t>
  </si>
  <si>
    <t>C.586</t>
  </si>
  <si>
    <t>C.582</t>
  </si>
  <si>
    <t>011.GVA.2G</t>
  </si>
  <si>
    <t>C.402.GVA.2</t>
  </si>
  <si>
    <t>005.GVA.1BD</t>
  </si>
  <si>
    <t>005.GVA.2BG</t>
  </si>
  <si>
    <t>C.401.GVA.2</t>
  </si>
  <si>
    <t>001.GVA.1BD</t>
  </si>
  <si>
    <t>001.GVA.D</t>
  </si>
  <si>
    <t>001.GVA.G</t>
  </si>
  <si>
    <t>006.GVA.2G</t>
  </si>
  <si>
    <t>011.GVA.1D</t>
  </si>
  <si>
    <t>Point</t>
  </si>
  <si>
    <t>X</t>
  </si>
  <si>
    <t>Y</t>
  </si>
  <si>
    <t>Z</t>
  </si>
  <si>
    <t>AXE GGS avec le Z pris sur la grande section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</si>
  <si>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</si>
  <si>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</si>
  <si>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</si>
  <si>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</si>
  <si>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</si>
  <si>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</si>
  <si>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</si>
  <si>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</si>
  <si>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</si>
  <si>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</si>
  <si>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</si>
  <si>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</si>
  <si>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</si>
  <si>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</si>
  <si>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</si>
  <si>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19.GGS.8D</t>
  </si>
  <si>
    <t>19.GGS.9G</t>
  </si>
  <si>
    <t>31.GGS.9G</t>
  </si>
  <si>
    <t>31.GGS.10D</t>
  </si>
  <si>
    <t>38.GGS.8D</t>
  </si>
  <si>
    <t>38.GGS.9G</t>
  </si>
  <si>
    <t>43.GGS.5G</t>
  </si>
  <si>
    <t>43.GGS.6D</t>
  </si>
  <si>
    <t>51.GGS.4D</t>
  </si>
  <si>
    <t>51.GGS.4G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</si>
</sst>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</font>
    <font>
      <sz val="11"/>
      <color rgb="FF92D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7" fillId="0" borderId="0" xfId="0" applyFont="1"/>
    <xf numFmtId="164" fontId="7" fillId="0" borderId="0" xfId="0" applyNumberFormat="1" applyFont="1"/>
    <xf numFmtId="164" fontId="3" fillId="0" borderId="0" xfId="0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29"/>
  <sheetViews>
    <sheetView workbookViewId="0">
      <selection activeCell="M17" sqref="M17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823066.45700000005</v>
      </c>
      <c r="C2" s="3">
        <v>1091436.186</v>
      </c>
      <c r="D2" s="3">
        <v>-123.12</v>
      </c>
      <c r="E2" s="4" t="s">
        <v>9</v>
      </c>
      <c r="F2" s="4">
        <v>823037.94030000002</v>
      </c>
      <c r="G2" s="4">
        <v>1091420.0090999999</v>
      </c>
      <c r="H2" s="4">
        <v>-119.6401</v>
      </c>
    </row>
    <row r="3" spans="1:8" x14ac:dyDescent="0.25">
      <c r="A3" s="3" t="s">
        <v>10</v>
      </c>
      <c r="B3" s="3">
        <v>823066.32400000002</v>
      </c>
      <c r="C3" s="3">
        <v>1091435.7849999999</v>
      </c>
      <c r="D3" s="3">
        <v>-120.99</v>
      </c>
      <c r="E3" s="4" t="s">
        <v>11</v>
      </c>
      <c r="F3" s="4">
        <v>823064.62540000002</v>
      </c>
      <c r="G3" s="4">
        <v>1091432.3955000001</v>
      </c>
      <c r="H3" s="4">
        <v>-122.3317</v>
      </c>
    </row>
    <row r="4" spans="1:8" x14ac:dyDescent="0.25">
      <c r="A4" s="3" t="s">
        <v>12</v>
      </c>
      <c r="B4" s="3">
        <v>823066.35100000002</v>
      </c>
      <c r="C4" s="3">
        <v>1091432.3189999999</v>
      </c>
      <c r="D4" s="3">
        <v>-119.54900000000001</v>
      </c>
      <c r="E4" s="4" t="s">
        <v>13</v>
      </c>
      <c r="F4" s="4">
        <v>823059.96109999996</v>
      </c>
      <c r="G4" s="4">
        <v>1091432.8084</v>
      </c>
      <c r="H4" s="4">
        <v>-122.50749999999999</v>
      </c>
    </row>
    <row r="5" spans="1:8" x14ac:dyDescent="0.25">
      <c r="A5" s="3" t="s">
        <v>14</v>
      </c>
      <c r="B5" s="3">
        <v>823068.75699999998</v>
      </c>
      <c r="C5" s="3">
        <v>1091431.22</v>
      </c>
      <c r="D5" s="3">
        <v>-121.355</v>
      </c>
      <c r="E5" s="4" t="s">
        <v>15</v>
      </c>
      <c r="F5" s="4">
        <v>823050.92480000004</v>
      </c>
      <c r="G5" s="4">
        <v>1091428.3570000001</v>
      </c>
      <c r="H5" s="4">
        <v>-121.1236</v>
      </c>
    </row>
    <row r="6" spans="1:8" x14ac:dyDescent="0.25">
      <c r="A6" s="3" t="s">
        <v>16</v>
      </c>
      <c r="B6" s="3">
        <v>823068.88</v>
      </c>
      <c r="C6" s="3">
        <v>1091431.0220000001</v>
      </c>
      <c r="D6" s="3">
        <v>-123.01300000000001</v>
      </c>
      <c r="E6" s="4" t="s">
        <v>17</v>
      </c>
      <c r="F6" s="4">
        <v>823052.88289999997</v>
      </c>
      <c r="G6" s="4">
        <v>1091424.1551000001</v>
      </c>
      <c r="H6" s="4">
        <v>-121.20140000000001</v>
      </c>
    </row>
    <row r="7" spans="1:8" x14ac:dyDescent="0.25">
      <c r="A7" s="3" t="s">
        <v>18</v>
      </c>
      <c r="B7" s="3">
        <v>823066.78700000001</v>
      </c>
      <c r="C7" s="3">
        <v>1091433.216</v>
      </c>
      <c r="D7" s="3">
        <v>-119.666</v>
      </c>
      <c r="E7" s="4" t="s">
        <v>19</v>
      </c>
      <c r="F7" s="4">
        <v>823062.12959999999</v>
      </c>
      <c r="G7" s="4">
        <v>1091428.2174</v>
      </c>
      <c r="H7" s="4">
        <v>-122.47790000000001</v>
      </c>
    </row>
    <row r="8" spans="1:8" x14ac:dyDescent="0.25">
      <c r="A8" s="3" t="s">
        <v>20</v>
      </c>
      <c r="B8" s="3">
        <v>823067.47</v>
      </c>
      <c r="C8" s="3">
        <v>1091433.4950000001</v>
      </c>
      <c r="D8" s="3">
        <v>-119.625</v>
      </c>
      <c r="E8" s="4">
        <v>4</v>
      </c>
      <c r="F8" s="4">
        <v>823064.62520000001</v>
      </c>
      <c r="G8" s="4">
        <v>1091432.3953</v>
      </c>
      <c r="H8" s="4">
        <v>-122.3308</v>
      </c>
    </row>
    <row r="9" spans="1:8" x14ac:dyDescent="0.25">
      <c r="A9" s="3" t="s">
        <v>21</v>
      </c>
      <c r="B9" s="3">
        <v>823066.25899999996</v>
      </c>
      <c r="C9" s="3">
        <v>1091430.058</v>
      </c>
      <c r="D9" s="3">
        <v>-119.646</v>
      </c>
      <c r="E9" s="4" t="s">
        <v>22</v>
      </c>
      <c r="F9" s="4">
        <v>823027.5821</v>
      </c>
      <c r="G9" s="4">
        <v>1091409.5447</v>
      </c>
      <c r="H9" s="4">
        <v>-120.1687</v>
      </c>
    </row>
    <row r="10" spans="1:8" x14ac:dyDescent="0.25">
      <c r="A10" s="3" t="s">
        <v>23</v>
      </c>
      <c r="B10" s="3">
        <v>823062.86199999996</v>
      </c>
      <c r="C10" s="3">
        <v>1091431.463</v>
      </c>
      <c r="D10" s="3">
        <v>-119.506</v>
      </c>
      <c r="E10" s="4" t="s">
        <v>24</v>
      </c>
      <c r="F10" s="4">
        <v>823033.38289999997</v>
      </c>
      <c r="G10" s="4">
        <v>1091412.2664999999</v>
      </c>
      <c r="H10" s="4">
        <v>-120.268</v>
      </c>
    </row>
    <row r="11" spans="1:8" x14ac:dyDescent="0.25">
      <c r="A11" s="3" t="s">
        <v>25</v>
      </c>
      <c r="B11" s="3">
        <v>823063.76399999997</v>
      </c>
      <c r="C11" s="3">
        <v>1091428.6710000001</v>
      </c>
      <c r="D11" s="3">
        <v>-123.194</v>
      </c>
      <c r="E11" s="4" t="s">
        <v>26</v>
      </c>
      <c r="F11" s="4">
        <v>823023.49320000003</v>
      </c>
      <c r="G11" s="4">
        <v>1091418.3387</v>
      </c>
      <c r="H11" s="4">
        <v>-120.2346</v>
      </c>
    </row>
    <row r="12" spans="1:8" x14ac:dyDescent="0.25">
      <c r="A12" s="3" t="s">
        <v>27</v>
      </c>
      <c r="B12" s="3">
        <v>823063.83299999998</v>
      </c>
      <c r="C12" s="3">
        <v>1091428.8770000001</v>
      </c>
      <c r="D12" s="3">
        <v>-121.26</v>
      </c>
      <c r="E12" s="4" t="s">
        <v>28</v>
      </c>
      <c r="F12" s="4">
        <v>823029.28659999999</v>
      </c>
      <c r="G12" s="4">
        <v>1091421.0685000001</v>
      </c>
      <c r="H12" s="4">
        <v>-120.361</v>
      </c>
    </row>
    <row r="13" spans="1:8" x14ac:dyDescent="0.25">
      <c r="A13" s="3" t="s">
        <v>29</v>
      </c>
      <c r="B13" s="3">
        <v>823064.321</v>
      </c>
      <c r="C13" s="3">
        <v>1091430.227</v>
      </c>
      <c r="D13" s="3">
        <v>-119.907</v>
      </c>
      <c r="E13" s="4" t="s">
        <v>30</v>
      </c>
      <c r="F13" s="4">
        <v>823037.00619999995</v>
      </c>
      <c r="G13" s="4">
        <v>1091413.9497</v>
      </c>
      <c r="H13" s="4">
        <v>-120.34229999999999</v>
      </c>
    </row>
    <row r="14" spans="1:8" x14ac:dyDescent="0.25">
      <c r="A14" s="3" t="s">
        <v>31</v>
      </c>
      <c r="B14" s="3">
        <v>823064.17099999997</v>
      </c>
      <c r="C14" s="3">
        <v>1091432.0549999999</v>
      </c>
      <c r="D14" s="3">
        <v>-119.693</v>
      </c>
      <c r="E14" s="4" t="s">
        <v>32</v>
      </c>
      <c r="F14" s="4">
        <v>823032.86849999998</v>
      </c>
      <c r="G14" s="4">
        <v>1091422.6769999999</v>
      </c>
      <c r="H14" s="4">
        <v>-120.2773</v>
      </c>
    </row>
    <row r="15" spans="1:8" x14ac:dyDescent="0.25">
      <c r="A15" s="3" t="s">
        <v>33</v>
      </c>
      <c r="B15" s="3">
        <v>823062.94799999997</v>
      </c>
      <c r="C15" s="3">
        <v>1091433.2039999999</v>
      </c>
      <c r="D15" s="3">
        <v>-119.901</v>
      </c>
      <c r="E15" s="4" t="s">
        <v>34</v>
      </c>
      <c r="F15" s="4">
        <v>823037.99910000002</v>
      </c>
      <c r="G15" s="4">
        <v>1091425.0626000001</v>
      </c>
      <c r="H15" s="4">
        <v>-120.1584</v>
      </c>
    </row>
    <row r="16" spans="1:8" x14ac:dyDescent="0.25">
      <c r="A16" s="3" t="s">
        <v>35</v>
      </c>
      <c r="B16" s="3">
        <v>823061.56599999999</v>
      </c>
      <c r="C16" s="3">
        <v>1091433.7220000001</v>
      </c>
      <c r="D16" s="3">
        <v>-121.36499999999999</v>
      </c>
      <c r="E16" s="4" t="s">
        <v>36</v>
      </c>
      <c r="F16" s="4">
        <v>823042.07369999995</v>
      </c>
      <c r="G16" s="4">
        <v>1091416.3292</v>
      </c>
      <c r="H16" s="4">
        <v>-120.21129999999999</v>
      </c>
    </row>
    <row r="17" spans="1:8" x14ac:dyDescent="0.25">
      <c r="A17" s="3" t="s">
        <v>37</v>
      </c>
      <c r="B17" s="3">
        <v>823067.63199999998</v>
      </c>
      <c r="C17" s="3">
        <v>1091436.291</v>
      </c>
      <c r="D17" s="3">
        <v>-123.495</v>
      </c>
      <c r="E17" s="4" t="s">
        <v>38</v>
      </c>
      <c r="F17" s="4">
        <v>823064.62529999996</v>
      </c>
      <c r="G17" s="4">
        <v>1091432.3955000001</v>
      </c>
      <c r="H17" s="4">
        <v>-122.3308</v>
      </c>
    </row>
    <row r="18" spans="1:8" x14ac:dyDescent="0.25">
      <c r="A18" s="3" t="s">
        <v>39</v>
      </c>
      <c r="B18" s="3">
        <v>823067.77800000005</v>
      </c>
      <c r="C18" s="3">
        <v>1091436.014</v>
      </c>
      <c r="D18" s="3">
        <v>-121.07599999999999</v>
      </c>
      <c r="E18" s="4" t="s">
        <v>40</v>
      </c>
      <c r="F18" s="4">
        <v>823046.72829999996</v>
      </c>
      <c r="G18" s="4">
        <v>1091427.9431</v>
      </c>
      <c r="H18" s="4">
        <v>-120.7535</v>
      </c>
    </row>
    <row r="19" spans="1:8" x14ac:dyDescent="0.25">
      <c r="A19" s="3" t="s">
        <v>41</v>
      </c>
      <c r="B19" s="3">
        <v>823068.56799999997</v>
      </c>
      <c r="C19" s="3">
        <v>1091434.2579999999</v>
      </c>
      <c r="D19" s="3">
        <v>-119.834</v>
      </c>
      <c r="E19" s="4" t="s">
        <v>42</v>
      </c>
      <c r="F19" s="4">
        <v>823049.76029999997</v>
      </c>
      <c r="G19" s="4">
        <v>1091421.2601000001</v>
      </c>
      <c r="H19" s="4">
        <v>-120.51049999999999</v>
      </c>
    </row>
    <row r="20" spans="1:8" x14ac:dyDescent="0.25">
      <c r="A20" s="3" t="s">
        <v>43</v>
      </c>
      <c r="B20" s="3">
        <v>823069.47499999998</v>
      </c>
      <c r="C20" s="3">
        <v>1091432.3629999999</v>
      </c>
      <c r="D20" s="3">
        <v>-120.824</v>
      </c>
      <c r="E20" s="4" t="s">
        <v>44</v>
      </c>
      <c r="F20" s="4">
        <v>823059.96120000002</v>
      </c>
      <c r="G20" s="4">
        <v>1091432.8084</v>
      </c>
      <c r="H20" s="4">
        <v>-122.50749999999999</v>
      </c>
    </row>
    <row r="21" spans="1:8" x14ac:dyDescent="0.25">
      <c r="A21" s="3" t="s">
        <v>45</v>
      </c>
      <c r="B21" s="3">
        <v>823069.70400000003</v>
      </c>
      <c r="C21" s="3">
        <v>1091431.821</v>
      </c>
      <c r="D21" s="3">
        <v>-123.154</v>
      </c>
      <c r="E21" s="4" t="s">
        <v>46</v>
      </c>
      <c r="F21" s="4">
        <v>823050.92449999996</v>
      </c>
      <c r="G21" s="4">
        <v>1091428.3568</v>
      </c>
      <c r="H21" s="4">
        <v>-121.1237</v>
      </c>
    </row>
    <row r="22" spans="1:8" x14ac:dyDescent="0.25">
      <c r="A22" s="3" t="s">
        <v>47</v>
      </c>
      <c r="B22" s="3">
        <v>823062.13130000001</v>
      </c>
      <c r="C22" s="3">
        <v>1091428.2186</v>
      </c>
      <c r="D22" s="3">
        <v>-122.4777</v>
      </c>
      <c r="E22" s="4" t="s">
        <v>48</v>
      </c>
      <c r="F22" s="4">
        <v>823052.88300000003</v>
      </c>
      <c r="G22" s="4">
        <v>1091424.1551000001</v>
      </c>
      <c r="H22" s="4">
        <v>-121.2015</v>
      </c>
    </row>
    <row r="23" spans="1:8" x14ac:dyDescent="0.25">
      <c r="A23" s="3" t="s">
        <v>49</v>
      </c>
      <c r="B23" s="3">
        <v>823059.96030000004</v>
      </c>
      <c r="C23" s="3">
        <v>1091432.8091</v>
      </c>
      <c r="D23" s="3">
        <v>-122.50749999999999</v>
      </c>
      <c r="E23" s="4" t="s">
        <v>50</v>
      </c>
      <c r="F23" s="4">
        <v>823062.1298</v>
      </c>
      <c r="G23" s="4">
        <v>1091428.2175</v>
      </c>
      <c r="H23" s="4">
        <v>-122.47750000000001</v>
      </c>
    </row>
    <row r="24" spans="1:8" x14ac:dyDescent="0.25">
      <c r="A24" s="3" t="s">
        <v>51</v>
      </c>
      <c r="B24" s="3">
        <v>823058.06740000006</v>
      </c>
      <c r="C24" s="3">
        <v>1091432.0834999999</v>
      </c>
      <c r="D24" s="3">
        <v>-122.4089</v>
      </c>
      <c r="E24" s="4" t="s">
        <v>52</v>
      </c>
      <c r="F24" s="4">
        <v>823064.62520000001</v>
      </c>
      <c r="G24" s="4">
        <v>1091432.3953</v>
      </c>
      <c r="H24" s="4">
        <v>-122.3308</v>
      </c>
    </row>
    <row r="25" spans="1:8" x14ac:dyDescent="0.25">
      <c r="A25" s="3" t="s">
        <v>53</v>
      </c>
      <c r="B25" s="3">
        <v>823060.35820000002</v>
      </c>
      <c r="C25" s="3">
        <v>1091427.1366999999</v>
      </c>
      <c r="D25" s="3">
        <v>-122.3156</v>
      </c>
      <c r="E25" s="4" t="s">
        <v>54</v>
      </c>
      <c r="F25" s="4">
        <v>823037.94010000001</v>
      </c>
      <c r="G25" s="4">
        <v>1091420.0094000001</v>
      </c>
      <c r="H25" s="4">
        <v>-119.6391</v>
      </c>
    </row>
    <row r="26" spans="1:8" x14ac:dyDescent="0.25">
      <c r="A26" s="3" t="s">
        <v>55</v>
      </c>
      <c r="B26" s="3">
        <v>823056.94499999995</v>
      </c>
      <c r="C26" s="3">
        <v>1091431.632</v>
      </c>
      <c r="D26" s="3">
        <v>-122.565</v>
      </c>
      <c r="E26" s="4" t="s">
        <v>56</v>
      </c>
      <c r="F26" s="4">
        <v>823037.94019999995</v>
      </c>
      <c r="G26" s="4">
        <v>1091420.0092</v>
      </c>
      <c r="H26" s="4">
        <v>-119.6391</v>
      </c>
    </row>
    <row r="27" spans="1:8" x14ac:dyDescent="0.25">
      <c r="A27" s="3" t="s">
        <v>57</v>
      </c>
      <c r="B27" s="3">
        <v>823056.25179999997</v>
      </c>
      <c r="C27" s="3">
        <v>1091431.2397</v>
      </c>
      <c r="D27" s="3">
        <v>-122.49</v>
      </c>
      <c r="E27" s="4" t="s">
        <v>58</v>
      </c>
      <c r="F27" s="4">
        <v>823052.88280000002</v>
      </c>
      <c r="G27" s="4">
        <v>1091424.1551000001</v>
      </c>
      <c r="H27" s="4">
        <v>-121.20140000000001</v>
      </c>
    </row>
    <row r="28" spans="1:8" x14ac:dyDescent="0.25">
      <c r="A28" s="3" t="s">
        <v>59</v>
      </c>
      <c r="B28" s="3">
        <v>823053.64930000005</v>
      </c>
      <c r="C28" s="3">
        <v>1091429.8755999999</v>
      </c>
      <c r="D28" s="3">
        <v>-122.30929999999999</v>
      </c>
      <c r="E28" s="4" t="s">
        <v>60</v>
      </c>
      <c r="F28" s="4">
        <v>823062.12950000004</v>
      </c>
      <c r="G28" s="4">
        <v>1091428.2172999999</v>
      </c>
      <c r="H28" s="4">
        <v>-122.47799999999999</v>
      </c>
    </row>
    <row r="29" spans="1:8" x14ac:dyDescent="0.25">
      <c r="A29" s="3" t="s">
        <v>61</v>
      </c>
      <c r="B29" s="3">
        <v>823055.78289999999</v>
      </c>
      <c r="C29" s="3">
        <v>1091425.2671000001</v>
      </c>
      <c r="D29" s="3">
        <v>-122.3244</v>
      </c>
      <c r="E29" s="4" t="s">
        <v>62</v>
      </c>
      <c r="F29" s="4">
        <v>823059.96100000001</v>
      </c>
      <c r="G29" s="4">
        <v>1091432.8084</v>
      </c>
      <c r="H29" s="4">
        <v>-122.50749999999999</v>
      </c>
    </row>
    <row r="30" spans="1:8" x14ac:dyDescent="0.25">
      <c r="A30" s="3" t="s">
        <v>63</v>
      </c>
      <c r="B30" s="3">
        <v>823052.60510000004</v>
      </c>
      <c r="C30" s="3">
        <v>1091429.6169</v>
      </c>
      <c r="D30" s="3">
        <v>-122.4147</v>
      </c>
      <c r="E30" s="4" t="s">
        <v>64</v>
      </c>
      <c r="F30" s="4">
        <v>823050.92500000005</v>
      </c>
      <c r="G30" s="4">
        <v>1091428.3572</v>
      </c>
      <c r="H30" s="4">
        <v>-121.1236</v>
      </c>
    </row>
    <row r="31" spans="1:8" x14ac:dyDescent="0.25">
      <c r="A31" s="3" t="s">
        <v>65</v>
      </c>
      <c r="B31" s="3">
        <v>823054.88639999996</v>
      </c>
      <c r="C31" s="3">
        <v>1091424.7015</v>
      </c>
      <c r="D31" s="3">
        <v>-122.3229</v>
      </c>
      <c r="E31" s="4" t="s">
        <v>66</v>
      </c>
      <c r="F31" s="4">
        <v>823037.94010000001</v>
      </c>
      <c r="G31" s="4">
        <v>1091420.0094000001</v>
      </c>
      <c r="H31" s="4">
        <v>-119.6391</v>
      </c>
    </row>
    <row r="32" spans="1:8" x14ac:dyDescent="0.25">
      <c r="A32" s="3" t="s">
        <v>67</v>
      </c>
      <c r="B32" s="3">
        <v>823050.92390000005</v>
      </c>
      <c r="C32" s="3">
        <v>1091428.3594</v>
      </c>
      <c r="D32" s="3">
        <v>-121.1255</v>
      </c>
      <c r="E32" s="4" t="s">
        <v>68</v>
      </c>
      <c r="F32" s="4">
        <v>823064.26890000002</v>
      </c>
      <c r="G32" s="4">
        <v>1091439.96</v>
      </c>
      <c r="H32" s="4">
        <v>-123.1003</v>
      </c>
    </row>
    <row r="33" spans="1:8" x14ac:dyDescent="0.25">
      <c r="A33" s="3" t="s">
        <v>69</v>
      </c>
      <c r="B33" s="3">
        <v>823052.88450000004</v>
      </c>
      <c r="C33" s="3">
        <v>1091424.1569000001</v>
      </c>
      <c r="D33" s="3">
        <v>-121.2008</v>
      </c>
      <c r="E33" s="4" t="s">
        <v>70</v>
      </c>
      <c r="F33" s="4">
        <v>823065.875</v>
      </c>
      <c r="G33" s="4">
        <v>1091436.5338000001</v>
      </c>
      <c r="H33" s="4">
        <v>-122.9979</v>
      </c>
    </row>
    <row r="34" spans="1:8" x14ac:dyDescent="0.25">
      <c r="A34" s="3" t="s">
        <v>71</v>
      </c>
      <c r="B34" s="3">
        <v>823050.39599999995</v>
      </c>
      <c r="C34" s="3">
        <v>1091428.7860000001</v>
      </c>
      <c r="D34" s="3">
        <v>-121.88200000000001</v>
      </c>
      <c r="E34" s="4" t="s">
        <v>72</v>
      </c>
      <c r="F34" s="4">
        <v>823068.73739999998</v>
      </c>
      <c r="G34" s="4">
        <v>1091430.3924</v>
      </c>
      <c r="H34" s="4">
        <v>-122.8955</v>
      </c>
    </row>
    <row r="35" spans="1:8" x14ac:dyDescent="0.25">
      <c r="A35" s="3" t="s">
        <v>73</v>
      </c>
      <c r="B35" s="3">
        <v>823052.853</v>
      </c>
      <c r="C35" s="3">
        <v>1091423.5020000001</v>
      </c>
      <c r="D35" s="3">
        <v>-121.602</v>
      </c>
      <c r="E35" s="4" t="s">
        <v>74</v>
      </c>
      <c r="F35" s="4">
        <v>823070.72470000002</v>
      </c>
      <c r="G35" s="4">
        <v>1091426.2290000001</v>
      </c>
      <c r="H35" s="4">
        <v>-122.6177</v>
      </c>
    </row>
    <row r="36" spans="1:8" x14ac:dyDescent="0.25">
      <c r="A36" s="3" t="s">
        <v>75</v>
      </c>
      <c r="B36" s="3">
        <v>823052.38939999999</v>
      </c>
      <c r="C36" s="3">
        <v>1091423.4109</v>
      </c>
      <c r="D36" s="3">
        <v>-121.1957</v>
      </c>
      <c r="E36" s="4" t="s">
        <v>76</v>
      </c>
      <c r="F36" s="4">
        <v>823069.40520000004</v>
      </c>
      <c r="G36" s="4">
        <v>1091431.3265</v>
      </c>
      <c r="H36" s="4">
        <v>-122.92440000000001</v>
      </c>
    </row>
    <row r="37" spans="1:8" x14ac:dyDescent="0.25">
      <c r="A37" s="3" t="s">
        <v>75</v>
      </c>
      <c r="B37" s="3">
        <v>823052.38939999999</v>
      </c>
      <c r="C37" s="3">
        <v>1091423.4109</v>
      </c>
      <c r="D37" s="3">
        <v>-121.1957</v>
      </c>
      <c r="E37" s="4" t="s">
        <v>77</v>
      </c>
      <c r="F37" s="4">
        <v>823071.38130000001</v>
      </c>
      <c r="G37" s="4">
        <v>1091438.0955000001</v>
      </c>
      <c r="H37" s="4">
        <v>-122.6268</v>
      </c>
    </row>
    <row r="38" spans="1:8" x14ac:dyDescent="0.25">
      <c r="A38" s="3" t="s">
        <v>78</v>
      </c>
      <c r="B38" s="3">
        <v>823048.07290000003</v>
      </c>
      <c r="C38" s="3">
        <v>1091428.1936999999</v>
      </c>
      <c r="D38" s="3">
        <v>-120.9751</v>
      </c>
      <c r="E38" s="4" t="s">
        <v>79</v>
      </c>
      <c r="F38" s="4">
        <v>823075.93420000002</v>
      </c>
      <c r="G38" s="4">
        <v>1091440.2429</v>
      </c>
      <c r="H38" s="4">
        <v>-122.65049999999999</v>
      </c>
    </row>
    <row r="39" spans="1:8" x14ac:dyDescent="0.25">
      <c r="A39" s="3" t="s">
        <v>80</v>
      </c>
      <c r="B39" s="3">
        <v>823046.7267</v>
      </c>
      <c r="C39" s="3">
        <v>1091427.9469000001</v>
      </c>
      <c r="D39" s="3">
        <v>-120.75149999999999</v>
      </c>
      <c r="E39" s="4" t="s">
        <v>81</v>
      </c>
      <c r="F39" s="4">
        <v>823069.43429999996</v>
      </c>
      <c r="G39" s="4">
        <v>1091437.4257</v>
      </c>
      <c r="H39" s="4">
        <v>-122.6677</v>
      </c>
    </row>
    <row r="40" spans="1:8" x14ac:dyDescent="0.25">
      <c r="A40" s="3" t="s">
        <v>82</v>
      </c>
      <c r="B40" s="3">
        <v>823049.76029999997</v>
      </c>
      <c r="C40" s="3">
        <v>1091421.2608</v>
      </c>
      <c r="D40" s="3">
        <v>-120.51</v>
      </c>
      <c r="E40" s="4" t="s">
        <v>83</v>
      </c>
      <c r="F40" s="4">
        <v>823072.59519999998</v>
      </c>
      <c r="G40" s="4">
        <v>1091432.9246</v>
      </c>
      <c r="H40" s="4">
        <v>-122.4969</v>
      </c>
    </row>
    <row r="41" spans="1:8" x14ac:dyDescent="0.25">
      <c r="A41" s="3" t="s">
        <v>84</v>
      </c>
      <c r="B41" s="3">
        <v>823045.41669999994</v>
      </c>
      <c r="C41" s="3">
        <v>1091427.9114999999</v>
      </c>
      <c r="D41" s="3">
        <v>-120.5945</v>
      </c>
      <c r="E41" s="4" t="s">
        <v>85</v>
      </c>
      <c r="F41" s="4">
        <v>823072.09450000001</v>
      </c>
      <c r="G41" s="4">
        <v>1091423.5882999999</v>
      </c>
      <c r="H41" s="4">
        <v>-122.6888</v>
      </c>
    </row>
    <row r="42" spans="1:8" x14ac:dyDescent="0.25">
      <c r="A42" s="3" t="s">
        <v>86</v>
      </c>
      <c r="B42" s="3">
        <v>823048.36179999996</v>
      </c>
      <c r="C42" s="3">
        <v>1091419.6240999999</v>
      </c>
      <c r="D42" s="3">
        <v>-120.3824</v>
      </c>
      <c r="E42" s="4" t="s">
        <v>87</v>
      </c>
      <c r="F42" s="4">
        <v>823060.10400000005</v>
      </c>
      <c r="G42" s="4">
        <v>1091449.2143000001</v>
      </c>
      <c r="H42" s="4">
        <v>-122.4083</v>
      </c>
    </row>
    <row r="43" spans="1:8" x14ac:dyDescent="0.25">
      <c r="A43" s="3" t="s">
        <v>88</v>
      </c>
      <c r="B43" s="3">
        <v>823042.91839999997</v>
      </c>
      <c r="C43" s="3">
        <v>1091427.5917</v>
      </c>
      <c r="D43" s="3">
        <v>-120.0873</v>
      </c>
    </row>
    <row r="44" spans="1:8" x14ac:dyDescent="0.25">
      <c r="A44" s="3" t="s">
        <v>89</v>
      </c>
      <c r="B44" s="3">
        <v>823047.09939999995</v>
      </c>
      <c r="C44" s="3">
        <v>1091418.5462</v>
      </c>
      <c r="D44" s="3">
        <v>-120.0256</v>
      </c>
    </row>
    <row r="45" spans="1:8" x14ac:dyDescent="0.25">
      <c r="A45" s="3" t="s">
        <v>90</v>
      </c>
      <c r="B45" s="3">
        <v>823041.60250000004</v>
      </c>
      <c r="C45" s="3">
        <v>1091426.7675999999</v>
      </c>
      <c r="D45" s="3">
        <v>-120.3382</v>
      </c>
    </row>
    <row r="46" spans="1:8" x14ac:dyDescent="0.25">
      <c r="A46" s="3" t="s">
        <v>91</v>
      </c>
      <c r="B46" s="3">
        <v>823045.67350000003</v>
      </c>
      <c r="C46" s="3">
        <v>1091418.0194999999</v>
      </c>
      <c r="D46" s="3">
        <v>-120.2671</v>
      </c>
    </row>
    <row r="47" spans="1:8" x14ac:dyDescent="0.25">
      <c r="A47" s="3" t="s">
        <v>92</v>
      </c>
      <c r="B47" s="3">
        <v>823039.76699999999</v>
      </c>
      <c r="C47" s="3">
        <v>1091426.0249999999</v>
      </c>
      <c r="D47" s="3">
        <v>-119.82599999999999</v>
      </c>
    </row>
    <row r="48" spans="1:8" x14ac:dyDescent="0.25">
      <c r="A48" s="3" t="s">
        <v>93</v>
      </c>
      <c r="B48" s="3">
        <v>823043.228</v>
      </c>
      <c r="C48" s="3">
        <v>1091416.638</v>
      </c>
      <c r="D48" s="3">
        <v>-119.985</v>
      </c>
    </row>
    <row r="49" spans="1:4" x14ac:dyDescent="0.25">
      <c r="A49" s="3" t="s">
        <v>94</v>
      </c>
      <c r="B49" s="3">
        <v>823037.99899999995</v>
      </c>
      <c r="C49" s="3">
        <v>1091425.0660000001</v>
      </c>
      <c r="D49" s="3">
        <v>-120.157</v>
      </c>
    </row>
    <row r="50" spans="1:4" x14ac:dyDescent="0.25">
      <c r="A50" s="3" t="s">
        <v>95</v>
      </c>
      <c r="B50" s="3">
        <v>823042.07299999997</v>
      </c>
      <c r="C50" s="3">
        <v>1091416.3289999999</v>
      </c>
      <c r="D50" s="3">
        <v>-120.212</v>
      </c>
    </row>
    <row r="51" spans="1:4" x14ac:dyDescent="0.25">
      <c r="A51" s="3" t="s">
        <v>96</v>
      </c>
      <c r="B51" s="3">
        <v>823035.11100000003</v>
      </c>
      <c r="C51" s="3">
        <v>1091423.7679999999</v>
      </c>
      <c r="D51" s="3">
        <v>-120.18899999999999</v>
      </c>
    </row>
    <row r="52" spans="1:4" x14ac:dyDescent="0.25">
      <c r="A52" s="3" t="s">
        <v>97</v>
      </c>
      <c r="B52" s="3">
        <v>823038.94</v>
      </c>
      <c r="C52" s="3">
        <v>1091414.602</v>
      </c>
      <c r="D52" s="3">
        <v>-120.107</v>
      </c>
    </row>
    <row r="53" spans="1:4" x14ac:dyDescent="0.25">
      <c r="A53" s="3" t="s">
        <v>98</v>
      </c>
      <c r="B53" s="3">
        <v>823033.88600000006</v>
      </c>
      <c r="C53" s="3">
        <v>1091423.4950000001</v>
      </c>
      <c r="D53" s="3">
        <v>-120.242</v>
      </c>
    </row>
    <row r="54" spans="1:4" x14ac:dyDescent="0.25">
      <c r="A54" s="3" t="s">
        <v>99</v>
      </c>
      <c r="B54" s="3">
        <v>823037.00699999998</v>
      </c>
      <c r="C54" s="3">
        <v>1091413.95</v>
      </c>
      <c r="D54" s="3">
        <v>-120.343</v>
      </c>
    </row>
    <row r="55" spans="1:4" x14ac:dyDescent="0.25">
      <c r="A55" s="3" t="s">
        <v>100</v>
      </c>
      <c r="B55" s="3">
        <v>823032.86899999995</v>
      </c>
      <c r="C55" s="3">
        <v>1091422.682</v>
      </c>
      <c r="D55" s="3">
        <v>-120.27800000000001</v>
      </c>
    </row>
    <row r="56" spans="1:4" x14ac:dyDescent="0.25">
      <c r="A56" s="3" t="s">
        <v>101</v>
      </c>
      <c r="B56" s="3">
        <v>823030.005</v>
      </c>
      <c r="C56" s="3">
        <v>1091421.395</v>
      </c>
      <c r="D56" s="3">
        <v>-120.31</v>
      </c>
    </row>
    <row r="57" spans="1:4" x14ac:dyDescent="0.25">
      <c r="A57" s="3" t="s">
        <v>102</v>
      </c>
      <c r="B57" s="3">
        <v>823034.10100000002</v>
      </c>
      <c r="C57" s="3">
        <v>1091412.5989999999</v>
      </c>
      <c r="D57" s="3">
        <v>-120.256</v>
      </c>
    </row>
    <row r="58" spans="1:4" x14ac:dyDescent="0.25">
      <c r="A58" s="3" t="s">
        <v>103</v>
      </c>
      <c r="B58" s="3">
        <v>823029.28599999996</v>
      </c>
      <c r="C58" s="3">
        <v>1091421.075</v>
      </c>
      <c r="D58" s="3">
        <v>-120.357</v>
      </c>
    </row>
    <row r="59" spans="1:4" x14ac:dyDescent="0.25">
      <c r="A59" s="3" t="s">
        <v>104</v>
      </c>
      <c r="B59" s="3">
        <v>823033.38500000001</v>
      </c>
      <c r="C59" s="3">
        <v>1091412.2649999999</v>
      </c>
      <c r="D59" s="3">
        <v>-120.26600000000001</v>
      </c>
    </row>
    <row r="60" spans="1:4" x14ac:dyDescent="0.25">
      <c r="A60" s="3" t="s">
        <v>105</v>
      </c>
      <c r="B60" s="3">
        <v>823025.91099999996</v>
      </c>
      <c r="C60" s="3">
        <v>1091419.72</v>
      </c>
      <c r="D60" s="3">
        <v>-119.80800000000001</v>
      </c>
    </row>
    <row r="61" spans="1:4" x14ac:dyDescent="0.25">
      <c r="A61" s="3" t="s">
        <v>106</v>
      </c>
      <c r="B61" s="3">
        <v>823030.21299999999</v>
      </c>
      <c r="C61" s="3">
        <v>1091410.4809999999</v>
      </c>
      <c r="D61" s="3">
        <v>-119.94799999999999</v>
      </c>
    </row>
    <row r="62" spans="1:4" x14ac:dyDescent="0.25">
      <c r="A62" s="3" t="s">
        <v>107</v>
      </c>
      <c r="B62" s="3">
        <v>823027.58299999998</v>
      </c>
      <c r="C62" s="3">
        <v>1091409.5419999999</v>
      </c>
      <c r="D62" s="3">
        <v>-120.167</v>
      </c>
    </row>
    <row r="63" spans="1:4" x14ac:dyDescent="0.25">
      <c r="A63" s="3" t="s">
        <v>108</v>
      </c>
      <c r="B63" s="3">
        <v>823023.49100000004</v>
      </c>
      <c r="C63" s="3">
        <v>1091418.3459999999</v>
      </c>
      <c r="D63" s="3">
        <v>-120.23399999999999</v>
      </c>
    </row>
    <row r="64" spans="1:4" x14ac:dyDescent="0.25">
      <c r="A64" s="3" t="s">
        <v>109</v>
      </c>
      <c r="B64" s="3">
        <v>823062.48800000001</v>
      </c>
      <c r="C64" s="3">
        <v>1091428.3659999999</v>
      </c>
      <c r="D64" s="3">
        <v>-123.06100000000001</v>
      </c>
    </row>
    <row r="65" spans="1:4" x14ac:dyDescent="0.25">
      <c r="A65" s="3" t="s">
        <v>110</v>
      </c>
      <c r="B65" s="3">
        <v>823062.04</v>
      </c>
      <c r="C65" s="3">
        <v>1091429.24</v>
      </c>
      <c r="D65" s="3">
        <v>-120.072</v>
      </c>
    </row>
    <row r="66" spans="1:4" x14ac:dyDescent="0.25">
      <c r="A66" s="3" t="s">
        <v>111</v>
      </c>
      <c r="B66" s="3">
        <v>823061.27899999998</v>
      </c>
      <c r="C66" s="3">
        <v>1091430.594</v>
      </c>
      <c r="D66" s="3">
        <v>-119.688</v>
      </c>
    </row>
    <row r="67" spans="1:4" x14ac:dyDescent="0.25">
      <c r="A67" s="3" t="s">
        <v>112</v>
      </c>
      <c r="B67" s="3">
        <v>823060.27</v>
      </c>
      <c r="C67" s="3">
        <v>1091433.03</v>
      </c>
      <c r="D67" s="3">
        <v>-123.133</v>
      </c>
    </row>
    <row r="68" spans="1:4" x14ac:dyDescent="0.25">
      <c r="A68" s="3" t="s">
        <v>113</v>
      </c>
      <c r="B68" s="3">
        <v>823058.96900000004</v>
      </c>
      <c r="C68" s="3">
        <v>1091426.6680000001</v>
      </c>
      <c r="D68" s="3">
        <v>-123.06100000000001</v>
      </c>
    </row>
    <row r="69" spans="1:4" x14ac:dyDescent="0.25">
      <c r="A69" s="3" t="s">
        <v>114</v>
      </c>
      <c r="B69" s="3">
        <v>823058.93</v>
      </c>
      <c r="C69" s="3">
        <v>1091426.75</v>
      </c>
      <c r="D69" s="3">
        <v>-121.13200000000001</v>
      </c>
    </row>
    <row r="70" spans="1:4" x14ac:dyDescent="0.25">
      <c r="A70" s="3" t="s">
        <v>115</v>
      </c>
      <c r="B70" s="3">
        <v>823058.01800000004</v>
      </c>
      <c r="C70" s="3">
        <v>1091429.0730000001</v>
      </c>
      <c r="D70" s="3">
        <v>-119.71</v>
      </c>
    </row>
    <row r="71" spans="1:4" x14ac:dyDescent="0.25">
      <c r="A71" s="3" t="s">
        <v>116</v>
      </c>
      <c r="B71" s="3">
        <v>823056.7193</v>
      </c>
      <c r="C71" s="3">
        <v>1091431.4434</v>
      </c>
      <c r="D71" s="3">
        <v>-123.0132</v>
      </c>
    </row>
    <row r="72" spans="1:4" x14ac:dyDescent="0.25">
      <c r="A72" s="3" t="s">
        <v>117</v>
      </c>
      <c r="B72" s="3">
        <v>823049.40330000001</v>
      </c>
      <c r="C72" s="3">
        <v>1091420.8762000001</v>
      </c>
      <c r="D72" s="3">
        <v>-120.1528</v>
      </c>
    </row>
    <row r="73" spans="1:4" x14ac:dyDescent="0.25">
      <c r="A73" s="3" t="s">
        <v>118</v>
      </c>
      <c r="B73" s="3">
        <v>823048.76159999997</v>
      </c>
      <c r="C73" s="3">
        <v>1091422.0622</v>
      </c>
      <c r="D73" s="3">
        <v>-118.2345</v>
      </c>
    </row>
    <row r="74" spans="1:4" x14ac:dyDescent="0.25">
      <c r="A74" s="3" t="s">
        <v>119</v>
      </c>
      <c r="B74" s="3">
        <v>823047.6764</v>
      </c>
      <c r="C74" s="3">
        <v>1091424.4419</v>
      </c>
      <c r="D74" s="3">
        <v>-117.5236</v>
      </c>
    </row>
    <row r="75" spans="1:4" x14ac:dyDescent="0.25">
      <c r="A75" s="3" t="s">
        <v>120</v>
      </c>
      <c r="B75" s="3">
        <v>823046.18709999998</v>
      </c>
      <c r="C75" s="3">
        <v>1091428.0134999999</v>
      </c>
      <c r="D75" s="3">
        <v>-120.7287</v>
      </c>
    </row>
    <row r="76" spans="1:4" x14ac:dyDescent="0.25">
      <c r="A76" s="3" t="s">
        <v>121</v>
      </c>
      <c r="B76" s="3">
        <v>823042.44900000002</v>
      </c>
      <c r="C76" s="3">
        <v>1091416.267</v>
      </c>
      <c r="D76" s="3">
        <v>-120.479</v>
      </c>
    </row>
    <row r="77" spans="1:4" x14ac:dyDescent="0.25">
      <c r="A77" s="3" t="s">
        <v>122</v>
      </c>
      <c r="B77" s="3">
        <v>823041.69299999997</v>
      </c>
      <c r="C77" s="3">
        <v>1091417.8700000001</v>
      </c>
      <c r="D77" s="3">
        <v>-117.145</v>
      </c>
    </row>
    <row r="78" spans="1:4" x14ac:dyDescent="0.25">
      <c r="A78" s="3" t="s">
        <v>123</v>
      </c>
      <c r="B78" s="3">
        <v>823040.47499999998</v>
      </c>
      <c r="C78" s="3">
        <v>1091420.638</v>
      </c>
      <c r="D78" s="3">
        <v>-116.008</v>
      </c>
    </row>
    <row r="79" spans="1:4" x14ac:dyDescent="0.25">
      <c r="A79" s="3" t="s">
        <v>124</v>
      </c>
      <c r="B79" s="3">
        <v>823038.99560000002</v>
      </c>
      <c r="C79" s="3">
        <v>1091423.6797</v>
      </c>
      <c r="D79" s="3">
        <v>-117.161</v>
      </c>
    </row>
    <row r="80" spans="1:4" x14ac:dyDescent="0.25">
      <c r="A80" s="3" t="s">
        <v>125</v>
      </c>
      <c r="B80" s="3">
        <v>823038.15350000001</v>
      </c>
      <c r="C80" s="3">
        <v>1091425.503</v>
      </c>
      <c r="D80" s="3">
        <v>-120.5247</v>
      </c>
    </row>
    <row r="81" spans="1:4" x14ac:dyDescent="0.25">
      <c r="A81" s="3" t="s">
        <v>126</v>
      </c>
      <c r="B81" s="3">
        <v>823062.60809999995</v>
      </c>
      <c r="C81" s="3">
        <v>1091445.2268000001</v>
      </c>
      <c r="D81" s="3">
        <v>-123.581</v>
      </c>
    </row>
    <row r="82" spans="1:4" x14ac:dyDescent="0.25">
      <c r="A82" s="3" t="s">
        <v>127</v>
      </c>
      <c r="B82" s="3">
        <v>823056.94440000004</v>
      </c>
      <c r="C82" s="3">
        <v>1091442.4034</v>
      </c>
      <c r="D82" s="3">
        <v>-123.4635</v>
      </c>
    </row>
    <row r="83" spans="1:4" x14ac:dyDescent="0.25">
      <c r="A83" s="3" t="s">
        <v>128</v>
      </c>
      <c r="B83" s="3">
        <v>823063.91850000003</v>
      </c>
      <c r="C83" s="3">
        <v>1091440.9199000001</v>
      </c>
      <c r="D83" s="3">
        <v>-122.22790000000001</v>
      </c>
    </row>
    <row r="84" spans="1:4" x14ac:dyDescent="0.25">
      <c r="A84" s="3" t="s">
        <v>129</v>
      </c>
      <c r="B84" s="3">
        <v>823059.86690000002</v>
      </c>
      <c r="C84" s="3">
        <v>1091437.9308</v>
      </c>
      <c r="D84" s="3">
        <v>-123.1131</v>
      </c>
    </row>
    <row r="85" spans="1:4" x14ac:dyDescent="0.25">
      <c r="A85" s="3" t="s">
        <v>130</v>
      </c>
      <c r="B85" s="3">
        <v>823064.2683</v>
      </c>
      <c r="C85" s="3">
        <v>1091439.9623</v>
      </c>
      <c r="D85" s="3">
        <v>-123.1016</v>
      </c>
    </row>
    <row r="86" spans="1:4" x14ac:dyDescent="0.25">
      <c r="A86" s="3" t="s">
        <v>131</v>
      </c>
      <c r="B86" s="3">
        <v>823059.69830000005</v>
      </c>
      <c r="C86" s="3">
        <v>1091437.8104000001</v>
      </c>
      <c r="D86" s="3">
        <v>-122.09139999999999</v>
      </c>
    </row>
    <row r="87" spans="1:4" x14ac:dyDescent="0.25">
      <c r="A87" s="3" t="s">
        <v>132</v>
      </c>
      <c r="B87" s="3">
        <v>823064.96310000005</v>
      </c>
      <c r="C87" s="3">
        <v>1091438.9491999999</v>
      </c>
      <c r="D87" s="3">
        <v>-122.2025</v>
      </c>
    </row>
    <row r="88" spans="1:4" x14ac:dyDescent="0.25">
      <c r="A88" s="3" t="s">
        <v>133</v>
      </c>
      <c r="B88" s="3">
        <v>823065.85060000001</v>
      </c>
      <c r="C88" s="3">
        <v>1091436.9913000001</v>
      </c>
      <c r="D88" s="3">
        <v>-122.60809999999999</v>
      </c>
    </row>
    <row r="89" spans="1:4" x14ac:dyDescent="0.25">
      <c r="A89" s="3" t="s">
        <v>134</v>
      </c>
      <c r="B89" s="3">
        <v>823061.48060000001</v>
      </c>
      <c r="C89" s="3">
        <v>1091434.5194999999</v>
      </c>
      <c r="D89" s="3">
        <v>-123.04640000000001</v>
      </c>
    </row>
    <row r="90" spans="1:4" x14ac:dyDescent="0.25">
      <c r="A90" s="3" t="s">
        <v>135</v>
      </c>
      <c r="B90" s="3">
        <v>823065.87540000002</v>
      </c>
      <c r="C90" s="3">
        <v>1091436.5367000001</v>
      </c>
      <c r="D90" s="3">
        <v>-122.9988</v>
      </c>
    </row>
    <row r="91" spans="1:4" x14ac:dyDescent="0.25">
      <c r="A91" s="3" t="s">
        <v>136</v>
      </c>
      <c r="B91" s="3">
        <v>823066.09169999999</v>
      </c>
      <c r="C91" s="3">
        <v>1091436.6044000001</v>
      </c>
      <c r="D91" s="3">
        <v>-122.4785</v>
      </c>
    </row>
    <row r="92" spans="1:4" x14ac:dyDescent="0.25">
      <c r="A92" s="3" t="s">
        <v>137</v>
      </c>
      <c r="B92" s="3">
        <v>823066.44369999995</v>
      </c>
      <c r="C92" s="3">
        <v>1091436.1883</v>
      </c>
      <c r="D92" s="3">
        <v>-122.5902</v>
      </c>
    </row>
    <row r="93" spans="1:4" x14ac:dyDescent="0.25">
      <c r="A93" s="3" t="s">
        <v>138</v>
      </c>
      <c r="B93" s="3">
        <v>823075.82649999997</v>
      </c>
      <c r="C93" s="3">
        <v>1091440.3691</v>
      </c>
      <c r="D93" s="3">
        <v>-122.4636</v>
      </c>
    </row>
    <row r="94" spans="1:4" x14ac:dyDescent="0.25">
      <c r="A94" s="3" t="s">
        <v>139</v>
      </c>
      <c r="B94" s="3">
        <v>823061.60199999996</v>
      </c>
      <c r="C94" s="3">
        <v>1091433.7180000001</v>
      </c>
      <c r="D94" s="3">
        <v>-122.158</v>
      </c>
    </row>
    <row r="95" spans="1:4" x14ac:dyDescent="0.25">
      <c r="A95" s="3" t="s">
        <v>140</v>
      </c>
      <c r="B95" s="3">
        <v>823062.85719999997</v>
      </c>
      <c r="C95" s="3">
        <v>1091431.2108</v>
      </c>
      <c r="D95" s="3">
        <v>-122.1622</v>
      </c>
    </row>
    <row r="96" spans="1:4" x14ac:dyDescent="0.25">
      <c r="A96" s="3" t="s">
        <v>141</v>
      </c>
      <c r="B96" s="3">
        <v>823065.32</v>
      </c>
      <c r="C96" s="3">
        <v>1091431.6270000001</v>
      </c>
      <c r="D96" s="3">
        <v>-124.083</v>
      </c>
    </row>
    <row r="97" spans="1:4" x14ac:dyDescent="0.25">
      <c r="A97" s="3" t="s">
        <v>142</v>
      </c>
      <c r="B97" s="3">
        <v>823063.32499999995</v>
      </c>
      <c r="C97" s="3">
        <v>1091430.3430000001</v>
      </c>
      <c r="D97" s="3">
        <v>-121.861</v>
      </c>
    </row>
    <row r="98" spans="1:4" x14ac:dyDescent="0.25">
      <c r="A98" s="3" t="s">
        <v>142</v>
      </c>
      <c r="B98" s="3">
        <v>823063.326</v>
      </c>
      <c r="C98" s="3">
        <v>1091430.3430000001</v>
      </c>
      <c r="D98" s="3">
        <v>-121.861</v>
      </c>
    </row>
    <row r="99" spans="1:4" x14ac:dyDescent="0.25">
      <c r="A99" s="3" t="s">
        <v>143</v>
      </c>
      <c r="B99" s="3">
        <v>823068.7868</v>
      </c>
      <c r="C99" s="3">
        <v>1091430.9661999999</v>
      </c>
      <c r="D99" s="3">
        <v>-121.9222</v>
      </c>
    </row>
    <row r="100" spans="1:4" x14ac:dyDescent="0.25">
      <c r="A100" s="3" t="s">
        <v>144</v>
      </c>
      <c r="B100" s="3">
        <v>823068.73699999996</v>
      </c>
      <c r="C100" s="3">
        <v>1091430.392</v>
      </c>
      <c r="D100" s="3">
        <v>-122.896</v>
      </c>
    </row>
    <row r="101" spans="1:4" x14ac:dyDescent="0.25">
      <c r="A101" s="3" t="s">
        <v>145</v>
      </c>
      <c r="B101" s="3">
        <v>823064.34389999998</v>
      </c>
      <c r="C101" s="3">
        <v>1091428.3284</v>
      </c>
      <c r="D101" s="3">
        <v>-123.01260000000001</v>
      </c>
    </row>
    <row r="102" spans="1:4" x14ac:dyDescent="0.25">
      <c r="A102" s="3" t="s">
        <v>146</v>
      </c>
      <c r="B102" s="3">
        <v>823066.02320000005</v>
      </c>
      <c r="C102" s="3">
        <v>1091424.1142</v>
      </c>
      <c r="D102" s="3">
        <v>-122.5116</v>
      </c>
    </row>
    <row r="103" spans="1:4" x14ac:dyDescent="0.25">
      <c r="A103" s="3" t="s">
        <v>147</v>
      </c>
      <c r="B103" s="3">
        <v>823070.85459999996</v>
      </c>
      <c r="C103" s="3">
        <v>1091426.3182999999</v>
      </c>
      <c r="D103" s="3">
        <v>-122.5057</v>
      </c>
    </row>
    <row r="104" spans="1:4" x14ac:dyDescent="0.25">
      <c r="A104" s="3" t="s">
        <v>148</v>
      </c>
      <c r="B104" s="3">
        <v>823066.20739999996</v>
      </c>
      <c r="C104" s="3">
        <v>1091424.1454</v>
      </c>
      <c r="D104" s="3">
        <v>-122.65260000000001</v>
      </c>
    </row>
    <row r="105" spans="1:4" x14ac:dyDescent="0.25">
      <c r="A105" s="3" t="s">
        <v>149</v>
      </c>
      <c r="B105" s="3">
        <v>823070.72589999996</v>
      </c>
      <c r="C105" s="3">
        <v>1091426.2291999999</v>
      </c>
      <c r="D105" s="3">
        <v>-122.61669999999999</v>
      </c>
    </row>
    <row r="106" spans="1:4" x14ac:dyDescent="0.25">
      <c r="A106" s="3" t="s">
        <v>150</v>
      </c>
      <c r="B106" s="3">
        <v>823067.57030000002</v>
      </c>
      <c r="C106" s="3">
        <v>1091423.1973999999</v>
      </c>
      <c r="D106" s="3">
        <v>-121.895</v>
      </c>
    </row>
    <row r="107" spans="1:4" x14ac:dyDescent="0.25">
      <c r="A107" s="3" t="s">
        <v>151</v>
      </c>
      <c r="B107" s="3">
        <v>823066.98899999994</v>
      </c>
      <c r="C107" s="3">
        <v>1091422.263</v>
      </c>
      <c r="D107" s="3">
        <v>-122.833</v>
      </c>
    </row>
    <row r="108" spans="1:4" x14ac:dyDescent="0.25">
      <c r="A108" s="3" t="s">
        <v>152</v>
      </c>
      <c r="B108" s="3">
        <v>823072.09519999998</v>
      </c>
      <c r="C108" s="3">
        <v>1091423.5885999999</v>
      </c>
      <c r="D108" s="3">
        <v>-122.68989999999999</v>
      </c>
    </row>
    <row r="109" spans="1:4" x14ac:dyDescent="0.25">
      <c r="A109" s="3" t="s">
        <v>153</v>
      </c>
      <c r="B109" s="3">
        <v>823072.86399999994</v>
      </c>
      <c r="C109" s="3">
        <v>1091421.747</v>
      </c>
      <c r="D109" s="3">
        <v>-122.496</v>
      </c>
    </row>
    <row r="110" spans="1:4" x14ac:dyDescent="0.25">
      <c r="A110" s="3" t="s">
        <v>154</v>
      </c>
      <c r="B110" s="3">
        <v>823068.35990000004</v>
      </c>
      <c r="C110" s="3">
        <v>1091419.5896000001</v>
      </c>
      <c r="D110" s="3">
        <v>-122.4862</v>
      </c>
    </row>
    <row r="111" spans="1:4" x14ac:dyDescent="0.25">
      <c r="A111" s="3" t="s">
        <v>155</v>
      </c>
      <c r="B111" s="3">
        <v>823070.26399999997</v>
      </c>
      <c r="C111" s="3">
        <v>1091415.0009999999</v>
      </c>
      <c r="D111" s="3">
        <v>-122.405</v>
      </c>
    </row>
    <row r="112" spans="1:4" x14ac:dyDescent="0.25">
      <c r="A112" s="3" t="s">
        <v>156</v>
      </c>
      <c r="B112" s="3">
        <v>823075.38800000004</v>
      </c>
      <c r="C112" s="3">
        <v>1091416.2773</v>
      </c>
      <c r="D112" s="3">
        <v>-122.3588</v>
      </c>
    </row>
    <row r="113" spans="1:4" x14ac:dyDescent="0.25">
      <c r="A113" s="3" t="s">
        <v>157</v>
      </c>
      <c r="B113" s="3">
        <v>823075.95400000003</v>
      </c>
      <c r="C113" s="3">
        <v>1091415.4750000001</v>
      </c>
      <c r="D113" s="3">
        <v>-122.342</v>
      </c>
    </row>
    <row r="114" spans="1:4" x14ac:dyDescent="0.25">
      <c r="A114" s="3" t="s">
        <v>158</v>
      </c>
      <c r="B114" s="3">
        <v>823075.96100000001</v>
      </c>
      <c r="C114" s="3">
        <v>1091415.473</v>
      </c>
      <c r="D114" s="3">
        <v>-122.34099999999999</v>
      </c>
    </row>
    <row r="115" spans="1:4" x14ac:dyDescent="0.25">
      <c r="A115" s="3" t="s">
        <v>159</v>
      </c>
      <c r="B115" s="3">
        <v>823078.48679999996</v>
      </c>
      <c r="C115" s="3">
        <v>1091410.023</v>
      </c>
      <c r="D115" s="3">
        <v>-121.7067</v>
      </c>
    </row>
    <row r="116" spans="1:4" x14ac:dyDescent="0.25">
      <c r="A116" s="3" t="s">
        <v>160</v>
      </c>
      <c r="B116" s="3">
        <v>823060.10699999996</v>
      </c>
      <c r="C116" s="3">
        <v>1091449.2165000001</v>
      </c>
      <c r="D116" s="3">
        <v>-122.4076</v>
      </c>
    </row>
    <row r="117" spans="1:4" x14ac:dyDescent="0.25">
      <c r="A117" s="3" t="s">
        <v>161</v>
      </c>
      <c r="B117" s="3">
        <v>823055.48349999997</v>
      </c>
      <c r="C117" s="3">
        <v>1091447.0845999999</v>
      </c>
      <c r="D117" s="3">
        <v>-122.20140000000001</v>
      </c>
    </row>
    <row r="118" spans="1:4" x14ac:dyDescent="0.25">
      <c r="A118" s="3" t="s">
        <v>162</v>
      </c>
      <c r="B118" s="3">
        <v>823101.29099999997</v>
      </c>
      <c r="C118" s="3">
        <v>1091445.9669999999</v>
      </c>
      <c r="D118" s="3">
        <v>-122.51600000000001</v>
      </c>
    </row>
    <row r="119" spans="1:4" x14ac:dyDescent="0.25">
      <c r="A119" s="3" t="s">
        <v>163</v>
      </c>
      <c r="B119" s="3">
        <v>823101.22600000002</v>
      </c>
      <c r="C119" s="3">
        <v>1091446.105</v>
      </c>
      <c r="D119" s="3">
        <v>-122.71899999999999</v>
      </c>
    </row>
    <row r="120" spans="1:4" x14ac:dyDescent="0.25">
      <c r="A120" s="3" t="s">
        <v>164</v>
      </c>
      <c r="B120" s="3">
        <v>823075.93400000001</v>
      </c>
      <c r="C120" s="3">
        <v>1091440.2426</v>
      </c>
      <c r="D120" s="3">
        <v>-122.65049999999999</v>
      </c>
    </row>
    <row r="121" spans="1:4" x14ac:dyDescent="0.25">
      <c r="A121" s="3" t="s">
        <v>165</v>
      </c>
      <c r="B121" s="3">
        <v>823072.59539999999</v>
      </c>
      <c r="C121" s="3">
        <v>1091432.9246</v>
      </c>
      <c r="D121" s="3">
        <v>-122.4961</v>
      </c>
    </row>
    <row r="122" spans="1:4" x14ac:dyDescent="0.25">
      <c r="A122" s="3" t="s">
        <v>166</v>
      </c>
      <c r="B122" s="3">
        <v>823072.29599999997</v>
      </c>
      <c r="C122" s="3">
        <v>1091432.9049</v>
      </c>
      <c r="D122" s="3">
        <v>-122.9905</v>
      </c>
    </row>
    <row r="123" spans="1:4" x14ac:dyDescent="0.25">
      <c r="A123" s="3" t="s">
        <v>167</v>
      </c>
      <c r="B123" s="3">
        <v>823070.01679999998</v>
      </c>
      <c r="C123" s="3">
        <v>1091437.7142</v>
      </c>
      <c r="D123" s="3">
        <v>-122.78870000000001</v>
      </c>
    </row>
    <row r="124" spans="1:4" x14ac:dyDescent="0.25">
      <c r="A124" s="3" t="s">
        <v>168</v>
      </c>
      <c r="B124" s="3">
        <v>823069.43460000004</v>
      </c>
      <c r="C124" s="3">
        <v>1091437.4269000001</v>
      </c>
      <c r="D124" s="3">
        <v>-122.6673</v>
      </c>
    </row>
    <row r="125" spans="1:4" x14ac:dyDescent="0.25">
      <c r="A125" s="3" t="s">
        <v>169</v>
      </c>
      <c r="B125" s="3">
        <v>823069.40639999998</v>
      </c>
      <c r="C125" s="3">
        <v>1091431.3256999999</v>
      </c>
      <c r="D125" s="3">
        <v>-122.9242</v>
      </c>
    </row>
    <row r="126" spans="1:4" x14ac:dyDescent="0.25">
      <c r="A126" s="3" t="s">
        <v>170</v>
      </c>
      <c r="B126" s="3">
        <v>823102.38800000004</v>
      </c>
      <c r="C126" s="3">
        <v>1091447.1910000001</v>
      </c>
      <c r="D126" s="3">
        <v>-123.363</v>
      </c>
    </row>
    <row r="127" spans="1:4" x14ac:dyDescent="0.25">
      <c r="A127" s="3" t="s">
        <v>171</v>
      </c>
      <c r="B127" s="3">
        <v>823067.46100000001</v>
      </c>
      <c r="C127" s="3">
        <v>1091436.3370000001</v>
      </c>
      <c r="D127" s="3">
        <v>-122.6</v>
      </c>
    </row>
    <row r="128" spans="1:4" x14ac:dyDescent="0.25">
      <c r="A128" s="3" t="s">
        <v>172</v>
      </c>
      <c r="B128" s="3">
        <v>823071.38199999998</v>
      </c>
      <c r="C128" s="3">
        <v>1091438.0970000001</v>
      </c>
      <c r="D128" s="3">
        <v>-122.626</v>
      </c>
    </row>
    <row r="129" spans="1:4" x14ac:dyDescent="0.25">
      <c r="A129" s="3" t="s">
        <v>173</v>
      </c>
      <c r="B129" s="3">
        <v>823078.04200000002</v>
      </c>
      <c r="C129" s="3">
        <v>1091435.699</v>
      </c>
      <c r="D129" s="3">
        <v>-122.66800000000001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P67"/>
  <sheetViews>
    <sheetView tabSelected="1" workbookViewId="0">
      <selection activeCell="N1" sqref="N1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customWidth="1"/>
    <col min="13" max="13" width="15.28515625" style="5" customWidth="1"/>
    <col min="14" max="14" width="14.42578125" style="31" customWidth="1"/>
    <col min="15" max="15" width="20.28515625" style="31" customWidth="1"/>
    <col min="16" max="16" width="11.42578125" style="31"/>
  </cols>
  <sheetData>
    <row r="1" spans="1:16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6" x14ac:dyDescent="0.25">
      <c r="A2" s="4" t="s">
        <v>4</v>
      </c>
      <c r="B2" s="4" t="s">
        <v>5</v>
      </c>
      <c r="C2" s="4" t="s">
        <v>6</v>
      </c>
      <c r="D2" s="4" t="s">
        <v>7</v>
      </c>
      <c r="H2" s="36" t="s">
        <v>169</v>
      </c>
      <c r="I2" s="37">
        <f t="shared" ref="I2:I33" ca="1" si="0">AVERAGEIF($A:$D,$H2,B:B)</f>
        <v>823069.40520000004</v>
      </c>
      <c r="J2" s="37">
        <f t="shared" ref="J2:J33" ca="1" si="1">AVERAGEIF($A:$D,$H2,C:C)</f>
        <v>1091431.3265</v>
      </c>
      <c r="K2" s="37">
        <f t="shared" ref="K2:K33" ca="1" si="2">AVERAGEIF($A:$D,$H2,D:D)</f>
        <v>-122.92440000000001</v>
      </c>
    </row>
    <row r="3" spans="1:16" x14ac:dyDescent="0.25">
      <c r="A3" s="4" t="s">
        <v>19</v>
      </c>
      <c r="B3" s="4">
        <v>823062.12959999999</v>
      </c>
      <c r="C3" s="4">
        <v>1091428.2174</v>
      </c>
      <c r="D3" s="4">
        <v>-122.47790000000001</v>
      </c>
      <c r="H3" s="36" t="s">
        <v>172</v>
      </c>
      <c r="I3" s="37">
        <f t="shared" ca="1" si="0"/>
        <v>823071.38130000001</v>
      </c>
      <c r="J3" s="37">
        <f t="shared" ca="1" si="1"/>
        <v>1091438.0955000001</v>
      </c>
      <c r="K3" s="37">
        <f t="shared" ca="1" si="2"/>
        <v>-122.6268</v>
      </c>
    </row>
    <row r="4" spans="1:16" x14ac:dyDescent="0.25">
      <c r="A4" s="4" t="s">
        <v>47</v>
      </c>
      <c r="B4" s="4">
        <v>823062.1298</v>
      </c>
      <c r="C4" s="4">
        <v>1091428.2175</v>
      </c>
      <c r="D4" s="4">
        <v>-122.47750000000001</v>
      </c>
      <c r="H4" s="36" t="s">
        <v>164</v>
      </c>
      <c r="I4" s="37">
        <f t="shared" ca="1" si="0"/>
        <v>823075.93420000002</v>
      </c>
      <c r="J4" s="37">
        <f t="shared" ca="1" si="1"/>
        <v>1091440.2429</v>
      </c>
      <c r="K4" s="37">
        <f t="shared" ca="1" si="2"/>
        <v>-122.65049999999999</v>
      </c>
    </row>
    <row r="5" spans="1:16" x14ac:dyDescent="0.25">
      <c r="A5" s="4" t="s">
        <v>47</v>
      </c>
      <c r="B5" s="4">
        <v>823062.12950000004</v>
      </c>
      <c r="C5" s="4">
        <v>1091428.2172999999</v>
      </c>
      <c r="D5" s="4">
        <v>-122.47799999999999</v>
      </c>
      <c r="H5" s="36" t="s">
        <v>49</v>
      </c>
      <c r="I5" s="37">
        <f t="shared" ca="1" si="0"/>
        <v>823059.96109999996</v>
      </c>
      <c r="J5" s="37">
        <f t="shared" ca="1" si="1"/>
        <v>1091432.8084</v>
      </c>
      <c r="K5" s="37">
        <f t="shared" ca="1" si="2"/>
        <v>-122.50749999999999</v>
      </c>
    </row>
    <row r="6" spans="1:16" x14ac:dyDescent="0.25">
      <c r="A6" s="4" t="s">
        <v>13</v>
      </c>
      <c r="B6" s="4">
        <v>823059.96109999996</v>
      </c>
      <c r="C6" s="4">
        <v>1091432.8084</v>
      </c>
      <c r="D6" s="4">
        <v>-122.50749999999999</v>
      </c>
      <c r="H6" s="36" t="s">
        <v>47</v>
      </c>
      <c r="I6" s="37">
        <f t="shared" ca="1" si="0"/>
        <v>823062.12965000002</v>
      </c>
      <c r="J6" s="37">
        <f t="shared" ca="1" si="1"/>
        <v>1091428.2174</v>
      </c>
      <c r="K6" s="37">
        <f t="shared" ca="1" si="2"/>
        <v>-122.47775</v>
      </c>
    </row>
    <row r="7" spans="1:16" x14ac:dyDescent="0.25">
      <c r="A7" s="4" t="s">
        <v>49</v>
      </c>
      <c r="B7" s="4">
        <v>823059.96120000002</v>
      </c>
      <c r="C7" s="4">
        <v>1091432.8084</v>
      </c>
      <c r="D7" s="4">
        <v>-122.50749999999999</v>
      </c>
      <c r="H7" s="36" t="s">
        <v>130</v>
      </c>
      <c r="I7" s="37">
        <f t="shared" ca="1" si="0"/>
        <v>823064.26890000002</v>
      </c>
      <c r="J7" s="37">
        <f t="shared" ca="1" si="1"/>
        <v>1091439.96</v>
      </c>
      <c r="K7" s="37">
        <f t="shared" ca="1" si="2"/>
        <v>-123.1003</v>
      </c>
    </row>
    <row r="8" spans="1:16" x14ac:dyDescent="0.25">
      <c r="A8" s="4" t="s">
        <v>49</v>
      </c>
      <c r="B8" s="4">
        <v>823059.96100000001</v>
      </c>
      <c r="C8" s="4">
        <v>1091432.8084</v>
      </c>
      <c r="D8" s="4">
        <v>-122.50749999999999</v>
      </c>
      <c r="H8" s="36" t="s">
        <v>135</v>
      </c>
      <c r="I8" s="37">
        <f t="shared" ca="1" si="0"/>
        <v>823065.875</v>
      </c>
      <c r="J8" s="37">
        <f t="shared" ca="1" si="1"/>
        <v>1091436.5338000001</v>
      </c>
      <c r="K8" s="37">
        <f t="shared" ca="1" si="2"/>
        <v>-122.9979</v>
      </c>
    </row>
    <row r="9" spans="1:16" x14ac:dyDescent="0.25">
      <c r="A9" s="4" t="s">
        <v>15</v>
      </c>
      <c r="B9" s="4">
        <v>823050.92480000004</v>
      </c>
      <c r="C9" s="4">
        <v>1091428.3570000001</v>
      </c>
      <c r="D9" s="4">
        <v>-121.1236</v>
      </c>
      <c r="H9" s="36" t="s">
        <v>144</v>
      </c>
      <c r="I9" s="37">
        <f t="shared" ca="1" si="0"/>
        <v>823068.73739999998</v>
      </c>
      <c r="J9" s="37">
        <f t="shared" ca="1" si="1"/>
        <v>1091430.3924</v>
      </c>
      <c r="K9" s="37">
        <f t="shared" ca="1" si="2"/>
        <v>-122.8955</v>
      </c>
    </row>
    <row r="10" spans="1:16" x14ac:dyDescent="0.25">
      <c r="A10" s="4" t="s">
        <v>67</v>
      </c>
      <c r="B10" s="4">
        <v>823050.92449999996</v>
      </c>
      <c r="C10" s="4">
        <v>1091428.3568</v>
      </c>
      <c r="D10" s="4">
        <v>-121.1237</v>
      </c>
      <c r="H10" s="36" t="s">
        <v>149</v>
      </c>
      <c r="I10" s="37">
        <f t="shared" ca="1" si="0"/>
        <v>823070.72470000002</v>
      </c>
      <c r="J10" s="37">
        <f t="shared" ca="1" si="1"/>
        <v>1091426.2290000001</v>
      </c>
      <c r="K10" s="37">
        <f t="shared" ca="1" si="2"/>
        <v>-122.6177</v>
      </c>
    </row>
    <row r="11" spans="1:16" x14ac:dyDescent="0.25">
      <c r="A11" s="4" t="s">
        <v>67</v>
      </c>
      <c r="B11" s="4">
        <v>823050.92500000005</v>
      </c>
      <c r="C11" s="4">
        <v>1091428.3572</v>
      </c>
      <c r="D11" s="4">
        <v>-121.1236</v>
      </c>
      <c r="H11" s="36" t="s">
        <v>69</v>
      </c>
      <c r="I11" s="37">
        <f t="shared" ca="1" si="0"/>
        <v>823052.88290000008</v>
      </c>
      <c r="J11" s="37">
        <f t="shared" ca="1" si="1"/>
        <v>1091424.1551000001</v>
      </c>
      <c r="K11" s="37">
        <f t="shared" ca="1" si="2"/>
        <v>-121.20144999999999</v>
      </c>
    </row>
    <row r="12" spans="1:16" x14ac:dyDescent="0.25">
      <c r="A12" s="4" t="s">
        <v>17</v>
      </c>
      <c r="B12" s="4">
        <v>823052.88289999997</v>
      </c>
      <c r="C12" s="4">
        <v>1091424.1551000001</v>
      </c>
      <c r="D12" s="4">
        <v>-121.20140000000001</v>
      </c>
      <c r="H12" s="36" t="s">
        <v>67</v>
      </c>
      <c r="I12" s="37">
        <f t="shared" ca="1" si="0"/>
        <v>823050.92475000001</v>
      </c>
      <c r="J12" s="37">
        <f t="shared" ca="1" si="1"/>
        <v>1091428.3569999998</v>
      </c>
      <c r="K12" s="37">
        <f t="shared" ca="1" si="2"/>
        <v>-121.12365</v>
      </c>
    </row>
    <row r="13" spans="1:16" x14ac:dyDescent="0.25">
      <c r="A13" s="4" t="s">
        <v>69</v>
      </c>
      <c r="B13" s="4">
        <v>823052.88300000003</v>
      </c>
      <c r="C13" s="4">
        <v>1091424.1551000001</v>
      </c>
      <c r="D13" s="4">
        <v>-121.2015</v>
      </c>
      <c r="H13" s="27" t="s">
        <v>80</v>
      </c>
      <c r="I13" s="38">
        <f t="shared" ca="1" si="0"/>
        <v>823046.72829999996</v>
      </c>
      <c r="J13" s="38">
        <f t="shared" ca="1" si="1"/>
        <v>1091427.9431</v>
      </c>
      <c r="K13" s="38">
        <f t="shared" ca="1" si="2"/>
        <v>-120.7535</v>
      </c>
      <c r="M13" s="5" t="s">
        <v>194</v>
      </c>
      <c r="N13" s="31">
        <v>823046.72829999996</v>
      </c>
      <c r="O13" s="31">
        <v>1091427.9431</v>
      </c>
      <c r="P13" s="31">
        <v>-120.7535</v>
      </c>
    </row>
    <row r="14" spans="1:16" x14ac:dyDescent="0.25">
      <c r="A14" s="4" t="s">
        <v>69</v>
      </c>
      <c r="B14" s="4">
        <v>823052.88280000002</v>
      </c>
      <c r="C14" s="4">
        <v>1091424.1551000001</v>
      </c>
      <c r="D14" s="4">
        <v>-121.20140000000001</v>
      </c>
      <c r="H14" s="27" t="s">
        <v>82</v>
      </c>
      <c r="I14" s="38">
        <f t="shared" ca="1" si="0"/>
        <v>823049.76029999997</v>
      </c>
      <c r="J14" s="38">
        <f t="shared" ca="1" si="1"/>
        <v>1091421.2601000001</v>
      </c>
      <c r="K14" s="38">
        <f t="shared" ca="1" si="2"/>
        <v>-120.51049999999999</v>
      </c>
      <c r="M14" s="5" t="s">
        <v>195</v>
      </c>
      <c r="N14" s="31">
        <v>823049.76029999997</v>
      </c>
      <c r="O14" s="31">
        <v>1091421.2601000001</v>
      </c>
      <c r="P14" s="31">
        <v>-120.51049999999999</v>
      </c>
    </row>
    <row r="15" spans="1:16" x14ac:dyDescent="0.25">
      <c r="A15" s="4" t="s">
        <v>80</v>
      </c>
      <c r="B15" s="4">
        <v>823046.72829999996</v>
      </c>
      <c r="C15" s="4">
        <v>1091427.9431</v>
      </c>
      <c r="D15" s="4">
        <v>-120.7535</v>
      </c>
      <c r="H15" s="27" t="s">
        <v>95</v>
      </c>
      <c r="I15" s="38">
        <f t="shared" ca="1" si="0"/>
        <v>823042.07369999995</v>
      </c>
      <c r="J15" s="38">
        <f t="shared" ca="1" si="1"/>
        <v>1091416.3292</v>
      </c>
      <c r="K15" s="38">
        <f t="shared" ca="1" si="2"/>
        <v>-120.21129999999999</v>
      </c>
      <c r="M15" s="5" t="s">
        <v>196</v>
      </c>
      <c r="N15" s="31">
        <v>823042.07369999995</v>
      </c>
      <c r="O15" s="31">
        <v>1091416.3292</v>
      </c>
      <c r="P15" s="31">
        <v>-120.21129999999999</v>
      </c>
    </row>
    <row r="16" spans="1:16" x14ac:dyDescent="0.25">
      <c r="A16" s="4" t="s">
        <v>82</v>
      </c>
      <c r="B16" s="4">
        <v>823049.76029999997</v>
      </c>
      <c r="C16" s="4">
        <v>1091421.2601000001</v>
      </c>
      <c r="D16" s="4">
        <v>-120.51049999999999</v>
      </c>
      <c r="H16" s="27" t="s">
        <v>94</v>
      </c>
      <c r="I16" s="38">
        <f t="shared" ca="1" si="0"/>
        <v>823037.99910000002</v>
      </c>
      <c r="J16" s="38">
        <f t="shared" ca="1" si="1"/>
        <v>1091425.0626000001</v>
      </c>
      <c r="K16" s="38">
        <f t="shared" ca="1" si="2"/>
        <v>-120.1584</v>
      </c>
      <c r="M16" s="5" t="s">
        <v>197</v>
      </c>
      <c r="N16" s="31">
        <v>823037.99910000002</v>
      </c>
      <c r="O16" s="31">
        <v>1091425.0626000001</v>
      </c>
      <c r="P16" s="31">
        <v>-120.1584</v>
      </c>
    </row>
    <row r="17" spans="1:16" x14ac:dyDescent="0.25">
      <c r="A17" s="4" t="s">
        <v>94</v>
      </c>
      <c r="B17" s="4">
        <v>823037.99910000002</v>
      </c>
      <c r="C17" s="4">
        <v>1091425.0626000001</v>
      </c>
      <c r="D17" s="4">
        <v>-120.1584</v>
      </c>
      <c r="H17" s="27" t="s">
        <v>100</v>
      </c>
      <c r="I17" s="38">
        <f t="shared" ca="1" si="0"/>
        <v>823032.86849999998</v>
      </c>
      <c r="J17" s="38">
        <f t="shared" ca="1" si="1"/>
        <v>1091422.6769999999</v>
      </c>
      <c r="K17" s="38">
        <f t="shared" ca="1" si="2"/>
        <v>-120.2773</v>
      </c>
      <c r="M17" s="5" t="s">
        <v>198</v>
      </c>
      <c r="N17" s="31">
        <v>823032.86849999998</v>
      </c>
      <c r="O17" s="31">
        <v>1091422.6769999999</v>
      </c>
      <c r="P17" s="31">
        <v>-120.2773</v>
      </c>
    </row>
    <row r="18" spans="1:16" x14ac:dyDescent="0.25">
      <c r="A18" s="4" t="s">
        <v>95</v>
      </c>
      <c r="B18" s="4">
        <v>823042.07369999995</v>
      </c>
      <c r="C18" s="4">
        <v>1091416.3292</v>
      </c>
      <c r="D18" s="4">
        <v>-120.21129999999999</v>
      </c>
      <c r="H18" s="27" t="s">
        <v>99</v>
      </c>
      <c r="I18" s="38">
        <f t="shared" ca="1" si="0"/>
        <v>823037.00619999995</v>
      </c>
      <c r="J18" s="38">
        <f t="shared" ca="1" si="1"/>
        <v>1091413.9497</v>
      </c>
      <c r="K18" s="38">
        <f t="shared" ca="1" si="2"/>
        <v>-120.34229999999999</v>
      </c>
      <c r="M18" s="5" t="s">
        <v>199</v>
      </c>
      <c r="N18" s="31">
        <v>823037.00619999995</v>
      </c>
      <c r="O18" s="31">
        <v>1091413.9497</v>
      </c>
      <c r="P18" s="31">
        <v>-120.34229999999999</v>
      </c>
    </row>
    <row r="19" spans="1:16" x14ac:dyDescent="0.25">
      <c r="A19" s="4" t="s">
        <v>99</v>
      </c>
      <c r="B19" s="4">
        <v>823037.00619999995</v>
      </c>
      <c r="C19" s="4">
        <v>1091413.9497</v>
      </c>
      <c r="D19" s="4">
        <v>-120.34229999999999</v>
      </c>
      <c r="H19" s="27" t="s">
        <v>104</v>
      </c>
      <c r="I19" s="38">
        <f t="shared" ca="1" si="0"/>
        <v>823033.38289999997</v>
      </c>
      <c r="J19" s="38">
        <f t="shared" ca="1" si="1"/>
        <v>1091412.2664999999</v>
      </c>
      <c r="K19" s="38">
        <f t="shared" ca="1" si="2"/>
        <v>-120.268</v>
      </c>
      <c r="M19" s="5" t="s">
        <v>200</v>
      </c>
      <c r="N19" s="31">
        <v>823033.38289999997</v>
      </c>
      <c r="O19" s="31">
        <v>1091412.2664999999</v>
      </c>
      <c r="P19" s="31">
        <v>-120.268</v>
      </c>
    </row>
    <row r="20" spans="1:16" x14ac:dyDescent="0.25">
      <c r="A20" s="4" t="s">
        <v>100</v>
      </c>
      <c r="B20" s="4">
        <v>823032.86849999998</v>
      </c>
      <c r="C20" s="4">
        <v>1091422.6769999999</v>
      </c>
      <c r="D20" s="4">
        <v>-120.2773</v>
      </c>
      <c r="H20" s="27" t="s">
        <v>103</v>
      </c>
      <c r="I20" s="38">
        <f t="shared" ca="1" si="0"/>
        <v>823029.28659999999</v>
      </c>
      <c r="J20" s="38">
        <f t="shared" ca="1" si="1"/>
        <v>1091421.0685000001</v>
      </c>
      <c r="K20" s="38">
        <f t="shared" ca="1" si="2"/>
        <v>-120.361</v>
      </c>
      <c r="M20" s="5" t="s">
        <v>201</v>
      </c>
      <c r="N20" s="31">
        <v>823029.28659999999</v>
      </c>
      <c r="O20" s="31">
        <v>1091421.0685000001</v>
      </c>
      <c r="P20" s="31">
        <v>-120.361</v>
      </c>
    </row>
    <row r="21" spans="1:16" x14ac:dyDescent="0.25">
      <c r="A21" s="4" t="s">
        <v>103</v>
      </c>
      <c r="B21" s="4">
        <v>823029.28659999999</v>
      </c>
      <c r="C21" s="4">
        <v>1091421.0685000001</v>
      </c>
      <c r="D21" s="4">
        <v>-120.361</v>
      </c>
      <c r="H21" s="27" t="s">
        <v>108</v>
      </c>
      <c r="I21" s="38">
        <f t="shared" ca="1" si="0"/>
        <v>823023.49320000003</v>
      </c>
      <c r="J21" s="38">
        <f t="shared" ca="1" si="1"/>
        <v>1091418.3387</v>
      </c>
      <c r="K21" s="38">
        <f t="shared" ca="1" si="2"/>
        <v>-120.2346</v>
      </c>
      <c r="M21" s="5" t="s">
        <v>202</v>
      </c>
      <c r="N21" s="31">
        <v>823023.49320000003</v>
      </c>
      <c r="O21" s="31">
        <v>1091418.3387</v>
      </c>
      <c r="P21" s="31">
        <v>-120.2346</v>
      </c>
    </row>
    <row r="22" spans="1:16" x14ac:dyDescent="0.25">
      <c r="A22" s="4" t="s">
        <v>104</v>
      </c>
      <c r="B22" s="4">
        <v>823033.38289999997</v>
      </c>
      <c r="C22" s="4">
        <v>1091412.2664999999</v>
      </c>
      <c r="D22" s="4">
        <v>-120.268</v>
      </c>
      <c r="H22" s="27" t="s">
        <v>107</v>
      </c>
      <c r="I22" s="38">
        <f t="shared" ca="1" si="0"/>
        <v>823027.5821</v>
      </c>
      <c r="J22" s="38">
        <f t="shared" ca="1" si="1"/>
        <v>1091409.5447</v>
      </c>
      <c r="K22" s="38">
        <f t="shared" ca="1" si="2"/>
        <v>-120.1687</v>
      </c>
      <c r="M22" s="5" t="s">
        <v>203</v>
      </c>
      <c r="N22" s="31">
        <v>823027.5821</v>
      </c>
      <c r="O22" s="31">
        <v>1091409.5447</v>
      </c>
      <c r="P22" s="31">
        <v>-120.1687</v>
      </c>
    </row>
    <row r="23" spans="1:16" x14ac:dyDescent="0.25">
      <c r="A23" s="4" t="s">
        <v>107</v>
      </c>
      <c r="B23" s="4">
        <v>823027.5821</v>
      </c>
      <c r="C23" s="4">
        <v>1091409.5447</v>
      </c>
      <c r="D23" s="4">
        <v>-120.1687</v>
      </c>
      <c r="H23" s="36" t="s">
        <v>160</v>
      </c>
      <c r="I23" s="37">
        <f t="shared" ca="1" si="0"/>
        <v>823060.10400000005</v>
      </c>
      <c r="J23" s="37">
        <f t="shared" ca="1" si="1"/>
        <v>1091449.2143000001</v>
      </c>
      <c r="K23" s="37">
        <f t="shared" ca="1" si="2"/>
        <v>-122.4083</v>
      </c>
    </row>
    <row r="24" spans="1:16" x14ac:dyDescent="0.25">
      <c r="A24" s="4" t="s">
        <v>108</v>
      </c>
      <c r="B24" s="4">
        <v>823023.49320000003</v>
      </c>
      <c r="C24" s="4">
        <v>1091418.3387</v>
      </c>
      <c r="D24" s="4">
        <v>-120.2346</v>
      </c>
      <c r="H24" s="36" t="s">
        <v>168</v>
      </c>
      <c r="I24" s="37">
        <f t="shared" ca="1" si="0"/>
        <v>823069.43429999996</v>
      </c>
      <c r="J24" s="37">
        <f t="shared" ca="1" si="1"/>
        <v>1091437.4257</v>
      </c>
      <c r="K24" s="37">
        <f t="shared" ca="1" si="2"/>
        <v>-122.6677</v>
      </c>
    </row>
    <row r="25" spans="1:16" x14ac:dyDescent="0.25">
      <c r="A25" s="4" t="s">
        <v>130</v>
      </c>
      <c r="B25" s="4">
        <v>823064.26890000002</v>
      </c>
      <c r="C25" s="4">
        <v>1091439.96</v>
      </c>
      <c r="D25" s="4">
        <v>-123.1003</v>
      </c>
      <c r="H25" s="36" t="s">
        <v>165</v>
      </c>
      <c r="I25" s="37">
        <f t="shared" ca="1" si="0"/>
        <v>823072.59519999998</v>
      </c>
      <c r="J25" s="37">
        <f t="shared" ca="1" si="1"/>
        <v>1091432.9246</v>
      </c>
      <c r="K25" s="37">
        <f t="shared" ca="1" si="2"/>
        <v>-122.4969</v>
      </c>
    </row>
    <row r="26" spans="1:16" x14ac:dyDescent="0.25">
      <c r="A26" s="4" t="s">
        <v>135</v>
      </c>
      <c r="B26" s="4">
        <v>823065.875</v>
      </c>
      <c r="C26" s="4">
        <v>1091436.5338000001</v>
      </c>
      <c r="D26" s="4">
        <v>-122.9979</v>
      </c>
      <c r="H26" s="36" t="s">
        <v>152</v>
      </c>
      <c r="I26" s="37">
        <f t="shared" ca="1" si="0"/>
        <v>823072.09450000001</v>
      </c>
      <c r="J26" s="37">
        <f t="shared" ca="1" si="1"/>
        <v>1091423.5882999999</v>
      </c>
      <c r="K26" s="37">
        <f t="shared" ca="1" si="2"/>
        <v>-122.6888</v>
      </c>
    </row>
    <row r="27" spans="1:16" x14ac:dyDescent="0.25">
      <c r="A27" s="4" t="s">
        <v>144</v>
      </c>
      <c r="B27" s="4">
        <v>823068.73739999998</v>
      </c>
      <c r="C27" s="4">
        <v>1091430.3924</v>
      </c>
      <c r="D27" s="4">
        <v>-122.8955</v>
      </c>
      <c r="H27" s="36" t="s">
        <v>13</v>
      </c>
      <c r="I27" s="37">
        <f t="shared" ca="1" si="0"/>
        <v>823059.96109999996</v>
      </c>
      <c r="J27" s="37">
        <f t="shared" ca="1" si="1"/>
        <v>1091432.8084</v>
      </c>
      <c r="K27" s="37">
        <f t="shared" ca="1" si="2"/>
        <v>-122.50749999999999</v>
      </c>
    </row>
    <row r="28" spans="1:16" x14ac:dyDescent="0.25">
      <c r="A28" s="4" t="s">
        <v>149</v>
      </c>
      <c r="B28" s="4">
        <v>823070.72470000002</v>
      </c>
      <c r="C28" s="4">
        <v>1091426.2290000001</v>
      </c>
      <c r="D28" s="4">
        <v>-122.6177</v>
      </c>
      <c r="H28" s="36" t="s">
        <v>19</v>
      </c>
      <c r="I28" s="37">
        <f t="shared" ca="1" si="0"/>
        <v>823062.12959999999</v>
      </c>
      <c r="J28" s="37">
        <f t="shared" ca="1" si="1"/>
        <v>1091428.2174</v>
      </c>
      <c r="K28" s="37">
        <f t="shared" ca="1" si="2"/>
        <v>-122.47790000000001</v>
      </c>
    </row>
    <row r="29" spans="1:16" x14ac:dyDescent="0.25">
      <c r="A29" s="4" t="s">
        <v>152</v>
      </c>
      <c r="B29" s="4">
        <v>823072.09450000001</v>
      </c>
      <c r="C29" s="4">
        <v>1091423.5882999999</v>
      </c>
      <c r="D29" s="4">
        <v>-122.6888</v>
      </c>
      <c r="H29" s="36" t="s">
        <v>17</v>
      </c>
      <c r="I29" s="37">
        <f t="shared" ca="1" si="0"/>
        <v>823052.88289999997</v>
      </c>
      <c r="J29" s="37">
        <f t="shared" ca="1" si="1"/>
        <v>1091424.1551000001</v>
      </c>
      <c r="K29" s="37">
        <f t="shared" ca="1" si="2"/>
        <v>-121.20140000000001</v>
      </c>
    </row>
    <row r="30" spans="1:16" x14ac:dyDescent="0.25">
      <c r="A30" s="4" t="s">
        <v>160</v>
      </c>
      <c r="B30" s="4">
        <v>823060.10400000005</v>
      </c>
      <c r="C30" s="4">
        <v>1091449.2143000001</v>
      </c>
      <c r="D30" s="4">
        <v>-122.4083</v>
      </c>
      <c r="H30" s="36" t="s">
        <v>15</v>
      </c>
      <c r="I30" s="37">
        <f t="shared" ca="1" si="0"/>
        <v>823050.92480000004</v>
      </c>
      <c r="J30" s="37">
        <f t="shared" ca="1" si="1"/>
        <v>1091428.3570000001</v>
      </c>
      <c r="K30" s="37">
        <f t="shared" ca="1" si="2"/>
        <v>-121.1236</v>
      </c>
    </row>
    <row r="31" spans="1:16" x14ac:dyDescent="0.25">
      <c r="A31" s="4" t="s">
        <v>164</v>
      </c>
      <c r="B31" s="4">
        <v>823075.93420000002</v>
      </c>
      <c r="C31" s="4">
        <v>1091440.2429</v>
      </c>
      <c r="D31" s="4">
        <v>-122.65049999999999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1:16" x14ac:dyDescent="0.25">
      <c r="A32" s="4" t="s">
        <v>165</v>
      </c>
      <c r="B32" s="4">
        <v>823072.59519999998</v>
      </c>
      <c r="C32" s="4">
        <v>1091432.9246</v>
      </c>
      <c r="D32" s="4">
        <v>-122.4969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1:11" x14ac:dyDescent="0.25">
      <c r="A33" s="4" t="s">
        <v>168</v>
      </c>
      <c r="B33" s="4">
        <v>823069.43429999996</v>
      </c>
      <c r="C33" s="4">
        <v>1091437.4257</v>
      </c>
      <c r="D33" s="4">
        <v>-122.6677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1:11" x14ac:dyDescent="0.25">
      <c r="A34" s="4" t="s">
        <v>169</v>
      </c>
      <c r="B34" s="4">
        <v>823069.40520000004</v>
      </c>
      <c r="C34" s="4">
        <v>1091431.3265</v>
      </c>
      <c r="D34" s="4">
        <v>-122.92440000000001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1:11" x14ac:dyDescent="0.25">
      <c r="A35" s="4" t="s">
        <v>172</v>
      </c>
      <c r="B35" s="4">
        <v>823071.38130000001</v>
      </c>
      <c r="C35" s="4">
        <v>1091438.0955000001</v>
      </c>
      <c r="D35" s="4">
        <v>-122.6268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1:11" x14ac:dyDescent="0.25"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1:11" x14ac:dyDescent="0.25"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1:11" x14ac:dyDescent="0.25"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1:11" x14ac:dyDescent="0.25"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1:11" x14ac:dyDescent="0.25"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1:11" x14ac:dyDescent="0.25"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1:11" x14ac:dyDescent="0.25"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1:11" x14ac:dyDescent="0.25"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1:11" x14ac:dyDescent="0.25"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1:11" x14ac:dyDescent="0.25"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1:11" x14ac:dyDescent="0.25"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1:11" x14ac:dyDescent="0.25"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1:11" x14ac:dyDescent="0.25"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9:11" x14ac:dyDescent="0.25"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9:11" x14ac:dyDescent="0.25"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9:11" x14ac:dyDescent="0.25"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9:11" x14ac:dyDescent="0.25"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9:11" x14ac:dyDescent="0.25"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9:11" x14ac:dyDescent="0.25"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9:11" x14ac:dyDescent="0.25"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9:11" x14ac:dyDescent="0.25"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9:11" x14ac:dyDescent="0.25"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9:11" x14ac:dyDescent="0.25"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9:11" x14ac:dyDescent="0.25"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9:11" x14ac:dyDescent="0.25"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9:11" x14ac:dyDescent="0.25"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9:11" x14ac:dyDescent="0.25"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9:11" x14ac:dyDescent="0.25"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9:11" x14ac:dyDescent="0.25"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9:11" x14ac:dyDescent="0.25"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9:11" x14ac:dyDescent="0.25"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9:11" x14ac:dyDescent="0.25"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sortState xmlns:xlrd2="http://schemas.microsoft.com/office/spreadsheetml/2017/richdata2" ref="O1:O33">
    <sortCondition ref="O1:O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K13" sqref="K13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  <col min="8" max="8" width="8.7109375" customWidth="1"/>
  </cols>
  <sheetData>
    <row r="1" spans="1:8" ht="15.75" customHeight="1" thickBot="1" x14ac:dyDescent="0.3">
      <c r="A1" s="22" t="s">
        <v>174</v>
      </c>
      <c r="B1" s="19" t="s">
        <v>175</v>
      </c>
      <c r="C1" s="20" t="s">
        <v>176</v>
      </c>
      <c r="D1" s="21" t="s">
        <v>177</v>
      </c>
      <c r="H1" s="27" t="s">
        <v>178</v>
      </c>
    </row>
    <row r="2" spans="1:8" x14ac:dyDescent="0.25">
      <c r="A2" s="23" t="s">
        <v>179</v>
      </c>
      <c r="B2" s="14">
        <v>823062.45180000004</v>
      </c>
      <c r="C2" s="15">
        <v>1091431.1751000001</v>
      </c>
      <c r="D2" s="18">
        <v>-121.31793</v>
      </c>
      <c r="F2">
        <v>0</v>
      </c>
    </row>
    <row r="3" spans="1:8" x14ac:dyDescent="0.25">
      <c r="A3" s="24" t="s">
        <v>180</v>
      </c>
      <c r="B3" s="16">
        <v>822984.55200000003</v>
      </c>
      <c r="C3" s="17">
        <v>1091394.8498</v>
      </c>
      <c r="D3" s="18">
        <v>-120.4584</v>
      </c>
      <c r="F3">
        <v>85.953000000000003</v>
      </c>
    </row>
    <row r="4" spans="1:8" ht="15.75" customHeight="1" thickBot="1" x14ac:dyDescent="0.3">
      <c r="A4" s="25" t="s">
        <v>181</v>
      </c>
      <c r="B4" s="13"/>
      <c r="C4" s="12"/>
      <c r="D4" s="26">
        <v>0</v>
      </c>
      <c r="F4" t="s">
        <v>182</v>
      </c>
    </row>
    <row r="8" spans="1:8" x14ac:dyDescent="0.25">
      <c r="E8" s="28" t="s">
        <v>183</v>
      </c>
      <c r="F8" s="29">
        <f>(D3-D2)/(F3)</f>
        <v>1.0000000000000077E-2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4"/>
  <sheetViews>
    <sheetView topLeftCell="A4" workbookViewId="0">
      <selection activeCell="E22" sqref="E16:R22"/>
    </sheetView>
  </sheetViews>
  <sheetFormatPr baseColWidth="10" defaultColWidth="9.140625" defaultRowHeight="15" x14ac:dyDescent="0.25"/>
  <cols>
    <col min="1" max="4" width="12.7109375" customWidth="1"/>
    <col min="5" max="5" width="18.140625" customWidth="1"/>
    <col min="6" max="18" width="12.7109375" customWidth="1"/>
  </cols>
  <sheetData>
    <row r="1" spans="1:18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184</v>
      </c>
      <c r="J1" s="35" t="s">
        <v>185</v>
      </c>
      <c r="K1" s="35" t="s">
        <v>186</v>
      </c>
      <c r="L1" s="35" t="s">
        <v>187</v>
      </c>
      <c r="M1" s="35" t="s">
        <v>188</v>
      </c>
      <c r="N1" s="35" t="s">
        <v>189</v>
      </c>
      <c r="O1" s="35" t="s">
        <v>190</v>
      </c>
      <c r="P1" s="35" t="s">
        <v>191</v>
      </c>
      <c r="Q1" s="35" t="s">
        <v>192</v>
      </c>
      <c r="R1" s="35" t="s">
        <v>193</v>
      </c>
    </row>
    <row r="2" spans="1:18" x14ac:dyDescent="0.25">
      <c r="A2" s="9" t="s">
        <v>47</v>
      </c>
      <c r="B2" s="8">
        <v>823062.13130000001</v>
      </c>
      <c r="C2" s="8">
        <v>1091428.2186</v>
      </c>
      <c r="D2" s="8">
        <v>-122.4777</v>
      </c>
      <c r="E2" s="9" t="s">
        <v>19</v>
      </c>
      <c r="F2" s="8">
        <v>823062.12959999999</v>
      </c>
      <c r="G2" s="8">
        <v>1091428.2174</v>
      </c>
      <c r="H2" s="8">
        <v>-122.47790000000001</v>
      </c>
      <c r="I2" s="8">
        <v>1.539943252644526</v>
      </c>
      <c r="J2" s="8">
        <v>2.544049386131773</v>
      </c>
      <c r="K2" s="8">
        <v>-1.175169444979602</v>
      </c>
      <c r="L2" s="8">
        <v>1.541991117944977</v>
      </c>
      <c r="M2" s="8">
        <v>2.5444185039847378</v>
      </c>
      <c r="N2" s="8">
        <v>-1.175389923649178</v>
      </c>
      <c r="O2" s="8">
        <v>2.0478653004503129E-3</v>
      </c>
      <c r="P2" s="8">
        <v>3.6911785296478428E-4</v>
      </c>
      <c r="Q2" s="8">
        <v>-2.2047866957564111E-4</v>
      </c>
      <c r="R2" s="8">
        <v>2.0808652559504868E-3</v>
      </c>
    </row>
    <row r="3" spans="1:18" x14ac:dyDescent="0.25">
      <c r="A3" s="9" t="s">
        <v>47</v>
      </c>
      <c r="B3" s="8">
        <v>823062.13130000001</v>
      </c>
      <c r="C3" s="8">
        <v>1091428.2186</v>
      </c>
      <c r="D3" s="8">
        <v>-122.4777</v>
      </c>
      <c r="E3" s="9" t="s">
        <v>50</v>
      </c>
      <c r="F3" s="8">
        <v>823062.1298</v>
      </c>
      <c r="G3" s="8">
        <v>1091428.2175</v>
      </c>
      <c r="H3" s="8">
        <v>-122.47750000000001</v>
      </c>
      <c r="I3" s="8">
        <v>1.539943252644526</v>
      </c>
      <c r="J3" s="8">
        <v>2.544049386131773</v>
      </c>
      <c r="K3" s="8">
        <v>-1.175169444979602</v>
      </c>
      <c r="L3" s="8">
        <v>1.54176759452446</v>
      </c>
      <c r="M3" s="8">
        <v>2.544412396699641</v>
      </c>
      <c r="N3" s="8">
        <v>-1.174987688413154</v>
      </c>
      <c r="O3" s="8">
        <v>1.8243418799337441E-3</v>
      </c>
      <c r="P3" s="8">
        <v>3.6301056786713909E-4</v>
      </c>
      <c r="Q3" s="8">
        <v>1.817565664481435E-4</v>
      </c>
      <c r="R3" s="8">
        <v>1.8601075307633501E-3</v>
      </c>
    </row>
    <row r="4" spans="1:18" x14ac:dyDescent="0.25">
      <c r="A4" s="9" t="s">
        <v>47</v>
      </c>
      <c r="B4" s="8">
        <v>823062.13130000001</v>
      </c>
      <c r="C4" s="8">
        <v>1091428.2186</v>
      </c>
      <c r="D4" s="8">
        <v>-122.4777</v>
      </c>
      <c r="E4" s="9" t="s">
        <v>60</v>
      </c>
      <c r="F4" s="8">
        <v>823062.12950000004</v>
      </c>
      <c r="G4" s="8">
        <v>1091428.2172999999</v>
      </c>
      <c r="H4" s="8">
        <v>-122.47799999999999</v>
      </c>
      <c r="I4" s="8">
        <v>1.539943252644526</v>
      </c>
      <c r="J4" s="8">
        <v>2.544049386131773</v>
      </c>
      <c r="K4" s="8">
        <v>-1.175169444979602</v>
      </c>
      <c r="L4" s="8">
        <v>1.542124010541625</v>
      </c>
      <c r="M4" s="8">
        <v>2.5444668729017579</v>
      </c>
      <c r="N4" s="8">
        <v>-1.175491252576208</v>
      </c>
      <c r="O4" s="8">
        <v>2.1807578970987058E-3</v>
      </c>
      <c r="P4" s="8">
        <v>4.174867699848761E-4</v>
      </c>
      <c r="Q4" s="8">
        <v>-3.2180759660604957E-4</v>
      </c>
      <c r="R4" s="8">
        <v>2.2203603762834638E-3</v>
      </c>
    </row>
    <row r="5" spans="1:18" x14ac:dyDescent="0.25">
      <c r="A5" s="9" t="s">
        <v>49</v>
      </c>
      <c r="B5" s="8">
        <v>823059.96030000004</v>
      </c>
      <c r="C5" s="8">
        <v>1091432.8091</v>
      </c>
      <c r="D5" s="8">
        <v>-122.50749999999999</v>
      </c>
      <c r="E5" s="9" t="s">
        <v>13</v>
      </c>
      <c r="F5" s="8">
        <v>823059.96109999996</v>
      </c>
      <c r="G5" s="8">
        <v>1091432.8084</v>
      </c>
      <c r="H5" s="8">
        <v>-122.50749999999999</v>
      </c>
      <c r="I5" s="8">
        <v>1.567506898655785</v>
      </c>
      <c r="J5" s="8">
        <v>2.5338607640806901</v>
      </c>
      <c r="K5" s="8">
        <v>-1.205245081662611</v>
      </c>
      <c r="L5" s="8">
        <v>1.5670776855435991</v>
      </c>
      <c r="M5" s="8">
        <v>2.5328882541093312</v>
      </c>
      <c r="N5" s="8">
        <v>-1.2052407895280199</v>
      </c>
      <c r="O5" s="8">
        <v>-4.2921311218546698E-4</v>
      </c>
      <c r="P5" s="8">
        <v>-9.7250997135844841E-4</v>
      </c>
      <c r="Q5" s="8">
        <v>4.2921345908553121E-6</v>
      </c>
      <c r="R5" s="8">
        <v>1.063014505822478E-3</v>
      </c>
    </row>
    <row r="6" spans="1:18" x14ac:dyDescent="0.25">
      <c r="A6" s="9" t="s">
        <v>49</v>
      </c>
      <c r="B6" s="8">
        <v>823059.96030000004</v>
      </c>
      <c r="C6" s="8">
        <v>1091432.8091</v>
      </c>
      <c r="D6" s="8">
        <v>-122.50749999999999</v>
      </c>
      <c r="E6" s="9" t="s">
        <v>44</v>
      </c>
      <c r="F6" s="8">
        <v>823059.96120000002</v>
      </c>
      <c r="G6" s="8">
        <v>1091432.8084</v>
      </c>
      <c r="H6" s="8">
        <v>-122.50749999999999</v>
      </c>
      <c r="I6" s="8">
        <v>1.567506898655785</v>
      </c>
      <c r="J6" s="8">
        <v>2.5338607640806901</v>
      </c>
      <c r="K6" s="8">
        <v>-1.205245081662611</v>
      </c>
      <c r="L6" s="8">
        <v>1.5669870547197311</v>
      </c>
      <c r="M6" s="8">
        <v>2.5328459922171929</v>
      </c>
      <c r="N6" s="8">
        <v>-1.2052398832190361</v>
      </c>
      <c r="O6" s="8">
        <v>-5.1984393605386536E-4</v>
      </c>
      <c r="P6" s="8">
        <v>-1.0147718634963001E-3</v>
      </c>
      <c r="Q6" s="8">
        <v>5.19844357427246E-6</v>
      </c>
      <c r="R6" s="8">
        <v>1.140175397572172E-3</v>
      </c>
    </row>
    <row r="7" spans="1:18" x14ac:dyDescent="0.25">
      <c r="A7" s="9" t="s">
        <v>49</v>
      </c>
      <c r="B7" s="8">
        <v>823059.96030000004</v>
      </c>
      <c r="C7" s="8">
        <v>1091432.8091</v>
      </c>
      <c r="D7" s="8">
        <v>-122.50749999999999</v>
      </c>
      <c r="E7" s="9" t="s">
        <v>62</v>
      </c>
      <c r="F7" s="8">
        <v>823059.96100000001</v>
      </c>
      <c r="G7" s="8">
        <v>1091432.8084</v>
      </c>
      <c r="H7" s="8">
        <v>-122.50749999999999</v>
      </c>
      <c r="I7" s="8">
        <v>1.567506898655785</v>
      </c>
      <c r="J7" s="8">
        <v>2.5338607640806901</v>
      </c>
      <c r="K7" s="8">
        <v>-1.205245081662611</v>
      </c>
      <c r="L7" s="8">
        <v>1.567168316261959</v>
      </c>
      <c r="M7" s="8">
        <v>2.532930515790452</v>
      </c>
      <c r="N7" s="8">
        <v>-1.2052416958359371</v>
      </c>
      <c r="O7" s="8">
        <v>-3.3858239382555938E-4</v>
      </c>
      <c r="P7" s="8">
        <v>-9.3024829023713451E-4</v>
      </c>
      <c r="Q7" s="8">
        <v>3.3858266732522679E-6</v>
      </c>
      <c r="R7" s="8">
        <v>9.8994945836318091E-4</v>
      </c>
    </row>
    <row r="8" spans="1:18" x14ac:dyDescent="0.25">
      <c r="A8" s="9" t="s">
        <v>67</v>
      </c>
      <c r="B8" s="8">
        <v>823050.92390000005</v>
      </c>
      <c r="C8" s="8">
        <v>1091428.3594</v>
      </c>
      <c r="D8" s="8">
        <v>-121.1255</v>
      </c>
      <c r="E8" s="9" t="s">
        <v>15</v>
      </c>
      <c r="F8" s="8">
        <v>823050.92480000004</v>
      </c>
      <c r="G8" s="8">
        <v>1091428.3570000001</v>
      </c>
      <c r="H8" s="8">
        <v>-121.1236</v>
      </c>
      <c r="I8" s="8">
        <v>11.637791124870191</v>
      </c>
      <c r="J8" s="8">
        <v>2.320013498719661</v>
      </c>
      <c r="K8" s="8">
        <v>7.6051994639215081E-2</v>
      </c>
      <c r="L8" s="8">
        <v>11.63798973237304</v>
      </c>
      <c r="M8" s="8">
        <v>2.3174580037685151</v>
      </c>
      <c r="N8" s="8">
        <v>7.7950008562581274E-2</v>
      </c>
      <c r="O8" s="8">
        <v>1.986075028526102E-4</v>
      </c>
      <c r="P8" s="8">
        <v>-2.5554949511463749E-3</v>
      </c>
      <c r="Q8" s="8">
        <v>1.898013923366193E-3</v>
      </c>
      <c r="R8" s="8">
        <v>2.5632010068965812E-3</v>
      </c>
    </row>
    <row r="9" spans="1:18" x14ac:dyDescent="0.25">
      <c r="A9" s="9" t="s">
        <v>67</v>
      </c>
      <c r="B9" s="8">
        <v>823050.92390000005</v>
      </c>
      <c r="C9" s="8">
        <v>1091428.3594</v>
      </c>
      <c r="D9" s="8">
        <v>-121.1255</v>
      </c>
      <c r="E9" s="9" t="s">
        <v>46</v>
      </c>
      <c r="F9" s="8">
        <v>823050.92449999996</v>
      </c>
      <c r="G9" s="8">
        <v>1091428.3568</v>
      </c>
      <c r="H9" s="8">
        <v>-121.1237</v>
      </c>
      <c r="I9" s="8">
        <v>11.637791124870191</v>
      </c>
      <c r="J9" s="8">
        <v>2.320013498719661</v>
      </c>
      <c r="K9" s="8">
        <v>7.6051994639215081E-2</v>
      </c>
      <c r="L9" s="8">
        <v>11.638346148495719</v>
      </c>
      <c r="M9" s="8">
        <v>2.3174035278266132</v>
      </c>
      <c r="N9" s="8">
        <v>7.7846444398474546E-2</v>
      </c>
      <c r="O9" s="8">
        <v>5.5502362552495299E-4</v>
      </c>
      <c r="P9" s="8">
        <v>-2.609970893048263E-3</v>
      </c>
      <c r="Q9" s="8">
        <v>1.7944497592594639E-3</v>
      </c>
      <c r="R9" s="8">
        <v>2.6683327999531201E-3</v>
      </c>
    </row>
    <row r="10" spans="1:18" x14ac:dyDescent="0.25">
      <c r="A10" s="9" t="s">
        <v>67</v>
      </c>
      <c r="B10" s="8">
        <v>823050.92390000005</v>
      </c>
      <c r="C10" s="8">
        <v>1091428.3594</v>
      </c>
      <c r="D10" s="8">
        <v>-121.1255</v>
      </c>
      <c r="E10" s="9" t="s">
        <v>64</v>
      </c>
      <c r="F10" s="8">
        <v>823050.92500000005</v>
      </c>
      <c r="G10" s="8">
        <v>1091428.3572</v>
      </c>
      <c r="H10" s="8">
        <v>-121.1236</v>
      </c>
      <c r="I10" s="8">
        <v>11.637791124870191</v>
      </c>
      <c r="J10" s="8">
        <v>2.320013498719661</v>
      </c>
      <c r="K10" s="8">
        <v>7.6051994639215081E-2</v>
      </c>
      <c r="L10" s="8">
        <v>11.63772394717264</v>
      </c>
      <c r="M10" s="8">
        <v>2.3175547416025548</v>
      </c>
      <c r="N10" s="8">
        <v>7.7952666416734928E-2</v>
      </c>
      <c r="O10" s="8">
        <v>-6.7177697554043903E-5</v>
      </c>
      <c r="P10" s="8">
        <v>-2.4587571171066358E-3</v>
      </c>
      <c r="Q10" s="8">
        <v>1.9006717775198469E-3</v>
      </c>
      <c r="R10" s="8">
        <v>2.4596747619217651E-3</v>
      </c>
    </row>
    <row r="11" spans="1:18" x14ac:dyDescent="0.25">
      <c r="A11" s="9" t="s">
        <v>69</v>
      </c>
      <c r="B11" s="8">
        <v>823052.88450000004</v>
      </c>
      <c r="C11" s="8">
        <v>1091424.1569000001</v>
      </c>
      <c r="D11" s="8">
        <v>-121.2008</v>
      </c>
      <c r="E11" s="9" t="s">
        <v>17</v>
      </c>
      <c r="F11" s="8">
        <v>823052.88289999997</v>
      </c>
      <c r="G11" s="8">
        <v>1091424.1551000001</v>
      </c>
      <c r="H11" s="8">
        <v>-121.20140000000001</v>
      </c>
      <c r="I11" s="8">
        <v>11.636938627671441</v>
      </c>
      <c r="J11" s="8">
        <v>2.3173303403008791</v>
      </c>
      <c r="K11" s="8">
        <v>7.6051961809753266E-4</v>
      </c>
      <c r="L11" s="8">
        <v>11.63914943332647</v>
      </c>
      <c r="M11" s="8">
        <v>2.3182855045423119</v>
      </c>
      <c r="N11" s="8">
        <v>1.3841154365934469E-4</v>
      </c>
      <c r="O11" s="8">
        <v>2.21080565502163E-3</v>
      </c>
      <c r="P11" s="8">
        <v>9.5516424143315959E-4</v>
      </c>
      <c r="Q11" s="8">
        <v>-6.2210807443818794E-4</v>
      </c>
      <c r="R11" s="8">
        <v>2.408318943137575E-3</v>
      </c>
    </row>
    <row r="12" spans="1:18" x14ac:dyDescent="0.25">
      <c r="A12" s="9" t="s">
        <v>69</v>
      </c>
      <c r="B12" s="8">
        <v>823052.88450000004</v>
      </c>
      <c r="C12" s="8">
        <v>1091424.1569000001</v>
      </c>
      <c r="D12" s="8">
        <v>-121.2008</v>
      </c>
      <c r="E12" s="9" t="s">
        <v>48</v>
      </c>
      <c r="F12" s="8">
        <v>823052.88300000003</v>
      </c>
      <c r="G12" s="8">
        <v>1091424.1551000001</v>
      </c>
      <c r="H12" s="8">
        <v>-121.2015</v>
      </c>
      <c r="I12" s="8">
        <v>11.636938627671441</v>
      </c>
      <c r="J12" s="8">
        <v>2.3173303403008791</v>
      </c>
      <c r="K12" s="8">
        <v>7.6051961809753266E-4</v>
      </c>
      <c r="L12" s="8">
        <v>11.6390588025026</v>
      </c>
      <c r="M12" s="8">
        <v>2.3183277664344502</v>
      </c>
      <c r="N12" s="8">
        <v>3.9317852639442208E-5</v>
      </c>
      <c r="O12" s="8">
        <v>2.1201748311536761E-3</v>
      </c>
      <c r="P12" s="8">
        <v>9.9742613357101106E-4</v>
      </c>
      <c r="Q12" s="8">
        <v>-7.2120176545809045E-4</v>
      </c>
      <c r="R12" s="8">
        <v>2.3430748873657192E-3</v>
      </c>
    </row>
    <row r="13" spans="1:18" x14ac:dyDescent="0.25">
      <c r="A13" s="9" t="s">
        <v>69</v>
      </c>
      <c r="B13" s="8">
        <v>823052.88450000004</v>
      </c>
      <c r="C13" s="8">
        <v>1091424.1569000001</v>
      </c>
      <c r="D13" s="8">
        <v>-121.2008</v>
      </c>
      <c r="E13" s="9" t="s">
        <v>58</v>
      </c>
      <c r="F13" s="8">
        <v>823052.88280000002</v>
      </c>
      <c r="G13" s="8">
        <v>1091424.1551000001</v>
      </c>
      <c r="H13" s="8">
        <v>-121.20140000000001</v>
      </c>
      <c r="I13" s="8">
        <v>11.636938627671441</v>
      </c>
      <c r="J13" s="8">
        <v>2.3173303403008791</v>
      </c>
      <c r="K13" s="8">
        <v>7.6051961809753266E-4</v>
      </c>
      <c r="L13" s="8">
        <v>11.639240064044831</v>
      </c>
      <c r="M13" s="8">
        <v>2.3182432426993742</v>
      </c>
      <c r="N13" s="8">
        <v>1.375052357417417E-4</v>
      </c>
      <c r="O13" s="8">
        <v>2.3014363733828702E-3</v>
      </c>
      <c r="P13" s="8">
        <v>9.1290239849506349E-4</v>
      </c>
      <c r="Q13" s="8">
        <v>-6.2301438235579099E-4</v>
      </c>
      <c r="R13" s="8">
        <v>2.4758836736239339E-3</v>
      </c>
    </row>
    <row r="14" spans="1:18" x14ac:dyDescent="0.25">
      <c r="A14" s="9" t="s">
        <v>80</v>
      </c>
      <c r="B14" s="8">
        <v>823046.7267</v>
      </c>
      <c r="C14" s="8">
        <v>1091427.9469000001</v>
      </c>
      <c r="D14" s="8">
        <v>-120.75149999999999</v>
      </c>
      <c r="E14" s="9" t="s">
        <v>40</v>
      </c>
      <c r="F14" s="8">
        <v>823046.72829999996</v>
      </c>
      <c r="G14" s="8">
        <v>1091427.9431</v>
      </c>
      <c r="H14" s="8">
        <v>-120.7535</v>
      </c>
      <c r="I14" s="8">
        <v>15.616075807572001</v>
      </c>
      <c r="J14" s="8">
        <v>3.7199760245570781</v>
      </c>
      <c r="K14" s="8">
        <v>0.41026911564074448</v>
      </c>
      <c r="L14" s="8">
        <v>15.61623166573065</v>
      </c>
      <c r="M14" s="8">
        <v>3.715855865700791</v>
      </c>
      <c r="N14" s="8">
        <v>0.40826755705789708</v>
      </c>
      <c r="O14" s="8">
        <v>1.5585815864582739E-4</v>
      </c>
      <c r="P14" s="8">
        <v>-4.1201588562866931E-3</v>
      </c>
      <c r="Q14" s="8">
        <v>-2.0015585828474509E-3</v>
      </c>
      <c r="R14" s="8">
        <v>4.1231056689864107E-3</v>
      </c>
    </row>
    <row r="15" spans="1:18" x14ac:dyDescent="0.25">
      <c r="A15" s="9" t="s">
        <v>82</v>
      </c>
      <c r="B15" s="8">
        <v>823049.76029999997</v>
      </c>
      <c r="C15" s="8">
        <v>1091421.2608</v>
      </c>
      <c r="D15" s="8">
        <v>-120.51</v>
      </c>
      <c r="E15" s="9" t="s">
        <v>42</v>
      </c>
      <c r="F15" s="8">
        <v>823049.76029999997</v>
      </c>
      <c r="G15" s="8">
        <v>1091421.2601000001</v>
      </c>
      <c r="H15" s="8">
        <v>-120.51049999999999</v>
      </c>
      <c r="I15" s="8">
        <v>15.6923705309495</v>
      </c>
      <c r="J15" s="8">
        <v>3.6217432076645979</v>
      </c>
      <c r="K15" s="8">
        <v>0.65100616778998699</v>
      </c>
      <c r="L15" s="8">
        <v>15.69266636390072</v>
      </c>
      <c r="M15" s="8">
        <v>3.6223776230192861</v>
      </c>
      <c r="N15" s="8">
        <v>0.65050320945809403</v>
      </c>
      <c r="O15" s="8">
        <v>2.9583295122037612E-4</v>
      </c>
      <c r="P15" s="8">
        <v>6.3441535468822252E-4</v>
      </c>
      <c r="Q15" s="8">
        <v>-5.0295833189295536E-4</v>
      </c>
      <c r="R15" s="8">
        <v>6.99999975040555E-4</v>
      </c>
    </row>
    <row r="16" spans="1:18" x14ac:dyDescent="0.25">
      <c r="A16" s="9" t="s">
        <v>94</v>
      </c>
      <c r="B16" s="8">
        <v>823037.99899999995</v>
      </c>
      <c r="C16" s="8">
        <v>1091425.0660000001</v>
      </c>
      <c r="D16" s="8">
        <v>-120.157</v>
      </c>
      <c r="E16" s="9" t="s">
        <v>34</v>
      </c>
      <c r="F16" s="8">
        <v>823037.99910000002</v>
      </c>
      <c r="G16" s="8">
        <v>1091425.0626000001</v>
      </c>
      <c r="H16" s="8">
        <v>-120.1584</v>
      </c>
      <c r="I16" s="8">
        <v>24.74357892752516</v>
      </c>
      <c r="J16" s="8">
        <v>4.7974818927729874</v>
      </c>
      <c r="K16" s="8">
        <v>0.91349401062923619</v>
      </c>
      <c r="L16" s="8">
        <v>24.7449251996775</v>
      </c>
      <c r="M16" s="8">
        <v>4.7943581848673666</v>
      </c>
      <c r="N16" s="8">
        <v>0.9120805478968208</v>
      </c>
      <c r="O16" s="8">
        <v>1.3462721523431751E-3</v>
      </c>
      <c r="P16" s="8">
        <v>-3.1237079056207762E-3</v>
      </c>
      <c r="Q16" s="8">
        <v>-1.413462732415383E-3</v>
      </c>
      <c r="R16" s="8">
        <v>3.4014703172464068E-3</v>
      </c>
    </row>
    <row r="17" spans="1:18" x14ac:dyDescent="0.25">
      <c r="A17" s="9" t="s">
        <v>95</v>
      </c>
      <c r="B17" s="8">
        <v>823042.07299999997</v>
      </c>
      <c r="C17" s="8">
        <v>1091416.3289999999</v>
      </c>
      <c r="D17" s="8">
        <v>-120.212</v>
      </c>
      <c r="E17" s="9" t="s">
        <v>36</v>
      </c>
      <c r="F17" s="8">
        <v>823042.07369999995</v>
      </c>
      <c r="G17" s="8">
        <v>1091416.3292</v>
      </c>
      <c r="H17" s="8">
        <v>-120.21129999999999</v>
      </c>
      <c r="I17" s="8">
        <v>24.74369946915834</v>
      </c>
      <c r="J17" s="8">
        <v>4.8426760410403853</v>
      </c>
      <c r="K17" s="8">
        <v>0.85849280521192384</v>
      </c>
      <c r="L17" s="8">
        <v>24.74298053005672</v>
      </c>
      <c r="M17" s="8">
        <v>4.8427906124068194</v>
      </c>
      <c r="N17" s="8">
        <v>0.8591999946087725</v>
      </c>
      <c r="O17" s="8">
        <v>-7.1893910162046382E-4</v>
      </c>
      <c r="P17" s="8">
        <v>1.1457136643322489E-4</v>
      </c>
      <c r="Q17" s="8">
        <v>7.07189396848662E-4</v>
      </c>
      <c r="R17" s="8">
        <v>7.2801099952041822E-4</v>
      </c>
    </row>
    <row r="18" spans="1:18" x14ac:dyDescent="0.25">
      <c r="A18" s="9" t="s">
        <v>99</v>
      </c>
      <c r="B18" s="8">
        <v>823037.00699999998</v>
      </c>
      <c r="C18" s="8">
        <v>1091413.95</v>
      </c>
      <c r="D18" s="8">
        <v>-120.343</v>
      </c>
      <c r="E18" s="9" t="s">
        <v>30</v>
      </c>
      <c r="F18" s="8">
        <v>823037.00619999995</v>
      </c>
      <c r="G18" s="8">
        <v>1091413.9497</v>
      </c>
      <c r="H18" s="8">
        <v>-120.34229999999999</v>
      </c>
      <c r="I18" s="8">
        <v>30.34046356719718</v>
      </c>
      <c r="J18" s="8">
        <v>4.8577965771466678</v>
      </c>
      <c r="K18" s="8">
        <v>0.67152511897181455</v>
      </c>
      <c r="L18" s="8">
        <v>30.341315398902559</v>
      </c>
      <c r="M18" s="8">
        <v>4.8577303746972547</v>
      </c>
      <c r="N18" s="8">
        <v>0.6722166006478858</v>
      </c>
      <c r="O18" s="8">
        <v>8.5183170537916908E-4</v>
      </c>
      <c r="P18" s="8">
        <v>-6.6202449413133024E-5</v>
      </c>
      <c r="Q18" s="8">
        <v>6.9148167607124833E-4</v>
      </c>
      <c r="R18" s="8">
        <v>8.5440039467552084E-4</v>
      </c>
    </row>
    <row r="19" spans="1:18" x14ac:dyDescent="0.25">
      <c r="A19" s="9" t="s">
        <v>100</v>
      </c>
      <c r="B19" s="8">
        <v>823032.86899999995</v>
      </c>
      <c r="C19" s="8">
        <v>1091422.682</v>
      </c>
      <c r="D19" s="8">
        <v>-120.27800000000001</v>
      </c>
      <c r="E19" s="9" t="s">
        <v>32</v>
      </c>
      <c r="F19" s="8">
        <v>823032.86849999998</v>
      </c>
      <c r="G19" s="8">
        <v>1091422.6769999999</v>
      </c>
      <c r="H19" s="8">
        <v>-120.2773</v>
      </c>
      <c r="I19" s="8">
        <v>30.40045980896911</v>
      </c>
      <c r="J19" s="8">
        <v>4.8048774031409964</v>
      </c>
      <c r="K19" s="8">
        <v>0.73592515606893016</v>
      </c>
      <c r="L19" s="8">
        <v>30.40302605540716</v>
      </c>
      <c r="M19" s="8">
        <v>4.8005571739510966</v>
      </c>
      <c r="N19" s="8">
        <v>0.73659949358379606</v>
      </c>
      <c r="O19" s="8">
        <v>2.5662464380467038E-3</v>
      </c>
      <c r="P19" s="8">
        <v>-4.3202291898998268E-3</v>
      </c>
      <c r="Q19" s="8">
        <v>6.7433751486589699E-4</v>
      </c>
      <c r="R19" s="8">
        <v>5.0249379276027309E-3</v>
      </c>
    </row>
    <row r="20" spans="1:18" x14ac:dyDescent="0.25">
      <c r="A20" s="9" t="s">
        <v>103</v>
      </c>
      <c r="B20" s="8">
        <v>823029.28599999996</v>
      </c>
      <c r="C20" s="8">
        <v>1091421.075</v>
      </c>
      <c r="D20" s="8">
        <v>-120.357</v>
      </c>
      <c r="E20" s="9" t="s">
        <v>28</v>
      </c>
      <c r="F20" s="8">
        <v>823029.28659999999</v>
      </c>
      <c r="G20" s="8">
        <v>1091421.0685000001</v>
      </c>
      <c r="H20" s="8">
        <v>-120.361</v>
      </c>
      <c r="I20" s="8">
        <v>34.326908140287962</v>
      </c>
      <c r="J20" s="8">
        <v>4.8626831261660941</v>
      </c>
      <c r="K20" s="8">
        <v>0.61766064100348217</v>
      </c>
      <c r="L20" s="8">
        <v>34.329111375978833</v>
      </c>
      <c r="M20" s="8">
        <v>4.8565385554739908</v>
      </c>
      <c r="N20" s="8">
        <v>0.61363860862874731</v>
      </c>
      <c r="O20" s="8">
        <v>2.2032356908709971E-3</v>
      </c>
      <c r="P20" s="8">
        <v>-6.1445706921032786E-3</v>
      </c>
      <c r="Q20" s="8">
        <v>-4.022032374734863E-3</v>
      </c>
      <c r="R20" s="8">
        <v>6.5276334724642488E-3</v>
      </c>
    </row>
    <row r="21" spans="1:18" x14ac:dyDescent="0.25">
      <c r="A21" s="9" t="s">
        <v>104</v>
      </c>
      <c r="B21" s="8">
        <v>823033.38500000001</v>
      </c>
      <c r="C21" s="8">
        <v>1091412.2649999999</v>
      </c>
      <c r="D21" s="8">
        <v>-120.26600000000001</v>
      </c>
      <c r="E21" s="9" t="s">
        <v>24</v>
      </c>
      <c r="F21" s="8">
        <v>823033.38289999997</v>
      </c>
      <c r="G21" s="8">
        <v>1091412.2664999999</v>
      </c>
      <c r="H21" s="8">
        <v>-120.268</v>
      </c>
      <c r="I21" s="8">
        <v>34.335222141865117</v>
      </c>
      <c r="J21" s="8">
        <v>4.8542007300734999</v>
      </c>
      <c r="K21" s="8">
        <v>0.70857750092046956</v>
      </c>
      <c r="L21" s="8">
        <v>34.336491460225041</v>
      </c>
      <c r="M21" s="8">
        <v>4.8519537696991204</v>
      </c>
      <c r="N21" s="8">
        <v>0.70656480772660757</v>
      </c>
      <c r="O21" s="8">
        <v>1.2693183599168381E-3</v>
      </c>
      <c r="P21" s="8">
        <v>-2.246960374380436E-3</v>
      </c>
      <c r="Q21" s="8">
        <v>-2.0126931938619919E-3</v>
      </c>
      <c r="R21" s="8">
        <v>2.5806976214913079E-3</v>
      </c>
    </row>
    <row r="22" spans="1:18" x14ac:dyDescent="0.25">
      <c r="A22" s="9" t="s">
        <v>107</v>
      </c>
      <c r="B22" s="8">
        <v>823027.58299999998</v>
      </c>
      <c r="C22" s="8">
        <v>1091409.5419999999</v>
      </c>
      <c r="D22" s="8">
        <v>-120.167</v>
      </c>
      <c r="E22" s="9" t="s">
        <v>22</v>
      </c>
      <c r="F22" s="8">
        <v>823027.5821</v>
      </c>
      <c r="G22" s="8">
        <v>1091409.5447</v>
      </c>
      <c r="H22" s="8">
        <v>-120.1687</v>
      </c>
      <c r="I22" s="8">
        <v>40.744409453452853</v>
      </c>
      <c r="J22" s="8">
        <v>4.8700438758492606</v>
      </c>
      <c r="K22" s="8">
        <v>0.74348557597500076</v>
      </c>
      <c r="L22" s="8">
        <v>40.744084060315132</v>
      </c>
      <c r="M22" s="8">
        <v>4.8672164884706426</v>
      </c>
      <c r="N22" s="8">
        <v>0.74178882990901229</v>
      </c>
      <c r="O22" s="8">
        <v>-3.2539313771451361E-4</v>
      </c>
      <c r="P22" s="8">
        <v>-2.827387378618873E-3</v>
      </c>
      <c r="Q22" s="8">
        <v>-1.6967460659884641E-3</v>
      </c>
      <c r="R22" s="8">
        <v>2.8460499557041441E-3</v>
      </c>
    </row>
    <row r="23" spans="1:18" x14ac:dyDescent="0.25">
      <c r="A23" s="9" t="s">
        <v>108</v>
      </c>
      <c r="B23" s="8">
        <v>823023.49100000004</v>
      </c>
      <c r="C23" s="8">
        <v>1091418.3459999999</v>
      </c>
      <c r="D23" s="8">
        <v>-120.23399999999999</v>
      </c>
      <c r="E23" s="9" t="s">
        <v>26</v>
      </c>
      <c r="F23" s="8">
        <v>823023.49320000003</v>
      </c>
      <c r="G23" s="8">
        <v>1091418.3387</v>
      </c>
      <c r="H23" s="8">
        <v>-120.2346</v>
      </c>
      <c r="I23" s="8">
        <v>40.732287009231612</v>
      </c>
      <c r="J23" s="8">
        <v>4.8384438048623082</v>
      </c>
      <c r="K23" s="8">
        <v>0.6766068005152448</v>
      </c>
      <c r="L23" s="8">
        <v>40.733378247519667</v>
      </c>
      <c r="M23" s="8">
        <v>4.8308979981399691</v>
      </c>
      <c r="N23" s="8">
        <v>0.67599588812353772</v>
      </c>
      <c r="O23" s="8">
        <v>1.091238288054797E-3</v>
      </c>
      <c r="P23" s="8">
        <v>-7.5458067223390657E-3</v>
      </c>
      <c r="Q23" s="8">
        <v>-6.1091239170707468E-4</v>
      </c>
      <c r="R23" s="8">
        <v>7.6243031852755794E-3</v>
      </c>
    </row>
    <row r="24" spans="1:18" x14ac:dyDescent="0.25">
      <c r="A24" s="9" t="s">
        <v>130</v>
      </c>
      <c r="B24" s="8">
        <v>823064.2683</v>
      </c>
      <c r="C24" s="8">
        <v>1091439.9623</v>
      </c>
      <c r="D24" s="8">
        <v>-123.1016</v>
      </c>
      <c r="E24" s="9" t="s">
        <v>68</v>
      </c>
      <c r="F24" s="8">
        <v>823064.26890000002</v>
      </c>
      <c r="G24" s="8">
        <v>1091439.96</v>
      </c>
      <c r="H24" s="8">
        <v>-123.1003</v>
      </c>
      <c r="I24" s="8">
        <v>-5.3599413099471516</v>
      </c>
      <c r="J24" s="8">
        <v>7.1962202051915796</v>
      </c>
      <c r="K24" s="8">
        <v>-1.7300705435559389</v>
      </c>
      <c r="L24" s="8">
        <v>-5.359513071963601</v>
      </c>
      <c r="M24" s="8">
        <v>7.1938821264165886</v>
      </c>
      <c r="N24" s="8">
        <v>-1.7287748259392399</v>
      </c>
      <c r="O24" s="8">
        <v>4.2823798355140502E-4</v>
      </c>
      <c r="P24" s="8">
        <v>-2.338078774990926E-3</v>
      </c>
      <c r="Q24" s="8">
        <v>1.295717616699221E-3</v>
      </c>
      <c r="R24" s="8">
        <v>2.3769729213783571E-3</v>
      </c>
    </row>
    <row r="25" spans="1:18" x14ac:dyDescent="0.25">
      <c r="A25" s="9" t="s">
        <v>135</v>
      </c>
      <c r="B25" s="8">
        <v>823065.87540000002</v>
      </c>
      <c r="C25" s="8">
        <v>1091436.5367000001</v>
      </c>
      <c r="D25" s="8">
        <v>-122.9988</v>
      </c>
      <c r="E25" s="9" t="s">
        <v>70</v>
      </c>
      <c r="F25" s="8">
        <v>823065.875</v>
      </c>
      <c r="G25" s="8">
        <v>1091436.5338000001</v>
      </c>
      <c r="H25" s="8">
        <v>-122.9979</v>
      </c>
      <c r="I25" s="8">
        <v>-5.3687463721886646</v>
      </c>
      <c r="J25" s="8">
        <v>3.4123824390875068</v>
      </c>
      <c r="K25" s="8">
        <v>-1.627182492862318</v>
      </c>
      <c r="L25" s="8">
        <v>-5.3671582554210389</v>
      </c>
      <c r="M25" s="8">
        <v>3.409923194167932</v>
      </c>
      <c r="N25" s="8">
        <v>-1.626298374042833</v>
      </c>
      <c r="O25" s="8">
        <v>1.5881167676266019E-3</v>
      </c>
      <c r="P25" s="8">
        <v>-2.4592449195752759E-3</v>
      </c>
      <c r="Q25" s="8">
        <v>8.8411881948502469E-4</v>
      </c>
      <c r="R25" s="8">
        <v>2.9274561997223829E-3</v>
      </c>
    </row>
    <row r="26" spans="1:18" x14ac:dyDescent="0.25">
      <c r="A26" s="9" t="s">
        <v>144</v>
      </c>
      <c r="B26" s="8">
        <v>823068.73699999996</v>
      </c>
      <c r="C26" s="8">
        <v>1091430.392</v>
      </c>
      <c r="D26" s="8">
        <v>-122.896</v>
      </c>
      <c r="E26" s="9" t="s">
        <v>72</v>
      </c>
      <c r="F26" s="8">
        <v>823068.73739999998</v>
      </c>
      <c r="G26" s="8">
        <v>1091430.3924</v>
      </c>
      <c r="H26" s="8">
        <v>-122.8955</v>
      </c>
      <c r="I26" s="8">
        <v>-5.3653723948770633</v>
      </c>
      <c r="J26" s="8">
        <v>3.3659714369020799</v>
      </c>
      <c r="K26" s="8">
        <v>-1.524416232662716</v>
      </c>
      <c r="L26" s="8">
        <v>-5.3659039653762752</v>
      </c>
      <c r="M26" s="8">
        <v>3.3657779612340009</v>
      </c>
      <c r="N26" s="8">
        <v>-1.523910916953426</v>
      </c>
      <c r="O26" s="8">
        <v>-5.3157049921193078E-4</v>
      </c>
      <c r="P26" s="8">
        <v>-1.9347566807947911E-4</v>
      </c>
      <c r="Q26" s="8">
        <v>5.0531570929024383E-4</v>
      </c>
      <c r="R26" s="8">
        <v>5.6568545181785398E-4</v>
      </c>
    </row>
    <row r="27" spans="1:18" x14ac:dyDescent="0.25">
      <c r="A27" s="9" t="s">
        <v>149</v>
      </c>
      <c r="B27" s="8">
        <v>823070.72589999996</v>
      </c>
      <c r="C27" s="8">
        <v>1091426.2291999999</v>
      </c>
      <c r="D27" s="8">
        <v>-122.61669999999999</v>
      </c>
      <c r="E27" s="9" t="s">
        <v>74</v>
      </c>
      <c r="F27" s="8">
        <v>823070.72470000002</v>
      </c>
      <c r="G27" s="8">
        <v>1091426.2290000001</v>
      </c>
      <c r="H27" s="8">
        <v>-122.6177</v>
      </c>
      <c r="I27" s="8">
        <v>-5.4086513541411563</v>
      </c>
      <c r="J27" s="8">
        <v>7.9792949656473224</v>
      </c>
      <c r="K27" s="8">
        <v>-1.2446834427200879</v>
      </c>
      <c r="L27" s="8">
        <v>-5.4074792613351157</v>
      </c>
      <c r="M27" s="8">
        <v>7.9789690849185986</v>
      </c>
      <c r="N27" s="8">
        <v>-1.245695163657629</v>
      </c>
      <c r="O27" s="8">
        <v>1.1720928060405811E-3</v>
      </c>
      <c r="P27" s="8">
        <v>-3.2588072872297152E-4</v>
      </c>
      <c r="Q27" s="8">
        <v>-1.011720937540872E-3</v>
      </c>
      <c r="R27" s="8">
        <v>1.216552429872864E-3</v>
      </c>
    </row>
    <row r="28" spans="1:18" x14ac:dyDescent="0.25">
      <c r="A28" s="9" t="s">
        <v>152</v>
      </c>
      <c r="B28" s="8">
        <v>823072.09519999998</v>
      </c>
      <c r="C28" s="8">
        <v>1091423.5885999999</v>
      </c>
      <c r="D28" s="8">
        <v>-122.68989999999999</v>
      </c>
      <c r="E28" s="9" t="s">
        <v>85</v>
      </c>
      <c r="F28" s="8">
        <v>823072.09450000001</v>
      </c>
      <c r="G28" s="8">
        <v>1091423.5882999999</v>
      </c>
      <c r="H28" s="8">
        <v>-122.6888</v>
      </c>
      <c r="I28" s="8">
        <v>-5.5336919885695188</v>
      </c>
      <c r="J28" s="8">
        <v>10.95118252929103</v>
      </c>
      <c r="K28" s="8">
        <v>-1.3166330353646321</v>
      </c>
      <c r="L28" s="8">
        <v>-5.5329307876880076</v>
      </c>
      <c r="M28" s="8">
        <v>10.95115858852273</v>
      </c>
      <c r="N28" s="8">
        <v>-1.3155406473796061</v>
      </c>
      <c r="O28" s="8">
        <v>7.6120088151121479E-4</v>
      </c>
      <c r="P28" s="8">
        <v>-2.3940768292263211E-5</v>
      </c>
      <c r="Q28" s="8">
        <v>1.092387985025312E-3</v>
      </c>
      <c r="R28" s="8">
        <v>7.6157727032896943E-4</v>
      </c>
    </row>
    <row r="29" spans="1:18" x14ac:dyDescent="0.25">
      <c r="A29" s="9" t="s">
        <v>160</v>
      </c>
      <c r="B29" s="8">
        <v>823060.10699999996</v>
      </c>
      <c r="C29" s="8">
        <v>1091449.2165000001</v>
      </c>
      <c r="D29" s="8">
        <v>-122.4076</v>
      </c>
      <c r="E29" s="9" t="s">
        <v>87</v>
      </c>
      <c r="F29" s="8">
        <v>823060.10400000005</v>
      </c>
      <c r="G29" s="8">
        <v>1091449.2143000001</v>
      </c>
      <c r="H29" s="8">
        <v>-122.4083</v>
      </c>
      <c r="I29" s="8">
        <v>-5.4995194889901029</v>
      </c>
      <c r="J29" s="8">
        <v>17.342015061399429</v>
      </c>
      <c r="K29" s="8">
        <v>-1.0346747606367761</v>
      </c>
      <c r="L29" s="8">
        <v>-5.4958708053357439</v>
      </c>
      <c r="M29" s="8">
        <v>17.341289040052679</v>
      </c>
      <c r="N29" s="8">
        <v>-1.0354112475028221</v>
      </c>
      <c r="O29" s="8">
        <v>3.6486836543589969E-3</v>
      </c>
      <c r="P29" s="8">
        <v>-7.2602134675037178E-4</v>
      </c>
      <c r="Q29" s="8">
        <v>-7.3648686604599334E-4</v>
      </c>
      <c r="R29" s="8">
        <v>3.720214967648803E-3</v>
      </c>
    </row>
    <row r="30" spans="1:18" x14ac:dyDescent="0.25">
      <c r="A30" s="9" t="s">
        <v>164</v>
      </c>
      <c r="B30" s="8">
        <v>823075.93400000001</v>
      </c>
      <c r="C30" s="8">
        <v>1091440.2426</v>
      </c>
      <c r="D30" s="8">
        <v>-122.65049999999999</v>
      </c>
      <c r="E30" s="9" t="s">
        <v>79</v>
      </c>
      <c r="F30" s="8">
        <v>823075.93420000002</v>
      </c>
      <c r="G30" s="8">
        <v>1091440.2429</v>
      </c>
      <c r="H30" s="8">
        <v>-122.65049999999999</v>
      </c>
      <c r="I30" s="8">
        <v>-16.051114643907599</v>
      </c>
      <c r="J30" s="8">
        <v>2.520117413079892</v>
      </c>
      <c r="K30" s="8">
        <v>-1.172058723759321</v>
      </c>
      <c r="L30" s="8">
        <v>-16.0514226909863</v>
      </c>
      <c r="M30" s="8">
        <v>2.5203047814628738</v>
      </c>
      <c r="N30" s="8">
        <v>-1.1720556432860429</v>
      </c>
      <c r="O30" s="8">
        <v>-3.0804707869691578E-4</v>
      </c>
      <c r="P30" s="8">
        <v>1.87368382981834E-4</v>
      </c>
      <c r="Q30" s="8">
        <v>3.0804732773503929E-6</v>
      </c>
      <c r="R30" s="8">
        <v>3.6055509624014859E-4</v>
      </c>
    </row>
    <row r="31" spans="1:18" x14ac:dyDescent="0.25">
      <c r="A31" s="9" t="s">
        <v>165</v>
      </c>
      <c r="B31" s="8">
        <v>823072.59539999999</v>
      </c>
      <c r="C31" s="8">
        <v>1091432.9246</v>
      </c>
      <c r="D31" s="8">
        <v>-122.4961</v>
      </c>
      <c r="E31" s="9" t="s">
        <v>83</v>
      </c>
      <c r="F31" s="8">
        <v>823072.59519999998</v>
      </c>
      <c r="G31" s="8">
        <v>1091432.9246</v>
      </c>
      <c r="H31" s="8">
        <v>-122.4969</v>
      </c>
      <c r="I31" s="8">
        <v>-9.9325935571714403</v>
      </c>
      <c r="J31" s="8">
        <v>2.7012879219273049</v>
      </c>
      <c r="K31" s="8">
        <v>-1.0788439841057309</v>
      </c>
      <c r="L31" s="8">
        <v>-9.9324122956292129</v>
      </c>
      <c r="M31" s="8">
        <v>2.7012033981430301</v>
      </c>
      <c r="N31" s="8">
        <v>-1.0796457967226161</v>
      </c>
      <c r="O31" s="8">
        <v>1.8126154222741769E-4</v>
      </c>
      <c r="P31" s="8">
        <v>-8.4523784275258862E-5</v>
      </c>
      <c r="Q31" s="8">
        <v>-8.0181261688494487E-4</v>
      </c>
      <c r="R31" s="8">
        <v>2.0000000949949029E-4</v>
      </c>
    </row>
    <row r="32" spans="1:18" x14ac:dyDescent="0.25">
      <c r="A32" s="9" t="s">
        <v>168</v>
      </c>
      <c r="B32" s="8">
        <v>823069.43460000004</v>
      </c>
      <c r="C32" s="8">
        <v>1091437.4269000001</v>
      </c>
      <c r="D32" s="8">
        <v>-122.6673</v>
      </c>
      <c r="E32" s="9" t="s">
        <v>81</v>
      </c>
      <c r="F32" s="8">
        <v>823069.43429999996</v>
      </c>
      <c r="G32" s="8">
        <v>1091437.4257</v>
      </c>
      <c r="H32" s="8">
        <v>-122.6677</v>
      </c>
      <c r="I32" s="8">
        <v>-8.9706916281640616</v>
      </c>
      <c r="J32" s="8">
        <v>2.7149937002338058</v>
      </c>
      <c r="K32" s="8">
        <v>-1.259663011174482</v>
      </c>
      <c r="L32" s="8">
        <v>-8.9699125935537012</v>
      </c>
      <c r="M32" s="8">
        <v>2.7140329165097432</v>
      </c>
      <c r="N32" s="8">
        <v>-1.2600708015268789</v>
      </c>
      <c r="O32" s="8">
        <v>7.7903461036044064E-4</v>
      </c>
      <c r="P32" s="8">
        <v>-9.6078372406305235E-4</v>
      </c>
      <c r="Q32" s="8">
        <v>-4.077903523977966E-4</v>
      </c>
      <c r="R32" s="8">
        <v>1.2369317605538329E-3</v>
      </c>
    </row>
    <row r="33" spans="1:18" x14ac:dyDescent="0.25">
      <c r="A33" s="9" t="s">
        <v>169</v>
      </c>
      <c r="B33" s="8">
        <v>823069.40639999998</v>
      </c>
      <c r="C33" s="8">
        <v>1091431.3256999999</v>
      </c>
      <c r="D33" s="8">
        <v>-122.9242</v>
      </c>
      <c r="E33" s="9" t="s">
        <v>76</v>
      </c>
      <c r="F33" s="8">
        <v>823069.40520000004</v>
      </c>
      <c r="G33" s="8">
        <v>1091431.3265</v>
      </c>
      <c r="H33" s="8">
        <v>-122.92440000000001</v>
      </c>
      <c r="I33" s="8">
        <v>-6.3666536570323613</v>
      </c>
      <c r="J33" s="8">
        <v>2.8026528023887129</v>
      </c>
      <c r="K33" s="8">
        <v>-1.542603411944043</v>
      </c>
      <c r="L33" s="8">
        <v>-6.3659041827140079</v>
      </c>
      <c r="M33" s="8">
        <v>2.8014206140888449</v>
      </c>
      <c r="N33" s="8">
        <v>-1.54281090669329</v>
      </c>
      <c r="O33" s="8">
        <v>7.4947431835337142E-4</v>
      </c>
      <c r="P33" s="8">
        <v>-1.2321882998675979E-3</v>
      </c>
      <c r="Q33" s="8">
        <v>-2.0749474924741659E-4</v>
      </c>
      <c r="R33" s="8">
        <v>1.4422204818239929E-3</v>
      </c>
    </row>
    <row r="34" spans="1:18" x14ac:dyDescent="0.25">
      <c r="A34" s="9" t="s">
        <v>172</v>
      </c>
      <c r="B34" s="8">
        <v>823071.38199999998</v>
      </c>
      <c r="C34" s="8">
        <v>1091438.0970000001</v>
      </c>
      <c r="D34" s="8">
        <v>-122.626</v>
      </c>
      <c r="E34" s="9" t="s">
        <v>77</v>
      </c>
      <c r="F34" s="8">
        <v>823071.38130000001</v>
      </c>
      <c r="G34" s="8">
        <v>1091438.0955000001</v>
      </c>
      <c r="H34" s="8">
        <v>-122.6268</v>
      </c>
      <c r="I34" s="8">
        <v>-11.01883184907425</v>
      </c>
      <c r="J34" s="8">
        <v>2.4993031688232779</v>
      </c>
      <c r="K34" s="8">
        <v>-1.197881592402553</v>
      </c>
      <c r="L34" s="8">
        <v>-11.01756350594848</v>
      </c>
      <c r="M34" s="8">
        <v>2.4982395404513089</v>
      </c>
      <c r="N34" s="8">
        <v>-1.198694275844062</v>
      </c>
      <c r="O34" s="8">
        <v>1.268343125774507E-3</v>
      </c>
      <c r="P34" s="8">
        <v>-1.0636283719684949E-3</v>
      </c>
      <c r="Q34" s="8">
        <v>-8.1268344150942085E-4</v>
      </c>
      <c r="R34" s="8">
        <v>1.655294536984982E-3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3" customWidth="1"/>
    <col min="16" max="16" width="11.42578125" style="33" customWidth="1"/>
    <col min="17" max="17" width="11.42578125" customWidth="1"/>
  </cols>
  <sheetData>
    <row r="1" spans="1:16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190</v>
      </c>
      <c r="J1" s="30" t="s">
        <v>191</v>
      </c>
      <c r="K1" s="30" t="s">
        <v>192</v>
      </c>
      <c r="L1" s="32" t="s">
        <v>193</v>
      </c>
      <c r="M1" s="30" t="s">
        <v>4</v>
      </c>
      <c r="N1" s="30" t="s">
        <v>5</v>
      </c>
      <c r="O1" s="30" t="s">
        <v>6</v>
      </c>
      <c r="P1" s="30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4"/>
      <c r="N2" s="34"/>
      <c r="O2" s="34"/>
      <c r="P2" s="34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4"/>
      <c r="N3" s="34"/>
      <c r="O3" s="34"/>
      <c r="P3" s="34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4"/>
      <c r="N4" s="34"/>
      <c r="O4" s="34"/>
      <c r="P4" s="34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4"/>
      <c r="N5" s="34"/>
      <c r="O5" s="34"/>
      <c r="P5" s="34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4"/>
      <c r="N6" s="34"/>
      <c r="O6" s="34"/>
      <c r="P6" s="34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4"/>
      <c r="N7" s="34"/>
      <c r="O7" s="34"/>
      <c r="P7" s="34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4"/>
      <c r="N8" s="34"/>
      <c r="O8" s="34"/>
      <c r="P8" s="34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4"/>
      <c r="N9" s="34"/>
      <c r="O9" s="34"/>
      <c r="P9" s="34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4"/>
      <c r="N10" s="34"/>
      <c r="O10" s="34"/>
      <c r="P10" s="34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4"/>
      <c r="N11" s="34"/>
      <c r="O11" s="34"/>
      <c r="P11" s="34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4"/>
      <c r="N12" s="34"/>
      <c r="O12" s="34"/>
      <c r="P12" s="34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4"/>
      <c r="N13" s="34"/>
      <c r="O13" s="34"/>
      <c r="P13" s="34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4"/>
      <c r="N14" s="34"/>
      <c r="O14" s="34"/>
      <c r="P14" s="34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4"/>
      <c r="N15" s="34"/>
      <c r="O15" s="34"/>
      <c r="P15" s="34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4"/>
      <c r="N16" s="34"/>
      <c r="O16" s="34"/>
      <c r="P16" s="34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4"/>
      <c r="N17" s="34"/>
      <c r="O17" s="34"/>
      <c r="P17" s="34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4"/>
      <c r="N18" s="34"/>
      <c r="O18" s="34"/>
      <c r="P18" s="34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4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4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4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4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4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4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4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4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4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4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4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4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4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4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4"/>
    </row>
    <row r="34" spans="1:16" x14ac:dyDescent="0.25">
      <c r="E34" s="9"/>
      <c r="F34" s="8"/>
      <c r="G34" s="8"/>
      <c r="H34" s="8"/>
      <c r="N34" s="34"/>
      <c r="O34" s="34"/>
      <c r="P34" s="34"/>
    </row>
    <row r="35" spans="1:16" x14ac:dyDescent="0.25">
      <c r="E35" s="9"/>
      <c r="F35" s="8"/>
      <c r="G35" s="8"/>
      <c r="H35" s="8"/>
      <c r="N35" s="34"/>
      <c r="O35" s="34"/>
      <c r="P35" s="34"/>
    </row>
    <row r="36" spans="1:16" x14ac:dyDescent="0.25">
      <c r="E36" s="9"/>
      <c r="F36" s="8"/>
      <c r="G36" s="8"/>
      <c r="H36" s="8"/>
      <c r="N36" s="34"/>
      <c r="O36" s="34"/>
      <c r="P36" s="34"/>
    </row>
    <row r="37" spans="1:16" x14ac:dyDescent="0.25">
      <c r="E37" s="9"/>
      <c r="F37" s="8"/>
      <c r="G37" s="8"/>
      <c r="H37" s="8"/>
      <c r="N37" s="34"/>
      <c r="O37" s="34"/>
      <c r="P37" s="34"/>
    </row>
    <row r="38" spans="1:16" x14ac:dyDescent="0.25">
      <c r="E38" s="9"/>
      <c r="F38" s="8"/>
      <c r="G38" s="8"/>
      <c r="H38" s="8"/>
      <c r="N38" s="34"/>
      <c r="O38" s="34"/>
      <c r="P38" s="34"/>
    </row>
    <row r="39" spans="1:16" x14ac:dyDescent="0.25">
      <c r="E39" s="9"/>
      <c r="F39" s="8"/>
      <c r="G39" s="8"/>
      <c r="H39" s="8"/>
      <c r="N39" s="34"/>
      <c r="O39" s="34"/>
      <c r="P39" s="34"/>
    </row>
    <row r="40" spans="1:16" x14ac:dyDescent="0.25">
      <c r="E40" s="9"/>
      <c r="F40" s="8"/>
      <c r="G40" s="8"/>
      <c r="H40" s="8"/>
      <c r="N40" s="34"/>
      <c r="O40" s="34"/>
      <c r="P40" s="34"/>
    </row>
    <row r="41" spans="1:16" x14ac:dyDescent="0.25">
      <c r="E41" s="9"/>
      <c r="F41" s="8"/>
      <c r="G41" s="8"/>
      <c r="H41" s="8"/>
      <c r="N41" s="34"/>
      <c r="O41" s="34"/>
      <c r="P41" s="34"/>
    </row>
    <row r="42" spans="1:16" x14ac:dyDescent="0.25">
      <c r="E42" s="9"/>
      <c r="F42" s="8"/>
      <c r="G42" s="8"/>
      <c r="H42" s="8"/>
      <c r="N42" s="34"/>
      <c r="O42" s="34"/>
      <c r="P42" s="34"/>
    </row>
    <row r="43" spans="1:16" x14ac:dyDescent="0.25">
      <c r="E43" s="9"/>
      <c r="F43" s="8"/>
      <c r="G43" s="8"/>
      <c r="H43" s="8"/>
      <c r="N43" s="34"/>
      <c r="O43" s="34"/>
      <c r="P43" s="34"/>
    </row>
    <row r="44" spans="1:16" x14ac:dyDescent="0.25">
      <c r="E44" s="9"/>
      <c r="F44" s="8"/>
      <c r="G44" s="8"/>
      <c r="H44" s="8"/>
      <c r="N44" s="34"/>
      <c r="O44" s="34"/>
      <c r="P44" s="34"/>
    </row>
    <row r="45" spans="1:16" x14ac:dyDescent="0.25">
      <c r="E45" s="9"/>
      <c r="F45" s="8"/>
      <c r="G45" s="8"/>
      <c r="H45" s="8"/>
      <c r="N45" s="34"/>
      <c r="O45" s="34"/>
      <c r="P45" s="34"/>
    </row>
    <row r="46" spans="1:16" x14ac:dyDescent="0.25">
      <c r="E46" s="9"/>
      <c r="F46" s="8"/>
      <c r="G46" s="8"/>
      <c r="H46" s="8"/>
      <c r="N46" s="34"/>
      <c r="O46" s="34"/>
      <c r="P46" s="34"/>
    </row>
    <row r="47" spans="1:16" x14ac:dyDescent="0.25">
      <c r="E47" s="9"/>
      <c r="F47" s="8"/>
      <c r="G47" s="8"/>
      <c r="H47" s="8"/>
      <c r="N47" s="34"/>
      <c r="O47" s="34"/>
      <c r="P47" s="34"/>
    </row>
    <row r="48" spans="1:16" x14ac:dyDescent="0.25">
      <c r="E48" s="9"/>
      <c r="F48" s="8"/>
      <c r="G48" s="8"/>
      <c r="H48" s="8"/>
      <c r="N48" s="34"/>
      <c r="O48" s="34"/>
      <c r="P48" s="34"/>
    </row>
    <row r="49" spans="5:16" x14ac:dyDescent="0.25">
      <c r="E49" s="9"/>
      <c r="F49" s="8"/>
      <c r="G49" s="8"/>
      <c r="H49" s="8"/>
      <c r="N49" s="34"/>
      <c r="O49" s="34"/>
      <c r="P49" s="34"/>
    </row>
    <row r="50" spans="5:16" x14ac:dyDescent="0.25">
      <c r="E50" s="9"/>
      <c r="F50" s="8"/>
      <c r="G50" s="8"/>
      <c r="H50" s="8"/>
      <c r="N50" s="34"/>
      <c r="O50" s="34"/>
      <c r="P50" s="34"/>
    </row>
    <row r="51" spans="5:16" x14ac:dyDescent="0.25">
      <c r="E51" s="9"/>
      <c r="F51" s="8"/>
      <c r="G51" s="8"/>
      <c r="H51" s="8"/>
      <c r="N51" s="34"/>
      <c r="O51" s="34"/>
      <c r="P51" s="34"/>
    </row>
    <row r="52" spans="5:16" x14ac:dyDescent="0.25">
      <c r="E52" s="9"/>
      <c r="F52" s="8"/>
      <c r="G52" s="8"/>
      <c r="H52" s="8"/>
      <c r="N52" s="34"/>
      <c r="O52" s="34"/>
      <c r="P52" s="34"/>
    </row>
    <row r="53" spans="5:16" x14ac:dyDescent="0.25">
      <c r="E53" s="9"/>
      <c r="F53" s="8"/>
      <c r="G53" s="8"/>
      <c r="H53" s="8"/>
      <c r="N53" s="34"/>
      <c r="O53" s="34"/>
      <c r="P53" s="34"/>
    </row>
    <row r="54" spans="5:16" x14ac:dyDescent="0.25">
      <c r="E54" s="9"/>
      <c r="F54" s="8"/>
      <c r="G54" s="8"/>
      <c r="H54" s="8"/>
      <c r="N54" s="34"/>
      <c r="O54" s="34"/>
      <c r="P54" s="34"/>
    </row>
    <row r="55" spans="5:16" x14ac:dyDescent="0.25">
      <c r="E55" s="9"/>
      <c r="F55" s="31"/>
      <c r="G55" s="31"/>
      <c r="H55" s="31"/>
      <c r="N55" s="34"/>
      <c r="O55" s="34"/>
      <c r="P55" s="34"/>
    </row>
    <row r="56" spans="5:16" x14ac:dyDescent="0.25">
      <c r="E56" s="9"/>
      <c r="F56" s="8"/>
      <c r="G56" s="8"/>
      <c r="H56" s="8"/>
      <c r="N56" s="34"/>
      <c r="O56" s="34"/>
      <c r="P56" s="34"/>
    </row>
    <row r="57" spans="5:16" x14ac:dyDescent="0.25">
      <c r="E57" s="9"/>
      <c r="F57" s="8"/>
      <c r="G57" s="8"/>
      <c r="H57" s="8"/>
      <c r="N57" s="34"/>
      <c r="O57" s="34"/>
      <c r="P57" s="34"/>
    </row>
    <row r="58" spans="5:16" x14ac:dyDescent="0.25">
      <c r="E58" s="9"/>
      <c r="F58" s="8"/>
      <c r="G58" s="8"/>
      <c r="H58" s="8"/>
      <c r="N58" s="34"/>
      <c r="O58" s="34"/>
      <c r="P5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4</v>
      </c>
      <c r="B1" s="35" t="s">
        <v>5</v>
      </c>
      <c r="C1" s="35" t="s">
        <v>6</v>
      </c>
      <c r="D1" s="35" t="s">
        <v>7</v>
      </c>
    </row>
    <row r="2" spans="1:4" x14ac:dyDescent="0.25">
      <c r="A2" s="9" t="s">
        <v>9</v>
      </c>
      <c r="B2" s="8">
        <v>823037.94030000002</v>
      </c>
      <c r="C2" s="8">
        <v>1091420.0090999999</v>
      </c>
      <c r="D2" s="8">
        <v>-119.6401</v>
      </c>
    </row>
    <row r="3" spans="1:4" x14ac:dyDescent="0.25">
      <c r="A3" s="9" t="s">
        <v>11</v>
      </c>
      <c r="B3" s="8">
        <v>823064.62540000002</v>
      </c>
      <c r="C3" s="8">
        <v>1091432.3955000001</v>
      </c>
      <c r="D3" s="8">
        <v>-122.3317</v>
      </c>
    </row>
    <row r="4" spans="1:4" x14ac:dyDescent="0.25">
      <c r="A4" s="8">
        <v>4</v>
      </c>
      <c r="B4" s="8">
        <v>823064.62520000001</v>
      </c>
      <c r="C4" s="8">
        <v>1091432.3953</v>
      </c>
      <c r="D4" s="8">
        <v>-122.3308</v>
      </c>
    </row>
    <row r="5" spans="1:4" x14ac:dyDescent="0.25">
      <c r="A5" s="9" t="s">
        <v>38</v>
      </c>
      <c r="B5" s="8">
        <v>823064.62529999996</v>
      </c>
      <c r="C5" s="8">
        <v>1091432.3955000001</v>
      </c>
      <c r="D5" s="8">
        <v>-122.3308</v>
      </c>
    </row>
    <row r="6" spans="1:4" x14ac:dyDescent="0.25">
      <c r="A6" s="9" t="s">
        <v>52</v>
      </c>
      <c r="B6" s="8">
        <v>823064.62520000001</v>
      </c>
      <c r="C6" s="8">
        <v>1091432.3953</v>
      </c>
      <c r="D6" s="8">
        <v>-122.3308</v>
      </c>
    </row>
    <row r="7" spans="1:4" x14ac:dyDescent="0.25">
      <c r="A7" s="9" t="s">
        <v>54</v>
      </c>
      <c r="B7" s="8">
        <v>823037.94010000001</v>
      </c>
      <c r="C7" s="8">
        <v>1091420.0094000001</v>
      </c>
      <c r="D7" s="8">
        <v>-119.6391</v>
      </c>
    </row>
    <row r="8" spans="1:4" x14ac:dyDescent="0.25">
      <c r="A8" s="9" t="s">
        <v>56</v>
      </c>
      <c r="B8" s="8">
        <v>823037.94019999995</v>
      </c>
      <c r="C8" s="8">
        <v>1091420.0092</v>
      </c>
      <c r="D8" s="8">
        <v>-119.6391</v>
      </c>
    </row>
    <row r="9" spans="1:4" x14ac:dyDescent="0.25">
      <c r="A9" s="9" t="s">
        <v>66</v>
      </c>
      <c r="B9" s="8">
        <v>823037.94010000001</v>
      </c>
      <c r="C9" s="8">
        <v>1091420.0094000001</v>
      </c>
      <c r="D9" s="8">
        <v>-119.6391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4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0</v>
      </c>
      <c r="B1" s="35" t="s">
        <v>1</v>
      </c>
      <c r="C1" s="35" t="s">
        <v>2</v>
      </c>
      <c r="D1" s="35" t="s">
        <v>3</v>
      </c>
    </row>
    <row r="2" spans="1:4" x14ac:dyDescent="0.25">
      <c r="A2" s="9" t="s">
        <v>8</v>
      </c>
      <c r="B2" s="8">
        <v>823066.45700000005</v>
      </c>
      <c r="C2" s="8">
        <v>1091436.186</v>
      </c>
      <c r="D2" s="8">
        <v>-123.12</v>
      </c>
    </row>
    <row r="3" spans="1:4" x14ac:dyDescent="0.25">
      <c r="A3" s="9" t="s">
        <v>10</v>
      </c>
      <c r="B3" s="8">
        <v>823066.32400000002</v>
      </c>
      <c r="C3" s="8">
        <v>1091435.7849999999</v>
      </c>
      <c r="D3" s="8">
        <v>-120.99</v>
      </c>
    </row>
    <row r="4" spans="1:4" x14ac:dyDescent="0.25">
      <c r="A4" s="9" t="s">
        <v>12</v>
      </c>
      <c r="B4" s="8">
        <v>823066.35100000002</v>
      </c>
      <c r="C4" s="8">
        <v>1091432.3189999999</v>
      </c>
      <c r="D4" s="8">
        <v>-119.54900000000001</v>
      </c>
    </row>
    <row r="5" spans="1:4" x14ac:dyDescent="0.25">
      <c r="A5" s="9" t="s">
        <v>14</v>
      </c>
      <c r="B5" s="8">
        <v>823068.75699999998</v>
      </c>
      <c r="C5" s="8">
        <v>1091431.22</v>
      </c>
      <c r="D5" s="8">
        <v>-121.355</v>
      </c>
    </row>
    <row r="6" spans="1:4" x14ac:dyDescent="0.25">
      <c r="A6" s="9" t="s">
        <v>16</v>
      </c>
      <c r="B6" s="8">
        <v>823068.88</v>
      </c>
      <c r="C6" s="8">
        <v>1091431.0220000001</v>
      </c>
      <c r="D6" s="8">
        <v>-123.01300000000001</v>
      </c>
    </row>
    <row r="7" spans="1:4" x14ac:dyDescent="0.25">
      <c r="A7" s="9" t="s">
        <v>18</v>
      </c>
      <c r="B7" s="8">
        <v>823066.78700000001</v>
      </c>
      <c r="C7" s="8">
        <v>1091433.216</v>
      </c>
      <c r="D7" s="8">
        <v>-119.666</v>
      </c>
    </row>
    <row r="8" spans="1:4" x14ac:dyDescent="0.25">
      <c r="A8" s="9" t="s">
        <v>20</v>
      </c>
      <c r="B8" s="8">
        <v>823067.47</v>
      </c>
      <c r="C8" s="8">
        <v>1091433.4950000001</v>
      </c>
      <c r="D8" s="8">
        <v>-119.625</v>
      </c>
    </row>
    <row r="9" spans="1:4" x14ac:dyDescent="0.25">
      <c r="A9" s="9" t="s">
        <v>21</v>
      </c>
      <c r="B9" s="8">
        <v>823066.25899999996</v>
      </c>
      <c r="C9" s="8">
        <v>1091430.058</v>
      </c>
      <c r="D9" s="8">
        <v>-119.646</v>
      </c>
    </row>
    <row r="10" spans="1:4" x14ac:dyDescent="0.25">
      <c r="A10" s="9" t="s">
        <v>23</v>
      </c>
      <c r="B10" s="8">
        <v>823062.86199999996</v>
      </c>
      <c r="C10" s="8">
        <v>1091431.463</v>
      </c>
      <c r="D10" s="8">
        <v>-119.506</v>
      </c>
    </row>
    <row r="11" spans="1:4" x14ac:dyDescent="0.25">
      <c r="A11" s="9" t="s">
        <v>25</v>
      </c>
      <c r="B11" s="8">
        <v>823063.76399999997</v>
      </c>
      <c r="C11" s="8">
        <v>1091428.6710000001</v>
      </c>
      <c r="D11" s="8">
        <v>-123.194</v>
      </c>
    </row>
    <row r="12" spans="1:4" x14ac:dyDescent="0.25">
      <c r="A12" s="9" t="s">
        <v>27</v>
      </c>
      <c r="B12" s="8">
        <v>823063.83299999998</v>
      </c>
      <c r="C12" s="8">
        <v>1091428.8770000001</v>
      </c>
      <c r="D12" s="8">
        <v>-121.26</v>
      </c>
    </row>
    <row r="13" spans="1:4" x14ac:dyDescent="0.25">
      <c r="A13" s="9" t="s">
        <v>29</v>
      </c>
      <c r="B13" s="8">
        <v>823064.321</v>
      </c>
      <c r="C13" s="8">
        <v>1091430.227</v>
      </c>
      <c r="D13" s="8">
        <v>-119.907</v>
      </c>
    </row>
    <row r="14" spans="1:4" x14ac:dyDescent="0.25">
      <c r="A14" s="9" t="s">
        <v>31</v>
      </c>
      <c r="B14" s="8">
        <v>823064.17099999997</v>
      </c>
      <c r="C14" s="8">
        <v>1091432.0549999999</v>
      </c>
      <c r="D14" s="8">
        <v>-119.693</v>
      </c>
    </row>
    <row r="15" spans="1:4" x14ac:dyDescent="0.25">
      <c r="A15" s="9" t="s">
        <v>33</v>
      </c>
      <c r="B15" s="8">
        <v>823062.94799999997</v>
      </c>
      <c r="C15" s="8">
        <v>1091433.2039999999</v>
      </c>
      <c r="D15" s="8">
        <v>-119.901</v>
      </c>
    </row>
    <row r="16" spans="1:4" x14ac:dyDescent="0.25">
      <c r="A16" s="9" t="s">
        <v>35</v>
      </c>
      <c r="B16" s="8">
        <v>823061.56599999999</v>
      </c>
      <c r="C16" s="8">
        <v>1091433.7220000001</v>
      </c>
      <c r="D16" s="8">
        <v>-121.36499999999999</v>
      </c>
    </row>
    <row r="17" spans="1:4" x14ac:dyDescent="0.25">
      <c r="A17" s="9" t="s">
        <v>37</v>
      </c>
      <c r="B17" s="8">
        <v>823067.63199999998</v>
      </c>
      <c r="C17" s="8">
        <v>1091436.291</v>
      </c>
      <c r="D17" s="8">
        <v>-123.495</v>
      </c>
    </row>
    <row r="18" spans="1:4" x14ac:dyDescent="0.25">
      <c r="A18" s="9" t="s">
        <v>39</v>
      </c>
      <c r="B18" s="8">
        <v>823067.77800000005</v>
      </c>
      <c r="C18" s="8">
        <v>1091436.014</v>
      </c>
      <c r="D18" s="8">
        <v>-121.07599999999999</v>
      </c>
    </row>
    <row r="19" spans="1:4" x14ac:dyDescent="0.25">
      <c r="A19" s="9" t="s">
        <v>41</v>
      </c>
      <c r="B19" s="8">
        <v>823068.56799999997</v>
      </c>
      <c r="C19" s="8">
        <v>1091434.2579999999</v>
      </c>
      <c r="D19" s="8">
        <v>-119.834</v>
      </c>
    </row>
    <row r="20" spans="1:4" x14ac:dyDescent="0.25">
      <c r="A20" s="9" t="s">
        <v>43</v>
      </c>
      <c r="B20" s="8">
        <v>823069.47499999998</v>
      </c>
      <c r="C20" s="8">
        <v>1091432.3629999999</v>
      </c>
      <c r="D20" s="8">
        <v>-120.824</v>
      </c>
    </row>
    <row r="21" spans="1:4" x14ac:dyDescent="0.25">
      <c r="A21" s="9" t="s">
        <v>45</v>
      </c>
      <c r="B21" s="8">
        <v>823069.70400000003</v>
      </c>
      <c r="C21" s="8">
        <v>1091431.821</v>
      </c>
      <c r="D21" s="8">
        <v>-123.154</v>
      </c>
    </row>
    <row r="22" spans="1:4" x14ac:dyDescent="0.25">
      <c r="A22" s="9" t="s">
        <v>51</v>
      </c>
      <c r="B22" s="8">
        <v>823058.06740000006</v>
      </c>
      <c r="C22" s="8">
        <v>1091432.0834999999</v>
      </c>
      <c r="D22" s="8">
        <v>-122.4089</v>
      </c>
    </row>
    <row r="23" spans="1:4" x14ac:dyDescent="0.25">
      <c r="A23" s="9" t="s">
        <v>53</v>
      </c>
      <c r="B23" s="8">
        <v>823060.35820000002</v>
      </c>
      <c r="C23" s="8">
        <v>1091427.1366999999</v>
      </c>
      <c r="D23" s="8">
        <v>-122.3156</v>
      </c>
    </row>
    <row r="24" spans="1:4" x14ac:dyDescent="0.25">
      <c r="A24" s="9" t="s">
        <v>55</v>
      </c>
      <c r="B24" s="8">
        <v>823056.94499999995</v>
      </c>
      <c r="C24" s="8">
        <v>1091431.632</v>
      </c>
      <c r="D24" s="8">
        <v>-122.565</v>
      </c>
    </row>
    <row r="25" spans="1:4" x14ac:dyDescent="0.25">
      <c r="A25" s="9" t="s">
        <v>57</v>
      </c>
      <c r="B25" s="8">
        <v>823056.25179999997</v>
      </c>
      <c r="C25" s="8">
        <v>1091431.2397</v>
      </c>
      <c r="D25" s="8">
        <v>-122.49</v>
      </c>
    </row>
    <row r="26" spans="1:4" x14ac:dyDescent="0.25">
      <c r="A26" s="9" t="s">
        <v>59</v>
      </c>
      <c r="B26" s="8">
        <v>823053.64930000005</v>
      </c>
      <c r="C26" s="8">
        <v>1091429.8755999999</v>
      </c>
      <c r="D26" s="8">
        <v>-122.30929999999999</v>
      </c>
    </row>
    <row r="27" spans="1:4" x14ac:dyDescent="0.25">
      <c r="A27" s="9" t="s">
        <v>61</v>
      </c>
      <c r="B27" s="8">
        <v>823055.78289999999</v>
      </c>
      <c r="C27" s="8">
        <v>1091425.2671000001</v>
      </c>
      <c r="D27" s="8">
        <v>-122.3244</v>
      </c>
    </row>
    <row r="28" spans="1:4" x14ac:dyDescent="0.25">
      <c r="A28" s="9" t="s">
        <v>63</v>
      </c>
      <c r="B28" s="8">
        <v>823052.60510000004</v>
      </c>
      <c r="C28" s="8">
        <v>1091429.6169</v>
      </c>
      <c r="D28" s="8">
        <v>-122.4147</v>
      </c>
    </row>
    <row r="29" spans="1:4" x14ac:dyDescent="0.25">
      <c r="A29" s="9" t="s">
        <v>65</v>
      </c>
      <c r="B29" s="8">
        <v>823054.88639999996</v>
      </c>
      <c r="C29" s="8">
        <v>1091424.7015</v>
      </c>
      <c r="D29" s="8">
        <v>-122.3229</v>
      </c>
    </row>
    <row r="30" spans="1:4" x14ac:dyDescent="0.25">
      <c r="A30" s="9" t="s">
        <v>71</v>
      </c>
      <c r="B30" s="8">
        <v>823050.39599999995</v>
      </c>
      <c r="C30" s="8">
        <v>1091428.7860000001</v>
      </c>
      <c r="D30" s="8">
        <v>-121.88200000000001</v>
      </c>
    </row>
    <row r="31" spans="1:4" x14ac:dyDescent="0.25">
      <c r="A31" s="9" t="s">
        <v>73</v>
      </c>
      <c r="B31" s="8">
        <v>823052.853</v>
      </c>
      <c r="C31" s="8">
        <v>1091423.5020000001</v>
      </c>
      <c r="D31" s="8">
        <v>-121.602</v>
      </c>
    </row>
    <row r="32" spans="1:4" x14ac:dyDescent="0.25">
      <c r="A32" s="9" t="s">
        <v>75</v>
      </c>
      <c r="B32" s="8">
        <v>823052.38939999999</v>
      </c>
      <c r="C32" s="8">
        <v>1091423.4109</v>
      </c>
      <c r="D32" s="8">
        <v>-121.1957</v>
      </c>
    </row>
    <row r="33" spans="1:4" x14ac:dyDescent="0.25">
      <c r="A33" s="9" t="s">
        <v>75</v>
      </c>
      <c r="B33" s="8">
        <v>823052.38939999999</v>
      </c>
      <c r="C33" s="8">
        <v>1091423.4109</v>
      </c>
      <c r="D33" s="8">
        <v>-121.1957</v>
      </c>
    </row>
    <row r="34" spans="1:4" x14ac:dyDescent="0.25">
      <c r="A34" s="9" t="s">
        <v>78</v>
      </c>
      <c r="B34" s="8">
        <v>823048.07290000003</v>
      </c>
      <c r="C34" s="8">
        <v>1091428.1936999999</v>
      </c>
      <c r="D34" s="8">
        <v>-120.9751</v>
      </c>
    </row>
    <row r="35" spans="1:4" x14ac:dyDescent="0.25">
      <c r="A35" s="9" t="s">
        <v>84</v>
      </c>
      <c r="B35" s="8">
        <v>823045.41669999994</v>
      </c>
      <c r="C35" s="8">
        <v>1091427.9114999999</v>
      </c>
      <c r="D35" s="8">
        <v>-120.5945</v>
      </c>
    </row>
    <row r="36" spans="1:4" x14ac:dyDescent="0.25">
      <c r="A36" s="9" t="s">
        <v>86</v>
      </c>
      <c r="B36" s="8">
        <v>823048.36179999996</v>
      </c>
      <c r="C36" s="8">
        <v>1091419.6240999999</v>
      </c>
      <c r="D36" s="8">
        <v>-120.3824</v>
      </c>
    </row>
    <row r="37" spans="1:4" x14ac:dyDescent="0.25">
      <c r="A37" s="9" t="s">
        <v>88</v>
      </c>
      <c r="B37" s="8">
        <v>823042.91839999997</v>
      </c>
      <c r="C37" s="8">
        <v>1091427.5917</v>
      </c>
      <c r="D37" s="8">
        <v>-120.0873</v>
      </c>
    </row>
    <row r="38" spans="1:4" x14ac:dyDescent="0.25">
      <c r="A38" s="9" t="s">
        <v>89</v>
      </c>
      <c r="B38" s="8">
        <v>823047.09939999995</v>
      </c>
      <c r="C38" s="8">
        <v>1091418.5462</v>
      </c>
      <c r="D38" s="8">
        <v>-120.0256</v>
      </c>
    </row>
    <row r="39" spans="1:4" x14ac:dyDescent="0.25">
      <c r="A39" s="9" t="s">
        <v>90</v>
      </c>
      <c r="B39" s="8">
        <v>823041.60250000004</v>
      </c>
      <c r="C39" s="8">
        <v>1091426.7675999999</v>
      </c>
      <c r="D39" s="8">
        <v>-120.3382</v>
      </c>
    </row>
    <row r="40" spans="1:4" x14ac:dyDescent="0.25">
      <c r="A40" s="9" t="s">
        <v>91</v>
      </c>
      <c r="B40" s="8">
        <v>823045.67350000003</v>
      </c>
      <c r="C40" s="8">
        <v>1091418.0194999999</v>
      </c>
      <c r="D40" s="8">
        <v>-120.2671</v>
      </c>
    </row>
    <row r="41" spans="1:4" x14ac:dyDescent="0.25">
      <c r="A41" s="9" t="s">
        <v>92</v>
      </c>
      <c r="B41" s="8">
        <v>823039.76699999999</v>
      </c>
      <c r="C41" s="8">
        <v>1091426.0249999999</v>
      </c>
      <c r="D41" s="8">
        <v>-119.82599999999999</v>
      </c>
    </row>
    <row r="42" spans="1:4" x14ac:dyDescent="0.25">
      <c r="A42" s="9" t="s">
        <v>93</v>
      </c>
      <c r="B42" s="8">
        <v>823043.228</v>
      </c>
      <c r="C42" s="8">
        <v>1091416.638</v>
      </c>
      <c r="D42" s="8">
        <v>-119.985</v>
      </c>
    </row>
    <row r="43" spans="1:4" x14ac:dyDescent="0.25">
      <c r="A43" s="9" t="s">
        <v>96</v>
      </c>
      <c r="B43" s="8">
        <v>823035.11100000003</v>
      </c>
      <c r="C43" s="8">
        <v>1091423.7679999999</v>
      </c>
      <c r="D43" s="8">
        <v>-120.18899999999999</v>
      </c>
    </row>
    <row r="44" spans="1:4" x14ac:dyDescent="0.25">
      <c r="A44" s="9" t="s">
        <v>97</v>
      </c>
      <c r="B44" s="8">
        <v>823038.94</v>
      </c>
      <c r="C44" s="8">
        <v>1091414.602</v>
      </c>
      <c r="D44" s="8">
        <v>-120.107</v>
      </c>
    </row>
    <row r="45" spans="1:4" x14ac:dyDescent="0.25">
      <c r="A45" s="9" t="s">
        <v>98</v>
      </c>
      <c r="B45" s="8">
        <v>823033.88600000006</v>
      </c>
      <c r="C45" s="8">
        <v>1091423.4950000001</v>
      </c>
      <c r="D45" s="8">
        <v>-120.242</v>
      </c>
    </row>
    <row r="46" spans="1:4" x14ac:dyDescent="0.25">
      <c r="A46" s="9" t="s">
        <v>101</v>
      </c>
      <c r="B46" s="8">
        <v>823030.005</v>
      </c>
      <c r="C46" s="8">
        <v>1091421.395</v>
      </c>
      <c r="D46" s="8">
        <v>-120.31</v>
      </c>
    </row>
    <row r="47" spans="1:4" x14ac:dyDescent="0.25">
      <c r="A47" s="9" t="s">
        <v>102</v>
      </c>
      <c r="B47" s="8">
        <v>823034.10100000002</v>
      </c>
      <c r="C47" s="8">
        <v>1091412.5989999999</v>
      </c>
      <c r="D47" s="8">
        <v>-120.256</v>
      </c>
    </row>
    <row r="48" spans="1:4" x14ac:dyDescent="0.25">
      <c r="A48" s="9" t="s">
        <v>105</v>
      </c>
      <c r="B48" s="8">
        <v>823025.91099999996</v>
      </c>
      <c r="C48" s="8">
        <v>1091419.72</v>
      </c>
      <c r="D48" s="8">
        <v>-119.80800000000001</v>
      </c>
    </row>
    <row r="49" spans="1:4" x14ac:dyDescent="0.25">
      <c r="A49" s="9" t="s">
        <v>106</v>
      </c>
      <c r="B49" s="8">
        <v>823030.21299999999</v>
      </c>
      <c r="C49" s="8">
        <v>1091410.4809999999</v>
      </c>
      <c r="D49" s="8">
        <v>-119.94799999999999</v>
      </c>
    </row>
    <row r="50" spans="1:4" x14ac:dyDescent="0.25">
      <c r="A50" s="9" t="s">
        <v>109</v>
      </c>
      <c r="B50" s="8">
        <v>823062.48800000001</v>
      </c>
      <c r="C50" s="8">
        <v>1091428.3659999999</v>
      </c>
      <c r="D50" s="8">
        <v>-123.06100000000001</v>
      </c>
    </row>
    <row r="51" spans="1:4" x14ac:dyDescent="0.25">
      <c r="A51" s="9" t="s">
        <v>110</v>
      </c>
      <c r="B51" s="8">
        <v>823062.04</v>
      </c>
      <c r="C51" s="8">
        <v>1091429.24</v>
      </c>
      <c r="D51" s="8">
        <v>-120.072</v>
      </c>
    </row>
    <row r="52" spans="1:4" x14ac:dyDescent="0.25">
      <c r="A52" s="9" t="s">
        <v>111</v>
      </c>
      <c r="B52" s="8">
        <v>823061.27899999998</v>
      </c>
      <c r="C52" s="8">
        <v>1091430.594</v>
      </c>
      <c r="D52" s="8">
        <v>-119.688</v>
      </c>
    </row>
    <row r="53" spans="1:4" x14ac:dyDescent="0.25">
      <c r="A53" s="9" t="s">
        <v>112</v>
      </c>
      <c r="B53" s="8">
        <v>823060.27</v>
      </c>
      <c r="C53" s="8">
        <v>1091433.03</v>
      </c>
      <c r="D53" s="8">
        <v>-123.133</v>
      </c>
    </row>
    <row r="54" spans="1:4" x14ac:dyDescent="0.25">
      <c r="A54" s="9" t="s">
        <v>113</v>
      </c>
      <c r="B54" s="8">
        <v>823058.96900000004</v>
      </c>
      <c r="C54" s="8">
        <v>1091426.6680000001</v>
      </c>
      <c r="D54" s="8">
        <v>-123.06100000000001</v>
      </c>
    </row>
    <row r="55" spans="1:4" x14ac:dyDescent="0.25">
      <c r="A55" s="9" t="s">
        <v>114</v>
      </c>
      <c r="B55" s="8">
        <v>823058.93</v>
      </c>
      <c r="C55" s="8">
        <v>1091426.75</v>
      </c>
      <c r="D55" s="8">
        <v>-121.13200000000001</v>
      </c>
    </row>
    <row r="56" spans="1:4" x14ac:dyDescent="0.25">
      <c r="A56" s="9" t="s">
        <v>115</v>
      </c>
      <c r="B56" s="8">
        <v>823058.01800000004</v>
      </c>
      <c r="C56" s="8">
        <v>1091429.0730000001</v>
      </c>
      <c r="D56" s="8">
        <v>-119.71</v>
      </c>
    </row>
    <row r="57" spans="1:4" x14ac:dyDescent="0.25">
      <c r="A57" s="9" t="s">
        <v>116</v>
      </c>
      <c r="B57" s="8">
        <v>823056.7193</v>
      </c>
      <c r="C57" s="8">
        <v>1091431.4434</v>
      </c>
      <c r="D57" s="8">
        <v>-123.0132</v>
      </c>
    </row>
    <row r="58" spans="1:4" x14ac:dyDescent="0.25">
      <c r="A58" s="9" t="s">
        <v>117</v>
      </c>
      <c r="B58" s="8">
        <v>823049.40330000001</v>
      </c>
      <c r="C58" s="8">
        <v>1091420.8762000001</v>
      </c>
      <c r="D58" s="8">
        <v>-120.1528</v>
      </c>
    </row>
    <row r="59" spans="1:4" x14ac:dyDescent="0.25">
      <c r="A59" s="9" t="s">
        <v>118</v>
      </c>
      <c r="B59" s="8">
        <v>823048.76159999997</v>
      </c>
      <c r="C59" s="8">
        <v>1091422.0622</v>
      </c>
      <c r="D59" s="8">
        <v>-118.2345</v>
      </c>
    </row>
    <row r="60" spans="1:4" x14ac:dyDescent="0.25">
      <c r="A60" s="9" t="s">
        <v>119</v>
      </c>
      <c r="B60" s="8">
        <v>823047.6764</v>
      </c>
      <c r="C60" s="8">
        <v>1091424.4419</v>
      </c>
      <c r="D60" s="8">
        <v>-117.5236</v>
      </c>
    </row>
    <row r="61" spans="1:4" x14ac:dyDescent="0.25">
      <c r="A61" s="9" t="s">
        <v>120</v>
      </c>
      <c r="B61" s="8">
        <v>823046.18709999998</v>
      </c>
      <c r="C61" s="8">
        <v>1091428.0134999999</v>
      </c>
      <c r="D61" s="8">
        <v>-120.7287</v>
      </c>
    </row>
    <row r="62" spans="1:4" x14ac:dyDescent="0.25">
      <c r="A62" s="9" t="s">
        <v>121</v>
      </c>
      <c r="B62" s="8">
        <v>823042.44900000002</v>
      </c>
      <c r="C62" s="8">
        <v>1091416.267</v>
      </c>
      <c r="D62" s="8">
        <v>-120.479</v>
      </c>
    </row>
    <row r="63" spans="1:4" x14ac:dyDescent="0.25">
      <c r="A63" s="9" t="s">
        <v>122</v>
      </c>
      <c r="B63" s="8">
        <v>823041.69299999997</v>
      </c>
      <c r="C63" s="8">
        <v>1091417.8700000001</v>
      </c>
      <c r="D63" s="8">
        <v>-117.145</v>
      </c>
    </row>
    <row r="64" spans="1:4" x14ac:dyDescent="0.25">
      <c r="A64" s="9" t="s">
        <v>123</v>
      </c>
      <c r="B64" s="8">
        <v>823040.47499999998</v>
      </c>
      <c r="C64" s="8">
        <v>1091420.638</v>
      </c>
      <c r="D64" s="8">
        <v>-116.008</v>
      </c>
    </row>
    <row r="65" spans="1:4" x14ac:dyDescent="0.25">
      <c r="A65" s="9" t="s">
        <v>124</v>
      </c>
      <c r="B65" s="8">
        <v>823038.99560000002</v>
      </c>
      <c r="C65" s="8">
        <v>1091423.6797</v>
      </c>
      <c r="D65" s="8">
        <v>-117.161</v>
      </c>
    </row>
    <row r="66" spans="1:4" x14ac:dyDescent="0.25">
      <c r="A66" s="9" t="s">
        <v>125</v>
      </c>
      <c r="B66" s="8">
        <v>823038.15350000001</v>
      </c>
      <c r="C66" s="8">
        <v>1091425.503</v>
      </c>
      <c r="D66" s="8">
        <v>-120.5247</v>
      </c>
    </row>
    <row r="67" spans="1:4" x14ac:dyDescent="0.25">
      <c r="A67" s="9" t="s">
        <v>126</v>
      </c>
      <c r="B67" s="8">
        <v>823062.60809999995</v>
      </c>
      <c r="C67" s="8">
        <v>1091445.2268000001</v>
      </c>
      <c r="D67" s="8">
        <v>-123.581</v>
      </c>
    </row>
    <row r="68" spans="1:4" x14ac:dyDescent="0.25">
      <c r="A68" s="9" t="s">
        <v>127</v>
      </c>
      <c r="B68" s="8">
        <v>823056.94440000004</v>
      </c>
      <c r="C68" s="8">
        <v>1091442.4034</v>
      </c>
      <c r="D68" s="8">
        <v>-123.4635</v>
      </c>
    </row>
    <row r="69" spans="1:4" x14ac:dyDescent="0.25">
      <c r="A69" s="9" t="s">
        <v>128</v>
      </c>
      <c r="B69" s="8">
        <v>823063.91850000003</v>
      </c>
      <c r="C69" s="8">
        <v>1091440.9199000001</v>
      </c>
      <c r="D69" s="8">
        <v>-122.22790000000001</v>
      </c>
    </row>
    <row r="70" spans="1:4" x14ac:dyDescent="0.25">
      <c r="A70" s="9" t="s">
        <v>129</v>
      </c>
      <c r="B70" s="8">
        <v>823059.86690000002</v>
      </c>
      <c r="C70" s="8">
        <v>1091437.9308</v>
      </c>
      <c r="D70" s="8">
        <v>-123.1131</v>
      </c>
    </row>
    <row r="71" spans="1:4" x14ac:dyDescent="0.25">
      <c r="A71" s="9" t="s">
        <v>131</v>
      </c>
      <c r="B71" s="8">
        <v>823059.69830000005</v>
      </c>
      <c r="C71" s="8">
        <v>1091437.8104000001</v>
      </c>
      <c r="D71" s="8">
        <v>-122.09139999999999</v>
      </c>
    </row>
    <row r="72" spans="1:4" x14ac:dyDescent="0.25">
      <c r="A72" s="9" t="s">
        <v>132</v>
      </c>
      <c r="B72" s="8">
        <v>823064.96310000005</v>
      </c>
      <c r="C72" s="8">
        <v>1091438.9491999999</v>
      </c>
      <c r="D72" s="8">
        <v>-122.2025</v>
      </c>
    </row>
    <row r="73" spans="1:4" x14ac:dyDescent="0.25">
      <c r="A73" s="9" t="s">
        <v>133</v>
      </c>
      <c r="B73" s="8">
        <v>823065.85060000001</v>
      </c>
      <c r="C73" s="8">
        <v>1091436.9913000001</v>
      </c>
      <c r="D73" s="8">
        <v>-122.60809999999999</v>
      </c>
    </row>
    <row r="74" spans="1:4" x14ac:dyDescent="0.25">
      <c r="A74" s="9" t="s">
        <v>134</v>
      </c>
      <c r="B74" s="8">
        <v>823061.48060000001</v>
      </c>
      <c r="C74" s="8">
        <v>1091434.5194999999</v>
      </c>
      <c r="D74" s="8">
        <v>-123.04640000000001</v>
      </c>
    </row>
    <row r="75" spans="1:4" x14ac:dyDescent="0.25">
      <c r="A75" s="9" t="s">
        <v>136</v>
      </c>
      <c r="B75" s="8">
        <v>823066.09169999999</v>
      </c>
      <c r="C75" s="8">
        <v>1091436.6044000001</v>
      </c>
      <c r="D75" s="8">
        <v>-122.4785</v>
      </c>
    </row>
    <row r="76" spans="1:4" x14ac:dyDescent="0.25">
      <c r="A76" s="9" t="s">
        <v>137</v>
      </c>
      <c r="B76" s="8">
        <v>823066.44369999995</v>
      </c>
      <c r="C76" s="8">
        <v>1091436.1883</v>
      </c>
      <c r="D76" s="8">
        <v>-122.5902</v>
      </c>
    </row>
    <row r="77" spans="1:4" x14ac:dyDescent="0.25">
      <c r="A77" s="9" t="s">
        <v>138</v>
      </c>
      <c r="B77" s="8">
        <v>823075.82649999997</v>
      </c>
      <c r="C77" s="8">
        <v>1091440.3691</v>
      </c>
      <c r="D77" s="8">
        <v>-122.4636</v>
      </c>
    </row>
    <row r="78" spans="1:4" x14ac:dyDescent="0.25">
      <c r="A78" s="9" t="s">
        <v>139</v>
      </c>
      <c r="B78" s="8">
        <v>823061.60199999996</v>
      </c>
      <c r="C78" s="8">
        <v>1091433.7180000001</v>
      </c>
      <c r="D78" s="8">
        <v>-122.158</v>
      </c>
    </row>
    <row r="79" spans="1:4" x14ac:dyDescent="0.25">
      <c r="A79" s="9" t="s">
        <v>140</v>
      </c>
      <c r="B79" s="8">
        <v>823062.85719999997</v>
      </c>
      <c r="C79" s="8">
        <v>1091431.2108</v>
      </c>
      <c r="D79" s="8">
        <v>-122.1622</v>
      </c>
    </row>
    <row r="80" spans="1:4" x14ac:dyDescent="0.25">
      <c r="A80" s="9" t="s">
        <v>141</v>
      </c>
      <c r="B80" s="8">
        <v>823065.32</v>
      </c>
      <c r="C80" s="8">
        <v>1091431.6270000001</v>
      </c>
      <c r="D80" s="8">
        <v>-124.083</v>
      </c>
    </row>
    <row r="81" spans="1:4" x14ac:dyDescent="0.25">
      <c r="A81" s="9" t="s">
        <v>142</v>
      </c>
      <c r="B81" s="8">
        <v>823063.32499999995</v>
      </c>
      <c r="C81" s="8">
        <v>1091430.3430000001</v>
      </c>
      <c r="D81" s="8">
        <v>-121.861</v>
      </c>
    </row>
    <row r="82" spans="1:4" x14ac:dyDescent="0.25">
      <c r="A82" s="9" t="s">
        <v>142</v>
      </c>
      <c r="B82" s="8">
        <v>823063.326</v>
      </c>
      <c r="C82" s="8">
        <v>1091430.3430000001</v>
      </c>
      <c r="D82" s="8">
        <v>-121.861</v>
      </c>
    </row>
    <row r="83" spans="1:4" x14ac:dyDescent="0.25">
      <c r="A83" s="9" t="s">
        <v>143</v>
      </c>
      <c r="B83" s="8">
        <v>823068.7868</v>
      </c>
      <c r="C83" s="8">
        <v>1091430.9661999999</v>
      </c>
      <c r="D83" s="8">
        <v>-121.9222</v>
      </c>
    </row>
    <row r="84" spans="1:4" x14ac:dyDescent="0.25">
      <c r="A84" s="9" t="s">
        <v>145</v>
      </c>
      <c r="B84" s="8">
        <v>823064.34389999998</v>
      </c>
      <c r="C84" s="8">
        <v>1091428.3284</v>
      </c>
      <c r="D84" s="8">
        <v>-123.01260000000001</v>
      </c>
    </row>
    <row r="85" spans="1:4" x14ac:dyDescent="0.25">
      <c r="A85" s="9" t="s">
        <v>146</v>
      </c>
      <c r="B85" s="8">
        <v>823066.02320000005</v>
      </c>
      <c r="C85" s="8">
        <v>1091424.1142</v>
      </c>
      <c r="D85" s="8">
        <v>-122.5116</v>
      </c>
    </row>
    <row r="86" spans="1:4" x14ac:dyDescent="0.25">
      <c r="A86" s="9" t="s">
        <v>147</v>
      </c>
      <c r="B86" s="8">
        <v>823070.85459999996</v>
      </c>
      <c r="C86" s="8">
        <v>1091426.3182999999</v>
      </c>
      <c r="D86" s="8">
        <v>-122.5057</v>
      </c>
    </row>
    <row r="87" spans="1:4" x14ac:dyDescent="0.25">
      <c r="A87" s="9" t="s">
        <v>148</v>
      </c>
      <c r="B87" s="8">
        <v>823066.20739999996</v>
      </c>
      <c r="C87" s="8">
        <v>1091424.1454</v>
      </c>
      <c r="D87" s="8">
        <v>-122.65260000000001</v>
      </c>
    </row>
    <row r="88" spans="1:4" x14ac:dyDescent="0.25">
      <c r="A88" s="9" t="s">
        <v>150</v>
      </c>
      <c r="B88" s="8">
        <v>823067.57030000002</v>
      </c>
      <c r="C88" s="8">
        <v>1091423.1973999999</v>
      </c>
      <c r="D88" s="8">
        <v>-121.895</v>
      </c>
    </row>
    <row r="89" spans="1:4" x14ac:dyDescent="0.25">
      <c r="A89" s="9" t="s">
        <v>151</v>
      </c>
      <c r="B89" s="8">
        <v>823066.98899999994</v>
      </c>
      <c r="C89" s="8">
        <v>1091422.263</v>
      </c>
      <c r="D89" s="8">
        <v>-122.833</v>
      </c>
    </row>
    <row r="90" spans="1:4" x14ac:dyDescent="0.25">
      <c r="A90" s="9" t="s">
        <v>153</v>
      </c>
      <c r="B90" s="8">
        <v>823072.86399999994</v>
      </c>
      <c r="C90" s="8">
        <v>1091421.747</v>
      </c>
      <c r="D90" s="8">
        <v>-122.496</v>
      </c>
    </row>
    <row r="91" spans="1:4" x14ac:dyDescent="0.25">
      <c r="A91" s="9" t="s">
        <v>154</v>
      </c>
      <c r="B91" s="8">
        <v>823068.35990000004</v>
      </c>
      <c r="C91" s="8">
        <v>1091419.5896000001</v>
      </c>
      <c r="D91" s="8">
        <v>-122.4862</v>
      </c>
    </row>
    <row r="92" spans="1:4" x14ac:dyDescent="0.25">
      <c r="A92" s="9" t="s">
        <v>155</v>
      </c>
      <c r="B92" s="8">
        <v>823070.26399999997</v>
      </c>
      <c r="C92" s="8">
        <v>1091415.0009999999</v>
      </c>
      <c r="D92" s="8">
        <v>-122.405</v>
      </c>
    </row>
    <row r="93" spans="1:4" x14ac:dyDescent="0.25">
      <c r="A93" s="9" t="s">
        <v>156</v>
      </c>
      <c r="B93" s="8">
        <v>823075.38800000004</v>
      </c>
      <c r="C93" s="8">
        <v>1091416.2773</v>
      </c>
      <c r="D93" s="8">
        <v>-122.3588</v>
      </c>
    </row>
    <row r="94" spans="1:4" x14ac:dyDescent="0.25">
      <c r="A94" s="9" t="s">
        <v>157</v>
      </c>
      <c r="B94" s="8">
        <v>823075.95400000003</v>
      </c>
      <c r="C94" s="8">
        <v>1091415.4750000001</v>
      </c>
      <c r="D94" s="8">
        <v>-122.342</v>
      </c>
    </row>
    <row r="95" spans="1:4" x14ac:dyDescent="0.25">
      <c r="A95" s="9" t="s">
        <v>158</v>
      </c>
      <c r="B95" s="8">
        <v>823075.96100000001</v>
      </c>
      <c r="C95" s="8">
        <v>1091415.473</v>
      </c>
      <c r="D95" s="8">
        <v>-122.34099999999999</v>
      </c>
    </row>
    <row r="96" spans="1:4" x14ac:dyDescent="0.25">
      <c r="A96" s="9" t="s">
        <v>159</v>
      </c>
      <c r="B96" s="8">
        <v>823078.48679999996</v>
      </c>
      <c r="C96" s="8">
        <v>1091410.023</v>
      </c>
      <c r="D96" s="8">
        <v>-121.7067</v>
      </c>
    </row>
    <row r="97" spans="1:4" x14ac:dyDescent="0.25">
      <c r="A97" s="9" t="s">
        <v>161</v>
      </c>
      <c r="B97" s="8">
        <v>823055.48349999997</v>
      </c>
      <c r="C97" s="8">
        <v>1091447.0845999999</v>
      </c>
      <c r="D97" s="8">
        <v>-122.20140000000001</v>
      </c>
    </row>
    <row r="98" spans="1:4" x14ac:dyDescent="0.25">
      <c r="A98" s="9" t="s">
        <v>162</v>
      </c>
      <c r="B98" s="8">
        <v>823101.29099999997</v>
      </c>
      <c r="C98" s="8">
        <v>1091445.9669999999</v>
      </c>
      <c r="D98" s="8">
        <v>-122.51600000000001</v>
      </c>
    </row>
    <row r="99" spans="1:4" x14ac:dyDescent="0.25">
      <c r="A99" s="9" t="s">
        <v>163</v>
      </c>
      <c r="B99" s="8">
        <v>823101.22600000002</v>
      </c>
      <c r="C99" s="8">
        <v>1091446.105</v>
      </c>
      <c r="D99" s="8">
        <v>-122.71899999999999</v>
      </c>
    </row>
    <row r="100" spans="1:4" x14ac:dyDescent="0.25">
      <c r="A100" s="9" t="s">
        <v>166</v>
      </c>
      <c r="B100" s="8">
        <v>823072.29599999997</v>
      </c>
      <c r="C100" s="8">
        <v>1091432.9049</v>
      </c>
      <c r="D100" s="8">
        <v>-122.9905</v>
      </c>
    </row>
    <row r="101" spans="1:4" x14ac:dyDescent="0.25">
      <c r="A101" s="9" t="s">
        <v>167</v>
      </c>
      <c r="B101" s="8">
        <v>823070.01679999998</v>
      </c>
      <c r="C101" s="8">
        <v>1091437.7142</v>
      </c>
      <c r="D101" s="8">
        <v>-122.78870000000001</v>
      </c>
    </row>
    <row r="102" spans="1:4" x14ac:dyDescent="0.25">
      <c r="A102" s="9" t="s">
        <v>170</v>
      </c>
      <c r="B102" s="8">
        <v>823102.38800000004</v>
      </c>
      <c r="C102" s="8">
        <v>1091447.1910000001</v>
      </c>
      <c r="D102" s="8">
        <v>-123.363</v>
      </c>
    </row>
    <row r="103" spans="1:4" x14ac:dyDescent="0.25">
      <c r="A103" s="9" t="s">
        <v>171</v>
      </c>
      <c r="B103" s="8">
        <v>823067.46100000001</v>
      </c>
      <c r="C103" s="8">
        <v>1091436.3370000001</v>
      </c>
      <c r="D103" s="8">
        <v>-122.6</v>
      </c>
    </row>
    <row r="104" spans="1:4" x14ac:dyDescent="0.25">
      <c r="A104" s="9" t="s">
        <v>173</v>
      </c>
      <c r="B104" s="8">
        <v>823078.04200000002</v>
      </c>
      <c r="C104" s="8">
        <v>1091435.699</v>
      </c>
      <c r="D104" s="8">
        <v>-122.66800000000001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27"/>
  <sheetViews>
    <sheetView workbookViewId="0">
      <selection activeCell="D36" sqref="D36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/>
      <c r="B2" s="12"/>
      <c r="C2" s="12"/>
      <c r="D2" s="12"/>
    </row>
    <row r="3" spans="1:4" x14ac:dyDescent="0.25">
      <c r="A3" s="11"/>
      <c r="B3" s="12"/>
      <c r="C3" s="12"/>
      <c r="D3" s="12"/>
    </row>
    <row r="4" spans="1:4" x14ac:dyDescent="0.25">
      <c r="A4" s="11"/>
      <c r="B4" s="12"/>
      <c r="C4" s="12"/>
      <c r="D4" s="12"/>
    </row>
    <row r="5" spans="1:4" x14ac:dyDescent="0.25">
      <c r="A5" s="11"/>
      <c r="B5" s="12"/>
      <c r="C5" s="12"/>
      <c r="D5" s="12"/>
    </row>
    <row r="6" spans="1:4" x14ac:dyDescent="0.25">
      <c r="A6" s="11"/>
      <c r="B6" s="12"/>
      <c r="C6" s="12"/>
      <c r="D6" s="12"/>
    </row>
    <row r="7" spans="1:4" x14ac:dyDescent="0.25">
      <c r="A7" s="11"/>
      <c r="B7" s="12"/>
      <c r="C7" s="12"/>
      <c r="D7" s="12"/>
    </row>
    <row r="8" spans="1:4" x14ac:dyDescent="0.25">
      <c r="A8" s="11"/>
      <c r="B8" s="12"/>
      <c r="C8" s="12"/>
      <c r="D8" s="12"/>
    </row>
    <row r="9" spans="1:4" x14ac:dyDescent="0.25">
      <c r="A9" s="11"/>
      <c r="B9" s="12"/>
      <c r="C9" s="12"/>
      <c r="D9" s="12"/>
    </row>
    <row r="10" spans="1:4" x14ac:dyDescent="0.25">
      <c r="A10" s="11"/>
      <c r="B10" s="12"/>
      <c r="C10" s="12"/>
      <c r="D10" s="12"/>
    </row>
    <row r="11" spans="1:4" x14ac:dyDescent="0.25">
      <c r="A11" s="11"/>
      <c r="B11" s="12"/>
      <c r="C11" s="12"/>
      <c r="D11" s="12"/>
    </row>
    <row r="12" spans="1:4" x14ac:dyDescent="0.25">
      <c r="A12" s="11"/>
      <c r="B12" s="12"/>
      <c r="C12" s="12"/>
      <c r="D12" s="12"/>
    </row>
    <row r="13" spans="1:4" x14ac:dyDescent="0.25">
      <c r="A13" s="11"/>
      <c r="B13" s="12"/>
      <c r="C13" s="12"/>
      <c r="D13" s="12"/>
    </row>
    <row r="14" spans="1:4" x14ac:dyDescent="0.25">
      <c r="A14" s="11"/>
      <c r="B14" s="12"/>
      <c r="C14" s="12"/>
      <c r="D14" s="12"/>
    </row>
    <row r="15" spans="1:4" x14ac:dyDescent="0.25">
      <c r="A15" s="11"/>
      <c r="B15" s="12"/>
      <c r="C15" s="12"/>
      <c r="D15" s="12"/>
    </row>
    <row r="16" spans="1:4" x14ac:dyDescent="0.25">
      <c r="A16" s="11"/>
      <c r="B16" s="12"/>
      <c r="C16" s="12"/>
      <c r="D16" s="12"/>
    </row>
    <row r="17" spans="1:4" x14ac:dyDescent="0.25">
      <c r="A17" s="11"/>
      <c r="B17" s="12"/>
      <c r="C17" s="12"/>
      <c r="D17" s="12"/>
    </row>
    <row r="18" spans="1:4" x14ac:dyDescent="0.25">
      <c r="A18" s="11"/>
      <c r="B18" s="12"/>
      <c r="C18" s="12"/>
      <c r="D18" s="12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2"/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2025-10-31T14:44:31Z</dcterms:modified>
</cp:coreProperties>
</file>