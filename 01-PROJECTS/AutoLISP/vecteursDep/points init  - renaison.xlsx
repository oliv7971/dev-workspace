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20-DEVELOPPEMENT\01-PROJECTS\AutoLISP\vecteursDep\"/>
    </mc:Choice>
  </mc:AlternateContent>
  <xr:revisionPtr revIDLastSave="0" documentId="8_{E093EEEF-B646-4179-98F6-9B80584C91A6}" xr6:coauthVersionLast="47" xr6:coauthVersionMax="47" xr10:uidLastSave="{00000000-0000-0000-0000-000000000000}"/>
  <bookViews>
    <workbookView xWindow="2370" yWindow="885" windowWidth="21600" windowHeight="11385" firstSheet="1" activeTab="2" xr2:uid="{9DFEB4A6-1FB0-4C5D-9851-F9CD42A67BE3}"/>
  </bookViews>
  <sheets>
    <sheet name="chartrain-23-11-16(cumul)" sheetId="1" r:id="rId1"/>
    <sheet name="chartrain-23-11-16(period)" sheetId="2" r:id="rId2"/>
    <sheet name="rouchain-23-11-16(period)" sheetId="3" r:id="rId3"/>
    <sheet name="rouchain-23-11-16(cumul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" i="4" l="1"/>
  <c r="S40" i="4" s="1"/>
  <c r="N40" i="4"/>
  <c r="M40" i="4"/>
  <c r="Q40" i="4" s="1"/>
  <c r="J40" i="4"/>
  <c r="I40" i="4"/>
  <c r="O39" i="4"/>
  <c r="N39" i="4"/>
  <c r="M39" i="4"/>
  <c r="Q39" i="4" s="1"/>
  <c r="J39" i="4"/>
  <c r="I39" i="4"/>
  <c r="O38" i="4"/>
  <c r="N38" i="4"/>
  <c r="M38" i="4"/>
  <c r="Q38" i="4" s="1"/>
  <c r="J38" i="4"/>
  <c r="I38" i="4"/>
  <c r="O37" i="4"/>
  <c r="S37" i="4" s="1"/>
  <c r="N37" i="4"/>
  <c r="R37" i="4" s="1"/>
  <c r="M37" i="4"/>
  <c r="Q37" i="4" s="1"/>
  <c r="J37" i="4"/>
  <c r="I37" i="4"/>
  <c r="O36" i="4"/>
  <c r="N36" i="4"/>
  <c r="M36" i="4"/>
  <c r="Q36" i="4" s="1"/>
  <c r="J36" i="4"/>
  <c r="I36" i="4"/>
  <c r="O35" i="4"/>
  <c r="N35" i="4"/>
  <c r="M35" i="4"/>
  <c r="Q35" i="4" s="1"/>
  <c r="J35" i="4"/>
  <c r="I35" i="4"/>
  <c r="O34" i="4"/>
  <c r="S34" i="4" s="1"/>
  <c r="N34" i="4"/>
  <c r="R34" i="4" s="1"/>
  <c r="M34" i="4"/>
  <c r="Q34" i="4" s="1"/>
  <c r="J34" i="4"/>
  <c r="I34" i="4"/>
  <c r="O33" i="4"/>
  <c r="N33" i="4"/>
  <c r="M33" i="4"/>
  <c r="Q33" i="4" s="1"/>
  <c r="J33" i="4"/>
  <c r="I33" i="4"/>
  <c r="O32" i="4"/>
  <c r="N32" i="4"/>
  <c r="M32" i="4"/>
  <c r="Q32" i="4" s="1"/>
  <c r="J32" i="4"/>
  <c r="I32" i="4"/>
  <c r="O31" i="4"/>
  <c r="N31" i="4"/>
  <c r="R31" i="4" s="1"/>
  <c r="M31" i="4"/>
  <c r="Q31" i="4" s="1"/>
  <c r="J31" i="4"/>
  <c r="I31" i="4"/>
  <c r="O30" i="4"/>
  <c r="N30" i="4"/>
  <c r="M30" i="4"/>
  <c r="Q30" i="4" s="1"/>
  <c r="J30" i="4"/>
  <c r="I30" i="4"/>
  <c r="O29" i="4"/>
  <c r="N29" i="4"/>
  <c r="M29" i="4"/>
  <c r="Q29" i="4" s="1"/>
  <c r="J29" i="4"/>
  <c r="I29" i="4"/>
  <c r="O28" i="4"/>
  <c r="N28" i="4"/>
  <c r="M28" i="4"/>
  <c r="Q28" i="4" s="1"/>
  <c r="J28" i="4"/>
  <c r="I28" i="4"/>
  <c r="O27" i="4"/>
  <c r="N27" i="4"/>
  <c r="R27" i="4" s="1"/>
  <c r="M27" i="4"/>
  <c r="Q27" i="4" s="1"/>
  <c r="J27" i="4"/>
  <c r="I27" i="4"/>
  <c r="O26" i="4"/>
  <c r="N26" i="4"/>
  <c r="M26" i="4"/>
  <c r="Q26" i="4" s="1"/>
  <c r="J26" i="4"/>
  <c r="I26" i="4"/>
  <c r="O18" i="4"/>
  <c r="N18" i="4"/>
  <c r="M18" i="4"/>
  <c r="Q18" i="4" s="1"/>
  <c r="J18" i="4"/>
  <c r="I18" i="4"/>
  <c r="O17" i="4"/>
  <c r="N17" i="4"/>
  <c r="M17" i="4"/>
  <c r="Q17" i="4" s="1"/>
  <c r="J17" i="4"/>
  <c r="I17" i="4"/>
  <c r="O16" i="4"/>
  <c r="N16" i="4"/>
  <c r="M16" i="4"/>
  <c r="Q16" i="4" s="1"/>
  <c r="J16" i="4"/>
  <c r="I16" i="4"/>
  <c r="O15" i="4"/>
  <c r="N15" i="4"/>
  <c r="M15" i="4"/>
  <c r="Q15" i="4" s="1"/>
  <c r="J15" i="4"/>
  <c r="I15" i="4"/>
  <c r="O14" i="4"/>
  <c r="S14" i="4" s="1"/>
  <c r="N14" i="4"/>
  <c r="R14" i="4" s="1"/>
  <c r="M14" i="4"/>
  <c r="Q14" i="4" s="1"/>
  <c r="J14" i="4"/>
  <c r="I14" i="4"/>
  <c r="O13" i="4"/>
  <c r="N13" i="4"/>
  <c r="R13" i="4" s="1"/>
  <c r="M13" i="4"/>
  <c r="Q13" i="4" s="1"/>
  <c r="J13" i="4"/>
  <c r="I13" i="4"/>
  <c r="O12" i="4"/>
  <c r="N12" i="4"/>
  <c r="M12" i="4"/>
  <c r="Q12" i="4" s="1"/>
  <c r="J12" i="4"/>
  <c r="I12" i="4"/>
  <c r="O11" i="4"/>
  <c r="S11" i="4" s="1"/>
  <c r="N11" i="4"/>
  <c r="R11" i="4" s="1"/>
  <c r="M11" i="4"/>
  <c r="Q11" i="4" s="1"/>
  <c r="J11" i="4"/>
  <c r="I11" i="4"/>
  <c r="O10" i="4"/>
  <c r="N10" i="4"/>
  <c r="R10" i="4" s="1"/>
  <c r="M10" i="4"/>
  <c r="Q10" i="4" s="1"/>
  <c r="J10" i="4"/>
  <c r="I10" i="4"/>
  <c r="O9" i="4"/>
  <c r="N9" i="4"/>
  <c r="M9" i="4"/>
  <c r="Q9" i="4" s="1"/>
  <c r="J9" i="4"/>
  <c r="I9" i="4"/>
  <c r="O8" i="4"/>
  <c r="S8" i="4" s="1"/>
  <c r="N8" i="4"/>
  <c r="R8" i="4" s="1"/>
  <c r="M8" i="4"/>
  <c r="Q8" i="4" s="1"/>
  <c r="J8" i="4"/>
  <c r="I8" i="4"/>
  <c r="O7" i="4"/>
  <c r="S7" i="4" s="1"/>
  <c r="N7" i="4"/>
  <c r="R7" i="4" s="1"/>
  <c r="M7" i="4"/>
  <c r="Q7" i="4" s="1"/>
  <c r="J7" i="4"/>
  <c r="I7" i="4"/>
  <c r="O6" i="4"/>
  <c r="N6" i="4"/>
  <c r="M6" i="4"/>
  <c r="Q6" i="4" s="1"/>
  <c r="J6" i="4"/>
  <c r="I6" i="4"/>
  <c r="O5" i="4"/>
  <c r="N5" i="4"/>
  <c r="R5" i="4" s="1"/>
  <c r="M5" i="4"/>
  <c r="Q5" i="4" s="1"/>
  <c r="J5" i="4"/>
  <c r="I5" i="4"/>
  <c r="O4" i="4"/>
  <c r="S4" i="4" s="1"/>
  <c r="N4" i="4"/>
  <c r="R4" i="4" s="1"/>
  <c r="M4" i="4"/>
  <c r="Q4" i="4" s="1"/>
  <c r="J4" i="4"/>
  <c r="I4" i="4"/>
  <c r="O42" i="3"/>
  <c r="S42" i="3" s="1"/>
  <c r="N42" i="3"/>
  <c r="R42" i="3" s="1"/>
  <c r="M42" i="3"/>
  <c r="Q42" i="3" s="1"/>
  <c r="J42" i="3"/>
  <c r="I42" i="3"/>
  <c r="O41" i="3"/>
  <c r="N41" i="3"/>
  <c r="M41" i="3"/>
  <c r="Q41" i="3" s="1"/>
  <c r="J41" i="3"/>
  <c r="I41" i="3"/>
  <c r="O40" i="3"/>
  <c r="N40" i="3"/>
  <c r="M40" i="3"/>
  <c r="Q40" i="3" s="1"/>
  <c r="J40" i="3"/>
  <c r="I40" i="3"/>
  <c r="O39" i="3"/>
  <c r="S39" i="3" s="1"/>
  <c r="N39" i="3"/>
  <c r="R39" i="3" s="1"/>
  <c r="M39" i="3"/>
  <c r="Q39" i="3" s="1"/>
  <c r="J39" i="3"/>
  <c r="I39" i="3"/>
  <c r="O38" i="3"/>
  <c r="N38" i="3"/>
  <c r="M38" i="3"/>
  <c r="Q38" i="3" s="1"/>
  <c r="J38" i="3"/>
  <c r="I38" i="3"/>
  <c r="O37" i="3"/>
  <c r="S37" i="3" s="1"/>
  <c r="N37" i="3"/>
  <c r="M37" i="3"/>
  <c r="Q37" i="3" s="1"/>
  <c r="J37" i="3"/>
  <c r="I37" i="3"/>
  <c r="O36" i="3"/>
  <c r="N36" i="3"/>
  <c r="R36" i="3" s="1"/>
  <c r="M36" i="3"/>
  <c r="Q36" i="3" s="1"/>
  <c r="J36" i="3"/>
  <c r="I36" i="3"/>
  <c r="O35" i="3"/>
  <c r="S35" i="3" s="1"/>
  <c r="N35" i="3"/>
  <c r="M35" i="3"/>
  <c r="Q35" i="3" s="1"/>
  <c r="J35" i="3"/>
  <c r="I35" i="3"/>
  <c r="O34" i="3"/>
  <c r="S34" i="3" s="1"/>
  <c r="N34" i="3"/>
  <c r="R34" i="3" s="1"/>
  <c r="M34" i="3"/>
  <c r="Q34" i="3" s="1"/>
  <c r="J34" i="3"/>
  <c r="I34" i="3"/>
  <c r="O33" i="3"/>
  <c r="N33" i="3"/>
  <c r="M33" i="3"/>
  <c r="Q33" i="3" s="1"/>
  <c r="J33" i="3"/>
  <c r="I33" i="3"/>
  <c r="O32" i="3"/>
  <c r="S32" i="3" s="1"/>
  <c r="N32" i="3"/>
  <c r="R32" i="3" s="1"/>
  <c r="M32" i="3"/>
  <c r="Q32" i="3" s="1"/>
  <c r="J32" i="3"/>
  <c r="I32" i="3"/>
  <c r="O31" i="3"/>
  <c r="S31" i="3" s="1"/>
  <c r="N31" i="3"/>
  <c r="R31" i="3" s="1"/>
  <c r="M31" i="3"/>
  <c r="Q31" i="3" s="1"/>
  <c r="J31" i="3"/>
  <c r="I31" i="3"/>
  <c r="Q30" i="3"/>
  <c r="O30" i="3"/>
  <c r="N30" i="3"/>
  <c r="M30" i="3"/>
  <c r="J30" i="3"/>
  <c r="I30" i="3"/>
  <c r="O29" i="3"/>
  <c r="S29" i="3" s="1"/>
  <c r="N29" i="3"/>
  <c r="R29" i="3" s="1"/>
  <c r="M29" i="3"/>
  <c r="Q29" i="3" s="1"/>
  <c r="J29" i="3"/>
  <c r="I29" i="3"/>
  <c r="Q28" i="3"/>
  <c r="O28" i="3"/>
  <c r="S28" i="3" s="1"/>
  <c r="N28" i="3"/>
  <c r="R28" i="3" s="1"/>
  <c r="M28" i="3"/>
  <c r="J28" i="3"/>
  <c r="I28" i="3"/>
  <c r="Q18" i="3"/>
  <c r="O18" i="3"/>
  <c r="S18" i="3" s="1"/>
  <c r="N18" i="3"/>
  <c r="M18" i="3"/>
  <c r="J18" i="3"/>
  <c r="I18" i="3"/>
  <c r="O17" i="3"/>
  <c r="S17" i="3" s="1"/>
  <c r="N17" i="3"/>
  <c r="M17" i="3"/>
  <c r="Q17" i="3" s="1"/>
  <c r="J17" i="3"/>
  <c r="I17" i="3"/>
  <c r="O16" i="3"/>
  <c r="N16" i="3"/>
  <c r="M16" i="3"/>
  <c r="Q16" i="3" s="1"/>
  <c r="J16" i="3"/>
  <c r="I16" i="3"/>
  <c r="O15" i="3"/>
  <c r="N15" i="3"/>
  <c r="R15" i="3" s="1"/>
  <c r="M15" i="3"/>
  <c r="Q15" i="3" s="1"/>
  <c r="J15" i="3"/>
  <c r="I15" i="3"/>
  <c r="Q14" i="3"/>
  <c r="O14" i="3"/>
  <c r="S14" i="3" s="1"/>
  <c r="N14" i="3"/>
  <c r="M14" i="3"/>
  <c r="J14" i="3"/>
  <c r="I14" i="3"/>
  <c r="O13" i="3"/>
  <c r="N13" i="3"/>
  <c r="M13" i="3"/>
  <c r="Q13" i="3" s="1"/>
  <c r="J13" i="3"/>
  <c r="I13" i="3"/>
  <c r="Q12" i="3"/>
  <c r="O12" i="3"/>
  <c r="S12" i="3" s="1"/>
  <c r="N12" i="3"/>
  <c r="R12" i="3" s="1"/>
  <c r="M12" i="3"/>
  <c r="J12" i="3"/>
  <c r="I12" i="3"/>
  <c r="O11" i="3"/>
  <c r="S11" i="3" s="1"/>
  <c r="N11" i="3"/>
  <c r="M11" i="3"/>
  <c r="Q11" i="3" s="1"/>
  <c r="J11" i="3"/>
  <c r="I11" i="3"/>
  <c r="O10" i="3"/>
  <c r="N10" i="3"/>
  <c r="M10" i="3"/>
  <c r="Q10" i="3" s="1"/>
  <c r="J10" i="3"/>
  <c r="I10" i="3"/>
  <c r="O9" i="3"/>
  <c r="N9" i="3"/>
  <c r="R9" i="3" s="1"/>
  <c r="M9" i="3"/>
  <c r="Q9" i="3" s="1"/>
  <c r="J9" i="3"/>
  <c r="I9" i="3"/>
  <c r="Q8" i="3"/>
  <c r="O8" i="3"/>
  <c r="S8" i="3" s="1"/>
  <c r="N8" i="3"/>
  <c r="M8" i="3"/>
  <c r="J8" i="3"/>
  <c r="I8" i="3"/>
  <c r="O7" i="3"/>
  <c r="N7" i="3"/>
  <c r="M7" i="3"/>
  <c r="Q7" i="3" s="1"/>
  <c r="J7" i="3"/>
  <c r="I7" i="3"/>
  <c r="Q6" i="3"/>
  <c r="O6" i="3"/>
  <c r="S6" i="3" s="1"/>
  <c r="N6" i="3"/>
  <c r="R6" i="3" s="1"/>
  <c r="M6" i="3"/>
  <c r="J6" i="3"/>
  <c r="I6" i="3"/>
  <c r="O5" i="3"/>
  <c r="N5" i="3"/>
  <c r="M5" i="3"/>
  <c r="Q5" i="3" s="1"/>
  <c r="J5" i="3"/>
  <c r="I5" i="3"/>
  <c r="R5" i="3" s="1"/>
  <c r="Q4" i="3"/>
  <c r="O4" i="3"/>
  <c r="S4" i="3" s="1"/>
  <c r="N4" i="3"/>
  <c r="R4" i="3" s="1"/>
  <c r="M4" i="3"/>
  <c r="J4" i="3"/>
  <c r="I4" i="3"/>
  <c r="M41" i="1"/>
  <c r="M40" i="1"/>
  <c r="M39" i="1"/>
  <c r="M38" i="1"/>
  <c r="M37" i="1"/>
  <c r="M36" i="1"/>
  <c r="M35" i="1"/>
  <c r="M34" i="1"/>
  <c r="M33" i="1"/>
  <c r="Q33" i="1" s="1"/>
  <c r="M32" i="1"/>
  <c r="M31" i="1"/>
  <c r="M30" i="1"/>
  <c r="Q30" i="1" s="1"/>
  <c r="M29" i="1"/>
  <c r="Q29" i="1" s="1"/>
  <c r="M28" i="1"/>
  <c r="Q28" i="1" s="1"/>
  <c r="M27" i="1"/>
  <c r="Q27" i="1" s="1"/>
  <c r="M26" i="1"/>
  <c r="Q26" i="1" s="1"/>
  <c r="M19" i="1"/>
  <c r="M18" i="1"/>
  <c r="M17" i="1"/>
  <c r="Q17" i="1" s="1"/>
  <c r="M16" i="1"/>
  <c r="M15" i="1"/>
  <c r="M14" i="1"/>
  <c r="M13" i="1"/>
  <c r="M12" i="1"/>
  <c r="M11" i="1"/>
  <c r="Q11" i="1" s="1"/>
  <c r="M10" i="1"/>
  <c r="M9" i="1"/>
  <c r="M8" i="1"/>
  <c r="Q8" i="1" s="1"/>
  <c r="M7" i="1"/>
  <c r="Q7" i="1" s="1"/>
  <c r="M6" i="1"/>
  <c r="Q6" i="1" s="1"/>
  <c r="M5" i="1"/>
  <c r="Q5" i="1" s="1"/>
  <c r="M4" i="1"/>
  <c r="Q4" i="1" s="1"/>
  <c r="M43" i="2"/>
  <c r="M42" i="2"/>
  <c r="M41" i="2"/>
  <c r="M40" i="2"/>
  <c r="M39" i="2"/>
  <c r="M38" i="2"/>
  <c r="M37" i="2"/>
  <c r="M36" i="2"/>
  <c r="M35" i="2"/>
  <c r="M34" i="2"/>
  <c r="M33" i="2"/>
  <c r="Q33" i="2" s="1"/>
  <c r="M32" i="2"/>
  <c r="Q32" i="2" s="1"/>
  <c r="M31" i="2"/>
  <c r="Q31" i="2" s="1"/>
  <c r="M30" i="2"/>
  <c r="Q30" i="2" s="1"/>
  <c r="M29" i="2"/>
  <c r="Q29" i="2" s="1"/>
  <c r="M28" i="2"/>
  <c r="Q28" i="2" s="1"/>
  <c r="M5" i="2"/>
  <c r="Q5" i="2" s="1"/>
  <c r="M6" i="2"/>
  <c r="Q6" i="2" s="1"/>
  <c r="M7" i="2"/>
  <c r="M8" i="2"/>
  <c r="Q8" i="2" s="1"/>
  <c r="M9" i="2"/>
  <c r="M10" i="2"/>
  <c r="M11" i="2"/>
  <c r="Q11" i="2" s="1"/>
  <c r="M12" i="2"/>
  <c r="M13" i="2"/>
  <c r="M14" i="2"/>
  <c r="Q14" i="2" s="1"/>
  <c r="M15" i="2"/>
  <c r="M16" i="2"/>
  <c r="M17" i="2"/>
  <c r="Q17" i="2" s="1"/>
  <c r="M18" i="2"/>
  <c r="Q18" i="2" s="1"/>
  <c r="M19" i="2"/>
  <c r="M4" i="2"/>
  <c r="Q4" i="2" s="1"/>
  <c r="Q43" i="2"/>
  <c r="O43" i="2"/>
  <c r="N43" i="2"/>
  <c r="J43" i="2"/>
  <c r="I43" i="2"/>
  <c r="Q42" i="2"/>
  <c r="O42" i="2"/>
  <c r="N42" i="2"/>
  <c r="J42" i="2"/>
  <c r="I42" i="2"/>
  <c r="Q41" i="2"/>
  <c r="O41" i="2"/>
  <c r="N41" i="2"/>
  <c r="J41" i="2"/>
  <c r="I41" i="2"/>
  <c r="Q40" i="2"/>
  <c r="O40" i="2"/>
  <c r="N40" i="2"/>
  <c r="R40" i="2" s="1"/>
  <c r="J40" i="2"/>
  <c r="S40" i="2" s="1"/>
  <c r="I40" i="2"/>
  <c r="Q39" i="2"/>
  <c r="O39" i="2"/>
  <c r="N39" i="2"/>
  <c r="J39" i="2"/>
  <c r="I39" i="2"/>
  <c r="Q38" i="2"/>
  <c r="O38" i="2"/>
  <c r="N38" i="2"/>
  <c r="J38" i="2"/>
  <c r="I38" i="2"/>
  <c r="Q37" i="2"/>
  <c r="O37" i="2"/>
  <c r="N37" i="2"/>
  <c r="J37" i="2"/>
  <c r="I37" i="2"/>
  <c r="Q36" i="2"/>
  <c r="O36" i="2"/>
  <c r="N36" i="2"/>
  <c r="J36" i="2"/>
  <c r="I36" i="2"/>
  <c r="Q35" i="2"/>
  <c r="O35" i="2"/>
  <c r="N35" i="2"/>
  <c r="J35" i="2"/>
  <c r="I35" i="2"/>
  <c r="Q34" i="2"/>
  <c r="O34" i="2"/>
  <c r="S34" i="2" s="1"/>
  <c r="N34" i="2"/>
  <c r="J34" i="2"/>
  <c r="I34" i="2"/>
  <c r="O33" i="2"/>
  <c r="N33" i="2"/>
  <c r="J33" i="2"/>
  <c r="S33" i="2" s="1"/>
  <c r="I33" i="2"/>
  <c r="O32" i="2"/>
  <c r="N32" i="2"/>
  <c r="J32" i="2"/>
  <c r="I32" i="2"/>
  <c r="O31" i="2"/>
  <c r="N31" i="2"/>
  <c r="R31" i="2" s="1"/>
  <c r="J31" i="2"/>
  <c r="I31" i="2"/>
  <c r="O30" i="2"/>
  <c r="S30" i="2" s="1"/>
  <c r="N30" i="2"/>
  <c r="J30" i="2"/>
  <c r="I30" i="2"/>
  <c r="O29" i="2"/>
  <c r="N29" i="2"/>
  <c r="J29" i="2"/>
  <c r="S29" i="2" s="1"/>
  <c r="I29" i="2"/>
  <c r="O28" i="2"/>
  <c r="N28" i="2"/>
  <c r="J28" i="2"/>
  <c r="I28" i="2"/>
  <c r="Q19" i="2"/>
  <c r="O19" i="2"/>
  <c r="N19" i="2"/>
  <c r="J19" i="2"/>
  <c r="I19" i="2"/>
  <c r="O18" i="2"/>
  <c r="N18" i="2"/>
  <c r="J18" i="2"/>
  <c r="I18" i="2"/>
  <c r="O17" i="2"/>
  <c r="S17" i="2" s="1"/>
  <c r="N17" i="2"/>
  <c r="R17" i="2" s="1"/>
  <c r="J17" i="2"/>
  <c r="I17" i="2"/>
  <c r="Q16" i="2"/>
  <c r="O16" i="2"/>
  <c r="N16" i="2"/>
  <c r="J16" i="2"/>
  <c r="I16" i="2"/>
  <c r="Q15" i="2"/>
  <c r="O15" i="2"/>
  <c r="N15" i="2"/>
  <c r="J15" i="2"/>
  <c r="I15" i="2"/>
  <c r="O14" i="2"/>
  <c r="N14" i="2"/>
  <c r="R14" i="2" s="1"/>
  <c r="J14" i="2"/>
  <c r="S14" i="2" s="1"/>
  <c r="I14" i="2"/>
  <c r="Q13" i="2"/>
  <c r="O13" i="2"/>
  <c r="N13" i="2"/>
  <c r="J13" i="2"/>
  <c r="I13" i="2"/>
  <c r="Q12" i="2"/>
  <c r="O12" i="2"/>
  <c r="N12" i="2"/>
  <c r="J12" i="2"/>
  <c r="I12" i="2"/>
  <c r="O11" i="2"/>
  <c r="N11" i="2"/>
  <c r="J11" i="2"/>
  <c r="I11" i="2"/>
  <c r="Q10" i="2"/>
  <c r="O10" i="2"/>
  <c r="N10" i="2"/>
  <c r="J10" i="2"/>
  <c r="I10" i="2"/>
  <c r="Q9" i="2"/>
  <c r="O9" i="2"/>
  <c r="N9" i="2"/>
  <c r="J9" i="2"/>
  <c r="S9" i="2" s="1"/>
  <c r="I9" i="2"/>
  <c r="O8" i="2"/>
  <c r="N8" i="2"/>
  <c r="J8" i="2"/>
  <c r="I8" i="2"/>
  <c r="Q7" i="2"/>
  <c r="O7" i="2"/>
  <c r="N7" i="2"/>
  <c r="J7" i="2"/>
  <c r="I7" i="2"/>
  <c r="O6" i="2"/>
  <c r="N6" i="2"/>
  <c r="J6" i="2"/>
  <c r="I6" i="2"/>
  <c r="O5" i="2"/>
  <c r="N5" i="2"/>
  <c r="J5" i="2"/>
  <c r="I5" i="2"/>
  <c r="O4" i="2"/>
  <c r="N4" i="2"/>
  <c r="J4" i="2"/>
  <c r="I4" i="2"/>
  <c r="Q39" i="1"/>
  <c r="Q37" i="1"/>
  <c r="Q41" i="1"/>
  <c r="Q40" i="1"/>
  <c r="Q38" i="1"/>
  <c r="Q36" i="1"/>
  <c r="Q35" i="1"/>
  <c r="Q34" i="1"/>
  <c r="Q32" i="1"/>
  <c r="Q31" i="1"/>
  <c r="O39" i="1"/>
  <c r="N39" i="1"/>
  <c r="O37" i="1"/>
  <c r="N37" i="1"/>
  <c r="O33" i="1"/>
  <c r="N33" i="1"/>
  <c r="O41" i="1"/>
  <c r="N41" i="1"/>
  <c r="O40" i="1"/>
  <c r="N40" i="1"/>
  <c r="O38" i="1"/>
  <c r="N38" i="1"/>
  <c r="O36" i="1"/>
  <c r="N36" i="1"/>
  <c r="O35" i="1"/>
  <c r="N35" i="1"/>
  <c r="O34" i="1"/>
  <c r="N34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J39" i="1"/>
  <c r="S39" i="1" s="1"/>
  <c r="I39" i="1"/>
  <c r="R39" i="1" s="1"/>
  <c r="J37" i="1"/>
  <c r="S37" i="1" s="1"/>
  <c r="I37" i="1"/>
  <c r="R37" i="1" s="1"/>
  <c r="J33" i="1"/>
  <c r="S33" i="1" s="1"/>
  <c r="I33" i="1"/>
  <c r="R33" i="1" s="1"/>
  <c r="J41" i="1"/>
  <c r="S41" i="1" s="1"/>
  <c r="I41" i="1"/>
  <c r="J40" i="1"/>
  <c r="S40" i="1" s="1"/>
  <c r="I40" i="1"/>
  <c r="R40" i="1" s="1"/>
  <c r="J38" i="1"/>
  <c r="S38" i="1" s="1"/>
  <c r="I38" i="1"/>
  <c r="R38" i="1" s="1"/>
  <c r="J36" i="1"/>
  <c r="S36" i="1" s="1"/>
  <c r="I36" i="1"/>
  <c r="R36" i="1" s="1"/>
  <c r="J35" i="1"/>
  <c r="S35" i="1" s="1"/>
  <c r="I35" i="1"/>
  <c r="R35" i="1" s="1"/>
  <c r="J34" i="1"/>
  <c r="S34" i="1" s="1"/>
  <c r="I34" i="1"/>
  <c r="R34" i="1" s="1"/>
  <c r="J32" i="1"/>
  <c r="S32" i="1" s="1"/>
  <c r="I32" i="1"/>
  <c r="J31" i="1"/>
  <c r="I31" i="1"/>
  <c r="J30" i="1"/>
  <c r="S30" i="1" s="1"/>
  <c r="I30" i="1"/>
  <c r="R30" i="1" s="1"/>
  <c r="J29" i="1"/>
  <c r="S29" i="1" s="1"/>
  <c r="I29" i="1"/>
  <c r="R29" i="1" s="1"/>
  <c r="J28" i="1"/>
  <c r="S28" i="1" s="1"/>
  <c r="I28" i="1"/>
  <c r="R28" i="1" s="1"/>
  <c r="J27" i="1"/>
  <c r="S27" i="1" s="1"/>
  <c r="I27" i="1"/>
  <c r="R27" i="1" s="1"/>
  <c r="J26" i="1"/>
  <c r="I26" i="1"/>
  <c r="R26" i="1" s="1"/>
  <c r="Q9" i="1"/>
  <c r="Q10" i="1"/>
  <c r="Q12" i="1"/>
  <c r="Q13" i="1"/>
  <c r="Q14" i="1"/>
  <c r="Q16" i="1"/>
  <c r="Q18" i="1"/>
  <c r="Q19" i="1"/>
  <c r="Q15" i="1"/>
  <c r="N5" i="1"/>
  <c r="O5" i="1"/>
  <c r="N6" i="1"/>
  <c r="O6" i="1"/>
  <c r="N7" i="1"/>
  <c r="O7" i="1"/>
  <c r="N8" i="1"/>
  <c r="O8" i="1"/>
  <c r="N9" i="1"/>
  <c r="O9" i="1"/>
  <c r="N10" i="1"/>
  <c r="O10" i="1"/>
  <c r="N12" i="1"/>
  <c r="O12" i="1"/>
  <c r="N13" i="1"/>
  <c r="O13" i="1"/>
  <c r="N14" i="1"/>
  <c r="O14" i="1"/>
  <c r="N16" i="1"/>
  <c r="O16" i="1"/>
  <c r="N18" i="1"/>
  <c r="O18" i="1"/>
  <c r="N19" i="1"/>
  <c r="O19" i="1"/>
  <c r="N11" i="1"/>
  <c r="O11" i="1"/>
  <c r="N15" i="1"/>
  <c r="O15" i="1"/>
  <c r="N17" i="1"/>
  <c r="O17" i="1"/>
  <c r="O4" i="1"/>
  <c r="N4" i="1"/>
  <c r="I17" i="1"/>
  <c r="J17" i="1"/>
  <c r="I5" i="1"/>
  <c r="J5" i="1"/>
  <c r="I6" i="1"/>
  <c r="J6" i="1"/>
  <c r="I7" i="1"/>
  <c r="J7" i="1"/>
  <c r="I8" i="1"/>
  <c r="J8" i="1"/>
  <c r="I9" i="1"/>
  <c r="J9" i="1"/>
  <c r="I10" i="1"/>
  <c r="J10" i="1"/>
  <c r="I12" i="1"/>
  <c r="J12" i="1"/>
  <c r="I13" i="1"/>
  <c r="J13" i="1"/>
  <c r="I14" i="1"/>
  <c r="J14" i="1"/>
  <c r="I16" i="1"/>
  <c r="J16" i="1"/>
  <c r="I18" i="1"/>
  <c r="J18" i="1"/>
  <c r="I19" i="1"/>
  <c r="J19" i="1"/>
  <c r="I11" i="1"/>
  <c r="J11" i="1"/>
  <c r="I15" i="1"/>
  <c r="J15" i="1"/>
  <c r="J4" i="1"/>
  <c r="I4" i="1"/>
  <c r="R30" i="3" l="1"/>
  <c r="R33" i="3"/>
  <c r="S36" i="3"/>
  <c r="S30" i="3"/>
  <c r="S33" i="3"/>
  <c r="R40" i="3"/>
  <c r="R37" i="3"/>
  <c r="S40" i="3"/>
  <c r="R41" i="3"/>
  <c r="R38" i="3"/>
  <c r="S41" i="3"/>
  <c r="R35" i="3"/>
  <c r="S38" i="3"/>
  <c r="S16" i="3"/>
  <c r="R18" i="3"/>
  <c r="S7" i="3"/>
  <c r="S9" i="3"/>
  <c r="S15" i="3"/>
  <c r="R7" i="3"/>
  <c r="R10" i="3"/>
  <c r="R13" i="3"/>
  <c r="R16" i="3"/>
  <c r="S5" i="3"/>
  <c r="R8" i="3"/>
  <c r="R11" i="3"/>
  <c r="R14" i="3"/>
  <c r="R17" i="3"/>
  <c r="S10" i="3"/>
  <c r="S13" i="3"/>
  <c r="R41" i="1"/>
  <c r="R31" i="1"/>
  <c r="S31" i="1"/>
  <c r="R32" i="1"/>
  <c r="S26" i="1"/>
  <c r="S28" i="4"/>
  <c r="R38" i="4"/>
  <c r="S31" i="4"/>
  <c r="R35" i="4"/>
  <c r="S38" i="4"/>
  <c r="R28" i="4"/>
  <c r="R32" i="4"/>
  <c r="S35" i="4"/>
  <c r="R29" i="4"/>
  <c r="S32" i="4"/>
  <c r="R26" i="4"/>
  <c r="S29" i="4"/>
  <c r="S26" i="4"/>
  <c r="R39" i="4"/>
  <c r="R36" i="4"/>
  <c r="S39" i="4"/>
  <c r="R33" i="4"/>
  <c r="S36" i="4"/>
  <c r="R30" i="4"/>
  <c r="S33" i="4"/>
  <c r="S30" i="4"/>
  <c r="S27" i="4"/>
  <c r="R40" i="4"/>
  <c r="S5" i="4"/>
  <c r="R18" i="4"/>
  <c r="R15" i="4"/>
  <c r="S18" i="4"/>
  <c r="R12" i="4"/>
  <c r="S15" i="4"/>
  <c r="R9" i="4"/>
  <c r="S12" i="4"/>
  <c r="R6" i="4"/>
  <c r="S9" i="4"/>
  <c r="S6" i="4"/>
  <c r="R16" i="4"/>
  <c r="S16" i="4"/>
  <c r="S13" i="4"/>
  <c r="S10" i="4"/>
  <c r="R17" i="4"/>
  <c r="S17" i="4"/>
  <c r="R38" i="2"/>
  <c r="S38" i="2"/>
  <c r="S28" i="2"/>
  <c r="R35" i="2"/>
  <c r="R32" i="2"/>
  <c r="R29" i="2"/>
  <c r="S32" i="2"/>
  <c r="R39" i="2"/>
  <c r="S42" i="2"/>
  <c r="R28" i="2"/>
  <c r="R33" i="2"/>
  <c r="R43" i="2"/>
  <c r="S43" i="2"/>
  <c r="S31" i="2"/>
  <c r="R36" i="2"/>
  <c r="R5" i="2"/>
  <c r="S8" i="2"/>
  <c r="S5" i="2"/>
  <c r="S15" i="2"/>
  <c r="R11" i="2"/>
  <c r="R9" i="2"/>
  <c r="R6" i="2"/>
  <c r="S6" i="2"/>
  <c r="R19" i="2"/>
  <c r="R16" i="2"/>
  <c r="S16" i="2"/>
  <c r="R10" i="2"/>
  <c r="S13" i="2"/>
  <c r="R7" i="2"/>
  <c r="S10" i="2"/>
  <c r="S7" i="2"/>
  <c r="S11" i="2"/>
  <c r="R12" i="2"/>
  <c r="R18" i="2"/>
  <c r="S18" i="2"/>
  <c r="R13" i="1"/>
  <c r="S17" i="1"/>
  <c r="S41" i="2"/>
  <c r="R30" i="2"/>
  <c r="R41" i="2"/>
  <c r="S36" i="2"/>
  <c r="R42" i="2"/>
  <c r="S39" i="2"/>
  <c r="R8" i="2"/>
  <c r="S4" i="2"/>
  <c r="S12" i="2"/>
  <c r="R4" i="2"/>
  <c r="R15" i="2"/>
  <c r="R34" i="2"/>
  <c r="R37" i="2"/>
  <c r="S37" i="2"/>
  <c r="S19" i="2"/>
  <c r="R13" i="2"/>
  <c r="S35" i="2"/>
  <c r="S4" i="1"/>
  <c r="R10" i="1"/>
  <c r="S10" i="1"/>
  <c r="R15" i="1"/>
  <c r="R7" i="1"/>
  <c r="S15" i="1"/>
  <c r="R9" i="1"/>
  <c r="S6" i="1"/>
  <c r="S16" i="1"/>
  <c r="R16" i="1"/>
  <c r="R6" i="1"/>
  <c r="S11" i="1"/>
  <c r="S19" i="1"/>
  <c r="S7" i="1"/>
  <c r="S14" i="1"/>
  <c r="S5" i="1"/>
  <c r="R11" i="1"/>
  <c r="S18" i="1"/>
  <c r="R14" i="1"/>
  <c r="R5" i="1"/>
  <c r="R4" i="1"/>
  <c r="S13" i="1"/>
  <c r="R19" i="1"/>
  <c r="S8" i="1"/>
  <c r="R18" i="1"/>
  <c r="S12" i="1"/>
  <c r="S9" i="1"/>
  <c r="R8" i="1"/>
  <c r="R17" i="1"/>
  <c r="R12" i="1"/>
</calcChain>
</file>

<file path=xl/sharedStrings.xml><?xml version="1.0" encoding="utf-8"?>
<sst xmlns="http://schemas.openxmlformats.org/spreadsheetml/2006/main" count="80" uniqueCount="12">
  <si>
    <t>PT</t>
  </si>
  <si>
    <t>X</t>
  </si>
  <si>
    <t>Y</t>
  </si>
  <si>
    <t>Z</t>
  </si>
  <si>
    <t>2014 (reference)</t>
  </si>
  <si>
    <t>dx/dy (mm)</t>
  </si>
  <si>
    <t>dx/dy (dao)</t>
  </si>
  <si>
    <t>base vecteur</t>
  </si>
  <si>
    <t>pointe vecteur</t>
  </si>
  <si>
    <t>SYSTÈME CC49</t>
  </si>
  <si>
    <t>SYSTÈME DAO</t>
  </si>
  <si>
    <t>2023.05 (reference)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</si>
</sst>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3980-9262-45B0-A50B-1A9E5955A8CE}">
  <dimension ref="A1:S41"/>
  <sheetViews>
    <sheetView topLeftCell="A13" workbookViewId="0">
      <selection activeCell="Q26" sqref="Q26:S41"/>
    </sheetView>
  </sheetViews>
  <sheetFormatPr baseColWidth="10" defaultRowHeight="15" x14ac:dyDescent="0.25"/>
  <cols>
    <col min="1" max="1" width="11.42578125" style="1"/>
    <col min="2" max="3" width="11.42578125" style="2"/>
    <col min="4" max="16384" width="11.42578125" style="1"/>
  </cols>
  <sheetData>
    <row r="1" spans="1:19" x14ac:dyDescent="0.25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5" t="s">
        <v>4</v>
      </c>
      <c r="B2" s="5"/>
      <c r="C2" s="5"/>
      <c r="D2" s="5"/>
      <c r="F2" s="5" t="s">
        <v>5</v>
      </c>
      <c r="G2" s="5"/>
      <c r="I2" s="5" t="s">
        <v>6</v>
      </c>
      <c r="J2" s="5"/>
      <c r="M2" s="5" t="s">
        <v>7</v>
      </c>
      <c r="N2" s="5"/>
      <c r="O2" s="5"/>
      <c r="Q2" s="5" t="s">
        <v>8</v>
      </c>
      <c r="R2" s="5"/>
      <c r="S2" s="5"/>
    </row>
    <row r="3" spans="1:19" x14ac:dyDescent="0.25">
      <c r="A3" s="1" t="s">
        <v>0</v>
      </c>
      <c r="B3" s="2" t="s">
        <v>1</v>
      </c>
      <c r="C3" s="2" t="s">
        <v>2</v>
      </c>
      <c r="D3" s="1" t="s">
        <v>3</v>
      </c>
    </row>
    <row r="4" spans="1:19" x14ac:dyDescent="0.25">
      <c r="A4" s="1">
        <v>11</v>
      </c>
      <c r="B4" s="2">
        <v>12038.46</v>
      </c>
      <c r="C4" s="2">
        <v>20201.61</v>
      </c>
      <c r="D4" s="1">
        <v>0</v>
      </c>
      <c r="E4" s="1">
        <v>11</v>
      </c>
      <c r="F4" s="3">
        <v>0.49999981092696544</v>
      </c>
      <c r="G4" s="3">
        <v>-2.7000003319699317</v>
      </c>
      <c r="I4" s="4">
        <f t="shared" ref="I4:I19" si="0">F4*10</f>
        <v>4.9999981092696544</v>
      </c>
      <c r="J4" s="4">
        <f t="shared" ref="J4:J19" si="1">G4*10</f>
        <v>-27.000003319699317</v>
      </c>
      <c r="M4" s="1" t="str">
        <f>A4&amp;".1"</f>
        <v>11.1</v>
      </c>
      <c r="N4" s="2">
        <f t="shared" ref="N4:N19" si="2">B4</f>
        <v>12038.46</v>
      </c>
      <c r="O4" s="2">
        <f t="shared" ref="O4:O19" si="3">C4</f>
        <v>20201.61</v>
      </c>
      <c r="Q4" s="1">
        <f t="shared" ref="Q4:Q19" si="4">M4+0.1</f>
        <v>11.2</v>
      </c>
      <c r="R4" s="2">
        <f t="shared" ref="R4:R19" si="5">N4+I4</f>
        <v>12043.459998109269</v>
      </c>
      <c r="S4" s="2">
        <f t="shared" ref="S4:S19" si="6">O4+J4</f>
        <v>20174.609996680301</v>
      </c>
    </row>
    <row r="5" spans="1:19" x14ac:dyDescent="0.25">
      <c r="A5" s="1">
        <v>21</v>
      </c>
      <c r="B5" s="2">
        <v>12061.2</v>
      </c>
      <c r="C5" s="2">
        <v>20205.09</v>
      </c>
      <c r="D5" s="1">
        <v>0</v>
      </c>
      <c r="E5" s="1">
        <v>21</v>
      </c>
      <c r="F5" s="3">
        <v>-0.69999994957470335</v>
      </c>
      <c r="G5" s="3">
        <v>-3.5999998290208168</v>
      </c>
      <c r="I5" s="4">
        <f t="shared" si="0"/>
        <v>-6.9999994957470335</v>
      </c>
      <c r="J5" s="4">
        <f t="shared" si="1"/>
        <v>-35.999998290208168</v>
      </c>
      <c r="M5" s="1" t="str">
        <f t="shared" ref="M5:M19" si="7">A5&amp;".1"</f>
        <v>21.1</v>
      </c>
      <c r="N5" s="2">
        <f t="shared" si="2"/>
        <v>12061.2</v>
      </c>
      <c r="O5" s="2">
        <f t="shared" si="3"/>
        <v>20205.09</v>
      </c>
      <c r="Q5" s="1">
        <f t="shared" si="4"/>
        <v>21.200000000000003</v>
      </c>
      <c r="R5" s="2">
        <f t="shared" si="5"/>
        <v>12054.200000504254</v>
      </c>
      <c r="S5" s="2">
        <f t="shared" si="6"/>
        <v>20169.090001709792</v>
      </c>
    </row>
    <row r="6" spans="1:19" x14ac:dyDescent="0.25">
      <c r="A6" s="1">
        <v>22</v>
      </c>
      <c r="B6" s="2">
        <v>12062.08</v>
      </c>
      <c r="C6" s="2">
        <v>20196.77</v>
      </c>
      <c r="D6" s="1">
        <v>0</v>
      </c>
      <c r="E6" s="1">
        <v>22</v>
      </c>
      <c r="F6" s="3">
        <v>1.499999994848622</v>
      </c>
      <c r="G6" s="3">
        <v>-3.399999226530781</v>
      </c>
      <c r="I6" s="4">
        <f t="shared" si="0"/>
        <v>14.99999994848622</v>
      </c>
      <c r="J6" s="4">
        <f t="shared" si="1"/>
        <v>-33.99999226530781</v>
      </c>
      <c r="M6" s="1" t="str">
        <f t="shared" si="7"/>
        <v>22.1</v>
      </c>
      <c r="N6" s="2">
        <f t="shared" si="2"/>
        <v>12062.08</v>
      </c>
      <c r="O6" s="2">
        <f t="shared" si="3"/>
        <v>20196.77</v>
      </c>
      <c r="Q6" s="1">
        <f t="shared" si="4"/>
        <v>22.200000000000003</v>
      </c>
      <c r="R6" s="2">
        <f t="shared" si="5"/>
        <v>12077.079999948486</v>
      </c>
      <c r="S6" s="2">
        <f t="shared" si="6"/>
        <v>20162.770007734693</v>
      </c>
    </row>
    <row r="7" spans="1:19" x14ac:dyDescent="0.25">
      <c r="A7" s="1">
        <v>31</v>
      </c>
      <c r="B7" s="2">
        <v>12091.51</v>
      </c>
      <c r="C7" s="2">
        <v>20207.64</v>
      </c>
      <c r="D7" s="1">
        <v>0</v>
      </c>
      <c r="E7" s="1">
        <v>31</v>
      </c>
      <c r="F7" s="3">
        <v>-1.6999997988023097</v>
      </c>
      <c r="G7" s="3">
        <v>-4.3000001714972313</v>
      </c>
      <c r="I7" s="4">
        <f t="shared" si="0"/>
        <v>-16.999997988023097</v>
      </c>
      <c r="J7" s="4">
        <f t="shared" si="1"/>
        <v>-43.000001714972313</v>
      </c>
      <c r="M7" s="1" t="str">
        <f t="shared" si="7"/>
        <v>31.1</v>
      </c>
      <c r="N7" s="2">
        <f t="shared" si="2"/>
        <v>12091.51</v>
      </c>
      <c r="O7" s="2">
        <f t="shared" si="3"/>
        <v>20207.64</v>
      </c>
      <c r="Q7" s="1">
        <f t="shared" si="4"/>
        <v>31.200000000000003</v>
      </c>
      <c r="R7" s="2">
        <f t="shared" si="5"/>
        <v>12074.510002011977</v>
      </c>
      <c r="S7" s="2">
        <f t="shared" si="6"/>
        <v>20164.639998285027</v>
      </c>
    </row>
    <row r="8" spans="1:19" x14ac:dyDescent="0.25">
      <c r="A8" s="1">
        <v>32</v>
      </c>
      <c r="B8" s="2">
        <v>12091.81</v>
      </c>
      <c r="C8" s="2">
        <v>20199.310000000001</v>
      </c>
      <c r="D8" s="1">
        <v>0</v>
      </c>
      <c r="E8" s="1">
        <v>32</v>
      </c>
      <c r="F8" s="3">
        <v>-2.0008883439004421E-8</v>
      </c>
      <c r="G8" s="3">
        <v>-1.8999991589225829</v>
      </c>
      <c r="I8" s="4">
        <f t="shared" si="0"/>
        <v>-2.0008883439004421E-7</v>
      </c>
      <c r="J8" s="4">
        <f t="shared" si="1"/>
        <v>-18.999991589225829</v>
      </c>
      <c r="M8" s="1" t="str">
        <f t="shared" si="7"/>
        <v>32.1</v>
      </c>
      <c r="N8" s="2">
        <f t="shared" si="2"/>
        <v>12091.81</v>
      </c>
      <c r="O8" s="2">
        <f t="shared" si="3"/>
        <v>20199.310000000001</v>
      </c>
      <c r="Q8" s="1">
        <f t="shared" si="4"/>
        <v>32.200000000000003</v>
      </c>
      <c r="R8" s="2">
        <f t="shared" si="5"/>
        <v>12091.809999799911</v>
      </c>
      <c r="S8" s="2">
        <f t="shared" si="6"/>
        <v>20180.310008410775</v>
      </c>
    </row>
    <row r="9" spans="1:19" x14ac:dyDescent="0.25">
      <c r="A9" s="1">
        <v>33</v>
      </c>
      <c r="B9" s="2">
        <v>12092.36</v>
      </c>
      <c r="C9" s="2">
        <v>20190.37</v>
      </c>
      <c r="D9" s="1">
        <v>0</v>
      </c>
      <c r="E9" s="1">
        <v>33</v>
      </c>
      <c r="F9" s="3">
        <v>0.60000012490490917</v>
      </c>
      <c r="G9" s="3">
        <v>-1.7999997435254045</v>
      </c>
      <c r="I9" s="4">
        <f t="shared" si="0"/>
        <v>6.0000012490490917</v>
      </c>
      <c r="J9" s="4">
        <f t="shared" si="1"/>
        <v>-17.999997435254045</v>
      </c>
      <c r="M9" s="1" t="str">
        <f t="shared" si="7"/>
        <v>33.1</v>
      </c>
      <c r="N9" s="2">
        <f t="shared" si="2"/>
        <v>12092.36</v>
      </c>
      <c r="O9" s="2">
        <f t="shared" si="3"/>
        <v>20190.37</v>
      </c>
      <c r="Q9" s="1">
        <f t="shared" si="4"/>
        <v>33.200000000000003</v>
      </c>
      <c r="R9" s="2">
        <f t="shared" si="5"/>
        <v>12098.36000124905</v>
      </c>
      <c r="S9" s="2">
        <f t="shared" si="6"/>
        <v>20172.370002564745</v>
      </c>
    </row>
    <row r="10" spans="1:19" x14ac:dyDescent="0.25">
      <c r="A10" s="1">
        <v>41</v>
      </c>
      <c r="B10" s="2">
        <v>12114.31</v>
      </c>
      <c r="C10" s="2">
        <v>20207.78</v>
      </c>
      <c r="D10" s="1">
        <v>0</v>
      </c>
      <c r="E10" s="1">
        <v>41</v>
      </c>
      <c r="F10" s="3">
        <v>-2.1000001579523087</v>
      </c>
      <c r="G10" s="3">
        <v>-5.1000005078094546</v>
      </c>
      <c r="I10" s="4">
        <f t="shared" si="0"/>
        <v>-21.000001579523087</v>
      </c>
      <c r="J10" s="4">
        <f t="shared" si="1"/>
        <v>-51.000005078094546</v>
      </c>
      <c r="M10" s="1" t="str">
        <f t="shared" si="7"/>
        <v>41.1</v>
      </c>
      <c r="N10" s="2">
        <f t="shared" si="2"/>
        <v>12114.31</v>
      </c>
      <c r="O10" s="2">
        <f t="shared" si="3"/>
        <v>20207.78</v>
      </c>
      <c r="Q10" s="1">
        <f t="shared" si="4"/>
        <v>41.2</v>
      </c>
      <c r="R10" s="2">
        <f t="shared" si="5"/>
        <v>12093.309998420476</v>
      </c>
      <c r="S10" s="2">
        <f t="shared" si="6"/>
        <v>20156.779994921904</v>
      </c>
    </row>
    <row r="11" spans="1:19" x14ac:dyDescent="0.25">
      <c r="A11" s="1">
        <v>42</v>
      </c>
      <c r="B11" s="2">
        <v>12114.46</v>
      </c>
      <c r="C11" s="2">
        <v>20199.560000000001</v>
      </c>
      <c r="D11" s="1">
        <v>0</v>
      </c>
      <c r="E11" s="1">
        <v>42</v>
      </c>
      <c r="F11" s="3">
        <v>-0.69999995685066096</v>
      </c>
      <c r="G11" s="3">
        <v>-1.5000000857980922</v>
      </c>
      <c r="I11" s="4">
        <f t="shared" si="0"/>
        <v>-6.9999995685066096</v>
      </c>
      <c r="J11" s="4">
        <f t="shared" si="1"/>
        <v>-15.000000857980922</v>
      </c>
      <c r="M11" s="1" t="str">
        <f t="shared" si="7"/>
        <v>42.1</v>
      </c>
      <c r="N11" s="2">
        <f t="shared" si="2"/>
        <v>12114.46</v>
      </c>
      <c r="O11" s="2">
        <f t="shared" si="3"/>
        <v>20199.560000000001</v>
      </c>
      <c r="Q11" s="1">
        <f t="shared" si="4"/>
        <v>42.2</v>
      </c>
      <c r="R11" s="2">
        <f t="shared" si="5"/>
        <v>12107.460000431493</v>
      </c>
      <c r="S11" s="2">
        <f t="shared" si="6"/>
        <v>20184.55999914202</v>
      </c>
    </row>
    <row r="12" spans="1:19" x14ac:dyDescent="0.25">
      <c r="A12" s="1">
        <v>43</v>
      </c>
      <c r="B12" s="2">
        <v>12114.21</v>
      </c>
      <c r="C12" s="2">
        <v>20190.46</v>
      </c>
      <c r="D12" s="1">
        <v>0</v>
      </c>
      <c r="E12" s="1">
        <v>43</v>
      </c>
      <c r="F12" s="3">
        <v>0.59999995573889464</v>
      </c>
      <c r="G12" s="3">
        <v>-0.50000034025288187</v>
      </c>
      <c r="I12" s="4">
        <f t="shared" si="0"/>
        <v>5.9999995573889464</v>
      </c>
      <c r="J12" s="4">
        <f t="shared" si="1"/>
        <v>-5.0000034025288187</v>
      </c>
      <c r="M12" s="1" t="str">
        <f t="shared" si="7"/>
        <v>43.1</v>
      </c>
      <c r="N12" s="2">
        <f t="shared" si="2"/>
        <v>12114.21</v>
      </c>
      <c r="O12" s="2">
        <f t="shared" si="3"/>
        <v>20190.46</v>
      </c>
      <c r="Q12" s="1">
        <f t="shared" si="4"/>
        <v>43.2</v>
      </c>
      <c r="R12" s="2">
        <f t="shared" si="5"/>
        <v>12120.209999557388</v>
      </c>
      <c r="S12" s="2">
        <f t="shared" si="6"/>
        <v>20185.45999659747</v>
      </c>
    </row>
    <row r="13" spans="1:19" x14ac:dyDescent="0.25">
      <c r="A13" s="1">
        <v>44</v>
      </c>
      <c r="B13" s="2">
        <v>12113.95</v>
      </c>
      <c r="C13" s="2">
        <v>20180.75</v>
      </c>
      <c r="D13" s="1">
        <v>0</v>
      </c>
      <c r="E13" s="1">
        <v>44</v>
      </c>
      <c r="F13" s="3">
        <v>0.59999974291713443</v>
      </c>
      <c r="G13" s="3">
        <v>-0.69999991319491528</v>
      </c>
      <c r="I13" s="4">
        <f t="shared" si="0"/>
        <v>5.9999974291713443</v>
      </c>
      <c r="J13" s="4">
        <f t="shared" si="1"/>
        <v>-6.9999991319491528</v>
      </c>
      <c r="M13" s="1" t="str">
        <f t="shared" si="7"/>
        <v>44.1</v>
      </c>
      <c r="N13" s="2">
        <f t="shared" si="2"/>
        <v>12113.95</v>
      </c>
      <c r="O13" s="2">
        <f t="shared" si="3"/>
        <v>20180.75</v>
      </c>
      <c r="Q13" s="1">
        <f t="shared" si="4"/>
        <v>44.2</v>
      </c>
      <c r="R13" s="2">
        <f t="shared" si="5"/>
        <v>12119.949997429172</v>
      </c>
      <c r="S13" s="2">
        <f t="shared" si="6"/>
        <v>20173.750000868051</v>
      </c>
    </row>
    <row r="14" spans="1:19" x14ac:dyDescent="0.25">
      <c r="A14" s="1">
        <v>51</v>
      </c>
      <c r="B14" s="2">
        <v>12137.14</v>
      </c>
      <c r="C14" s="2">
        <v>20206.89</v>
      </c>
      <c r="D14" s="1">
        <v>0</v>
      </c>
      <c r="E14" s="1">
        <v>51</v>
      </c>
      <c r="F14" s="3">
        <v>-1.3000001817999873</v>
      </c>
      <c r="G14" s="3">
        <v>-2.2000005155859981</v>
      </c>
      <c r="I14" s="4">
        <f t="shared" si="0"/>
        <v>-13.000001817999873</v>
      </c>
      <c r="J14" s="4">
        <f t="shared" si="1"/>
        <v>-22.000005155859981</v>
      </c>
      <c r="M14" s="1" t="str">
        <f t="shared" si="7"/>
        <v>51.1</v>
      </c>
      <c r="N14" s="2">
        <f t="shared" si="2"/>
        <v>12137.14</v>
      </c>
      <c r="O14" s="2">
        <f t="shared" si="3"/>
        <v>20206.89</v>
      </c>
      <c r="Q14" s="1">
        <f t="shared" si="4"/>
        <v>51.2</v>
      </c>
      <c r="R14" s="2">
        <f t="shared" si="5"/>
        <v>12124.139998182</v>
      </c>
      <c r="S14" s="2">
        <f t="shared" si="6"/>
        <v>20184.889994844139</v>
      </c>
    </row>
    <row r="15" spans="1:19" x14ac:dyDescent="0.25">
      <c r="A15" s="1">
        <v>52</v>
      </c>
      <c r="B15" s="2">
        <v>12136.57</v>
      </c>
      <c r="C15" s="2">
        <v>20198.560000000001</v>
      </c>
      <c r="D15" s="1">
        <v>0</v>
      </c>
      <c r="E15" s="1">
        <v>52</v>
      </c>
      <c r="F15" s="3">
        <v>-9.9999981102882884E-2</v>
      </c>
      <c r="G15" s="3">
        <v>-0.70000008781789802</v>
      </c>
      <c r="I15" s="4">
        <f t="shared" si="0"/>
        <v>-0.99999981102882884</v>
      </c>
      <c r="J15" s="4">
        <f t="shared" si="1"/>
        <v>-7.0000008781789802</v>
      </c>
      <c r="M15" s="1" t="str">
        <f t="shared" si="7"/>
        <v>52.1</v>
      </c>
      <c r="N15" s="2">
        <f t="shared" si="2"/>
        <v>12136.57</v>
      </c>
      <c r="O15" s="2">
        <f t="shared" si="3"/>
        <v>20198.560000000001</v>
      </c>
      <c r="Q15" s="1">
        <f t="shared" si="4"/>
        <v>52.2</v>
      </c>
      <c r="R15" s="2">
        <f t="shared" si="5"/>
        <v>12135.570000188971</v>
      </c>
      <c r="S15" s="2">
        <f t="shared" si="6"/>
        <v>20191.559999121822</v>
      </c>
    </row>
    <row r="16" spans="1:19" x14ac:dyDescent="0.25">
      <c r="A16" s="1">
        <v>53</v>
      </c>
      <c r="B16" s="2">
        <v>12135.99</v>
      </c>
      <c r="C16" s="2">
        <v>20189.57</v>
      </c>
      <c r="D16" s="1">
        <v>0</v>
      </c>
      <c r="E16" s="1">
        <v>53</v>
      </c>
      <c r="F16" s="3">
        <v>-0.10000002657761797</v>
      </c>
      <c r="G16" s="3">
        <v>-1.2000004207948223</v>
      </c>
      <c r="I16" s="4">
        <f t="shared" si="0"/>
        <v>-1.0000002657761797</v>
      </c>
      <c r="J16" s="4">
        <f t="shared" si="1"/>
        <v>-12.000004207948223</v>
      </c>
      <c r="M16" s="1" t="str">
        <f t="shared" si="7"/>
        <v>53.1</v>
      </c>
      <c r="N16" s="2">
        <f t="shared" si="2"/>
        <v>12135.99</v>
      </c>
      <c r="O16" s="2">
        <f t="shared" si="3"/>
        <v>20189.57</v>
      </c>
      <c r="Q16" s="1">
        <f t="shared" si="4"/>
        <v>53.2</v>
      </c>
      <c r="R16" s="2">
        <f t="shared" si="5"/>
        <v>12134.989999734224</v>
      </c>
      <c r="S16" s="2">
        <f t="shared" si="6"/>
        <v>20177.569995792051</v>
      </c>
    </row>
    <row r="17" spans="1:19" x14ac:dyDescent="0.25">
      <c r="A17" s="1">
        <v>61</v>
      </c>
      <c r="B17" s="2">
        <v>12167.39</v>
      </c>
      <c r="C17" s="2">
        <v>20203.27</v>
      </c>
      <c r="D17" s="1">
        <v>0</v>
      </c>
      <c r="E17" s="1">
        <v>61</v>
      </c>
      <c r="F17" s="3">
        <v>0.1000001448119292</v>
      </c>
      <c r="G17" s="3">
        <v>-0.19999992218799889</v>
      </c>
      <c r="I17" s="4">
        <f t="shared" si="0"/>
        <v>1.000001448119292</v>
      </c>
      <c r="J17" s="4">
        <f t="shared" si="1"/>
        <v>-1.9999992218799889</v>
      </c>
      <c r="M17" s="1" t="str">
        <f t="shared" si="7"/>
        <v>61.1</v>
      </c>
      <c r="N17" s="2">
        <f t="shared" si="2"/>
        <v>12167.39</v>
      </c>
      <c r="O17" s="2">
        <f t="shared" si="3"/>
        <v>20203.27</v>
      </c>
      <c r="Q17" s="1">
        <f t="shared" si="4"/>
        <v>61.2</v>
      </c>
      <c r="R17" s="2">
        <f t="shared" si="5"/>
        <v>12168.390001448119</v>
      </c>
      <c r="S17" s="2">
        <f t="shared" si="6"/>
        <v>20201.27000077812</v>
      </c>
    </row>
    <row r="18" spans="1:19" x14ac:dyDescent="0.25">
      <c r="A18" s="1">
        <v>63</v>
      </c>
      <c r="B18" s="2">
        <v>12166.24</v>
      </c>
      <c r="C18" s="2">
        <v>20195.03</v>
      </c>
      <c r="D18" s="1">
        <v>0</v>
      </c>
      <c r="E18" s="1">
        <v>63</v>
      </c>
      <c r="F18" s="3">
        <v>-0.40000021908781491</v>
      </c>
      <c r="G18" s="3">
        <v>1.1999993148492649</v>
      </c>
      <c r="I18" s="4">
        <f t="shared" si="0"/>
        <v>-4.0000021908781491</v>
      </c>
      <c r="J18" s="4">
        <f t="shared" si="1"/>
        <v>11.999993148492649</v>
      </c>
      <c r="M18" s="1" t="str">
        <f t="shared" si="7"/>
        <v>63.1</v>
      </c>
      <c r="N18" s="2">
        <f t="shared" si="2"/>
        <v>12166.24</v>
      </c>
      <c r="O18" s="2">
        <f t="shared" si="3"/>
        <v>20195.03</v>
      </c>
      <c r="Q18" s="1">
        <f t="shared" si="4"/>
        <v>63.2</v>
      </c>
      <c r="R18" s="2">
        <f t="shared" si="5"/>
        <v>12162.239997809122</v>
      </c>
      <c r="S18" s="2">
        <f t="shared" si="6"/>
        <v>20207.029993148491</v>
      </c>
    </row>
    <row r="19" spans="1:19" x14ac:dyDescent="0.25">
      <c r="A19" s="1">
        <v>72</v>
      </c>
      <c r="B19" s="2">
        <v>12189.69</v>
      </c>
      <c r="C19" s="2">
        <v>20199.37</v>
      </c>
      <c r="D19" s="1">
        <v>0</v>
      </c>
      <c r="E19" s="1">
        <v>72</v>
      </c>
      <c r="F19" s="3">
        <v>0.79999983063316904</v>
      </c>
      <c r="G19" s="3">
        <v>-0.90000008640345186</v>
      </c>
      <c r="I19" s="4">
        <f t="shared" si="0"/>
        <v>7.9999983063316904</v>
      </c>
      <c r="J19" s="4">
        <f t="shared" si="1"/>
        <v>-9.0000008640345186</v>
      </c>
      <c r="M19" s="1" t="str">
        <f t="shared" si="7"/>
        <v>72.1</v>
      </c>
      <c r="N19" s="2">
        <f t="shared" si="2"/>
        <v>12189.69</v>
      </c>
      <c r="O19" s="2">
        <f t="shared" si="3"/>
        <v>20199.37</v>
      </c>
      <c r="Q19" s="1">
        <f t="shared" si="4"/>
        <v>72.199999999999989</v>
      </c>
      <c r="R19" s="2">
        <f t="shared" si="5"/>
        <v>12197.689998306332</v>
      </c>
      <c r="S19" s="2">
        <f t="shared" si="6"/>
        <v>20190.369999135964</v>
      </c>
    </row>
    <row r="23" spans="1:19" x14ac:dyDescent="0.25">
      <c r="A23" s="5" t="s">
        <v>10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25">
      <c r="A24" s="5" t="s">
        <v>4</v>
      </c>
      <c r="B24" s="5"/>
      <c r="C24" s="5"/>
      <c r="D24" s="5"/>
      <c r="F24" s="5" t="s">
        <v>5</v>
      </c>
      <c r="G24" s="5"/>
      <c r="I24" s="5" t="s">
        <v>6</v>
      </c>
      <c r="J24" s="5"/>
      <c r="M24" s="5" t="s">
        <v>7</v>
      </c>
      <c r="N24" s="5"/>
      <c r="O24" s="5"/>
      <c r="Q24" s="5" t="s">
        <v>8</v>
      </c>
      <c r="R24" s="5"/>
      <c r="S24" s="5"/>
    </row>
    <row r="25" spans="1:19" x14ac:dyDescent="0.25">
      <c r="A25" s="1" t="s">
        <v>0</v>
      </c>
      <c r="B25" s="2" t="s">
        <v>1</v>
      </c>
      <c r="C25" s="2" t="s">
        <v>2</v>
      </c>
      <c r="D25" s="1" t="s">
        <v>3</v>
      </c>
    </row>
    <row r="26" spans="1:19" x14ac:dyDescent="0.25">
      <c r="A26" s="1">
        <v>11</v>
      </c>
      <c r="B26" s="2">
        <v>-35.957000000000001</v>
      </c>
      <c r="C26" s="2">
        <v>-193.245</v>
      </c>
      <c r="D26" s="1">
        <v>0</v>
      </c>
      <c r="F26" s="3">
        <v>0.49999981092696544</v>
      </c>
      <c r="G26" s="3">
        <v>-2.7000003319699317</v>
      </c>
      <c r="I26" s="4">
        <f t="shared" ref="I26:I41" si="8">F26*10</f>
        <v>4.9999981092696544</v>
      </c>
      <c r="J26" s="4">
        <f t="shared" ref="J26:J41" si="9">G26*10</f>
        <v>-27.000003319699317</v>
      </c>
      <c r="M26" s="1" t="str">
        <f>A26&amp;".1"</f>
        <v>11.1</v>
      </c>
      <c r="N26" s="2">
        <f t="shared" ref="N26:N41" si="10">B26</f>
        <v>-35.957000000000001</v>
      </c>
      <c r="O26" s="2">
        <f t="shared" ref="O26:O41" si="11">C26</f>
        <v>-193.245</v>
      </c>
      <c r="Q26" s="1">
        <f t="shared" ref="Q26:Q41" si="12">M26+0.1</f>
        <v>11.2</v>
      </c>
      <c r="R26" s="2">
        <f t="shared" ref="R26:R41" si="13">N26+I26</f>
        <v>-30.957001890730346</v>
      </c>
      <c r="S26" s="2">
        <f t="shared" ref="S26:S41" si="14">O26+J26</f>
        <v>-220.24500331969932</v>
      </c>
    </row>
    <row r="27" spans="1:19" x14ac:dyDescent="0.25">
      <c r="A27" s="1">
        <v>21</v>
      </c>
      <c r="B27" s="2">
        <v>-27.001000000000001</v>
      </c>
      <c r="C27" s="2">
        <v>-172.05500000000001</v>
      </c>
      <c r="D27" s="1">
        <v>0</v>
      </c>
      <c r="F27" s="3">
        <v>-0.69999994957470335</v>
      </c>
      <c r="G27" s="3">
        <v>-3.5999998290208168</v>
      </c>
      <c r="I27" s="4">
        <f t="shared" si="8"/>
        <v>-6.9999994957470335</v>
      </c>
      <c r="J27" s="4">
        <f t="shared" si="9"/>
        <v>-35.999998290208168</v>
      </c>
      <c r="M27" s="1" t="str">
        <f t="shared" ref="M27:M41" si="15">A27&amp;".1"</f>
        <v>21.1</v>
      </c>
      <c r="N27" s="2">
        <f t="shared" si="10"/>
        <v>-27.001000000000001</v>
      </c>
      <c r="O27" s="2">
        <f t="shared" si="11"/>
        <v>-172.05500000000001</v>
      </c>
      <c r="Q27" s="1">
        <f t="shared" si="12"/>
        <v>21.200000000000003</v>
      </c>
      <c r="R27" s="2">
        <f t="shared" si="13"/>
        <v>-34.000999495747038</v>
      </c>
      <c r="S27" s="2">
        <f t="shared" si="14"/>
        <v>-208.05499829020818</v>
      </c>
    </row>
    <row r="28" spans="1:19" x14ac:dyDescent="0.25">
      <c r="A28" s="1">
        <v>22</v>
      </c>
      <c r="B28" s="2">
        <v>-19.452000000000002</v>
      </c>
      <c r="C28" s="2">
        <v>-175.66900000000001</v>
      </c>
      <c r="D28" s="1">
        <v>0</v>
      </c>
      <c r="F28" s="3">
        <v>1.499999994848622</v>
      </c>
      <c r="G28" s="3">
        <v>-3.399999226530781</v>
      </c>
      <c r="I28" s="4">
        <f t="shared" si="8"/>
        <v>14.99999994848622</v>
      </c>
      <c r="J28" s="4">
        <f t="shared" si="9"/>
        <v>-33.99999226530781</v>
      </c>
      <c r="M28" s="1" t="str">
        <f t="shared" si="15"/>
        <v>22.1</v>
      </c>
      <c r="N28" s="2">
        <f t="shared" si="10"/>
        <v>-19.452000000000002</v>
      </c>
      <c r="O28" s="2">
        <f t="shared" si="11"/>
        <v>-175.66900000000001</v>
      </c>
      <c r="Q28" s="1">
        <f t="shared" si="12"/>
        <v>22.200000000000003</v>
      </c>
      <c r="R28" s="2">
        <f t="shared" si="13"/>
        <v>-4.4520000515137816</v>
      </c>
      <c r="S28" s="2">
        <f t="shared" si="14"/>
        <v>-209.66899226530782</v>
      </c>
    </row>
    <row r="29" spans="1:19" x14ac:dyDescent="0.25">
      <c r="A29" s="1">
        <v>31</v>
      </c>
      <c r="B29" s="2">
        <v>-13.28</v>
      </c>
      <c r="C29" s="2">
        <v>-144.90899999999999</v>
      </c>
      <c r="D29" s="1">
        <v>0</v>
      </c>
      <c r="F29" s="3">
        <v>-1.6999997988023097</v>
      </c>
      <c r="G29" s="3">
        <v>-4.3000001714972313</v>
      </c>
      <c r="I29" s="4">
        <f t="shared" si="8"/>
        <v>-16.999997988023097</v>
      </c>
      <c r="J29" s="4">
        <f t="shared" si="9"/>
        <v>-43.000001714972313</v>
      </c>
      <c r="M29" s="1" t="str">
        <f t="shared" si="15"/>
        <v>31.1</v>
      </c>
      <c r="N29" s="2">
        <f t="shared" si="10"/>
        <v>-13.28</v>
      </c>
      <c r="O29" s="2">
        <f t="shared" si="11"/>
        <v>-144.90899999999999</v>
      </c>
      <c r="Q29" s="1">
        <f t="shared" si="12"/>
        <v>31.200000000000003</v>
      </c>
      <c r="R29" s="2">
        <f t="shared" si="13"/>
        <v>-30.279997988023098</v>
      </c>
      <c r="S29" s="2">
        <f t="shared" si="14"/>
        <v>-187.90900171497231</v>
      </c>
    </row>
    <row r="30" spans="1:19" x14ac:dyDescent="0.25">
      <c r="A30" s="1">
        <v>32</v>
      </c>
      <c r="B30" s="2">
        <v>-6.0289999999999999</v>
      </c>
      <c r="C30" s="2">
        <v>-149.02099999999999</v>
      </c>
      <c r="D30" s="1">
        <v>0</v>
      </c>
      <c r="F30" s="3">
        <v>-2.0008883439004421E-8</v>
      </c>
      <c r="G30" s="3">
        <v>-1.8999991589225829</v>
      </c>
      <c r="I30" s="4">
        <f t="shared" si="8"/>
        <v>-2.0008883439004421E-7</v>
      </c>
      <c r="J30" s="4">
        <f t="shared" si="9"/>
        <v>-18.999991589225829</v>
      </c>
      <c r="M30" s="1" t="str">
        <f t="shared" si="15"/>
        <v>32.1</v>
      </c>
      <c r="N30" s="2">
        <f t="shared" si="10"/>
        <v>-6.0289999999999999</v>
      </c>
      <c r="O30" s="2">
        <f t="shared" si="11"/>
        <v>-149.02099999999999</v>
      </c>
      <c r="Q30" s="1">
        <f t="shared" si="12"/>
        <v>32.200000000000003</v>
      </c>
      <c r="R30" s="2">
        <f t="shared" si="13"/>
        <v>-6.0290002000888343</v>
      </c>
      <c r="S30" s="2">
        <f t="shared" si="14"/>
        <v>-168.02099158922582</v>
      </c>
    </row>
    <row r="31" spans="1:19" x14ac:dyDescent="0.25">
      <c r="A31" s="1">
        <v>33</v>
      </c>
      <c r="B31" s="2">
        <v>1.8720000000000001</v>
      </c>
      <c r="C31" s="2">
        <v>-153.239</v>
      </c>
      <c r="D31" s="1">
        <v>0</v>
      </c>
      <c r="F31" s="3">
        <v>0.60000012490490917</v>
      </c>
      <c r="G31" s="3">
        <v>-1.7999997435254045</v>
      </c>
      <c r="I31" s="4">
        <f t="shared" si="8"/>
        <v>6.0000012490490917</v>
      </c>
      <c r="J31" s="4">
        <f t="shared" si="9"/>
        <v>-17.999997435254045</v>
      </c>
      <c r="M31" s="1" t="str">
        <f t="shared" si="15"/>
        <v>33.1</v>
      </c>
      <c r="N31" s="2">
        <f t="shared" si="10"/>
        <v>1.8720000000000001</v>
      </c>
      <c r="O31" s="2">
        <f t="shared" si="11"/>
        <v>-153.239</v>
      </c>
      <c r="Q31" s="1">
        <f t="shared" si="12"/>
        <v>33.200000000000003</v>
      </c>
      <c r="R31" s="2">
        <f t="shared" si="13"/>
        <v>7.8720012490490916</v>
      </c>
      <c r="S31" s="2">
        <f t="shared" si="14"/>
        <v>-171.23899743525405</v>
      </c>
    </row>
    <row r="32" spans="1:19" x14ac:dyDescent="0.25">
      <c r="A32" s="1">
        <v>41</v>
      </c>
      <c r="B32" s="2">
        <v>-1.446</v>
      </c>
      <c r="C32" s="2">
        <v>-125.42</v>
      </c>
      <c r="D32" s="1">
        <v>0</v>
      </c>
      <c r="F32" s="3">
        <v>-2.1000001579523087</v>
      </c>
      <c r="G32" s="3">
        <v>-5.1000005078094546</v>
      </c>
      <c r="I32" s="4">
        <f t="shared" si="8"/>
        <v>-21.000001579523087</v>
      </c>
      <c r="J32" s="4">
        <f t="shared" si="9"/>
        <v>-51.000005078094546</v>
      </c>
      <c r="M32" s="1" t="str">
        <f t="shared" si="15"/>
        <v>41.1</v>
      </c>
      <c r="N32" s="2">
        <f t="shared" si="10"/>
        <v>-1.446</v>
      </c>
      <c r="O32" s="2">
        <f t="shared" si="11"/>
        <v>-125.42</v>
      </c>
      <c r="Q32" s="1">
        <f t="shared" si="12"/>
        <v>41.2</v>
      </c>
      <c r="R32" s="2">
        <f t="shared" si="13"/>
        <v>-22.446001579523088</v>
      </c>
      <c r="S32" s="2">
        <f t="shared" si="14"/>
        <v>-176.42000507809456</v>
      </c>
    </row>
    <row r="33" spans="1:19" x14ac:dyDescent="0.25">
      <c r="A33" s="1">
        <v>42</v>
      </c>
      <c r="B33" s="2">
        <v>5.633</v>
      </c>
      <c r="C33" s="2">
        <v>-129.602</v>
      </c>
      <c r="D33" s="1">
        <v>0</v>
      </c>
      <c r="F33" s="3">
        <v>-0.69999995685066096</v>
      </c>
      <c r="G33" s="3">
        <v>-1.5000000857980922</v>
      </c>
      <c r="I33" s="4">
        <f t="shared" si="8"/>
        <v>-6.9999995685066096</v>
      </c>
      <c r="J33" s="4">
        <f t="shared" si="9"/>
        <v>-15.000000857980922</v>
      </c>
      <c r="M33" s="1" t="str">
        <f t="shared" si="15"/>
        <v>42.1</v>
      </c>
      <c r="N33" s="2">
        <f t="shared" si="10"/>
        <v>5.633</v>
      </c>
      <c r="O33" s="2">
        <f t="shared" si="11"/>
        <v>-129.602</v>
      </c>
      <c r="Q33" s="1">
        <f t="shared" si="12"/>
        <v>42.2</v>
      </c>
      <c r="R33" s="2">
        <f t="shared" si="13"/>
        <v>-1.3669995685066096</v>
      </c>
      <c r="S33" s="2">
        <f t="shared" si="14"/>
        <v>-144.60200085798093</v>
      </c>
    </row>
    <row r="34" spans="1:19" x14ac:dyDescent="0.25">
      <c r="A34" s="1">
        <v>43</v>
      </c>
      <c r="B34" s="2">
        <v>13.250999999999999</v>
      </c>
      <c r="C34" s="2">
        <v>-134.58600000000001</v>
      </c>
      <c r="D34" s="1">
        <v>0</v>
      </c>
      <c r="F34" s="3">
        <v>0.59999995573889464</v>
      </c>
      <c r="G34" s="3">
        <v>-0.50000034025288187</v>
      </c>
      <c r="I34" s="4">
        <f t="shared" si="8"/>
        <v>5.9999995573889464</v>
      </c>
      <c r="J34" s="4">
        <f t="shared" si="9"/>
        <v>-5.0000034025288187</v>
      </c>
      <c r="M34" s="1" t="str">
        <f t="shared" si="15"/>
        <v>43.1</v>
      </c>
      <c r="N34" s="2">
        <f t="shared" si="10"/>
        <v>13.250999999999999</v>
      </c>
      <c r="O34" s="2">
        <f t="shared" si="11"/>
        <v>-134.58600000000001</v>
      </c>
      <c r="Q34" s="1">
        <f t="shared" si="12"/>
        <v>43.2</v>
      </c>
      <c r="R34" s="2">
        <f t="shared" si="13"/>
        <v>19.250999557388944</v>
      </c>
      <c r="S34" s="2">
        <f t="shared" si="14"/>
        <v>-139.58600340252883</v>
      </c>
    </row>
    <row r="35" spans="1:19" x14ac:dyDescent="0.25">
      <c r="A35" s="1">
        <v>44</v>
      </c>
      <c r="B35" s="2">
        <v>21.382999999999999</v>
      </c>
      <c r="C35" s="2">
        <v>-139.898</v>
      </c>
      <c r="D35" s="1">
        <v>0</v>
      </c>
      <c r="F35" s="3">
        <v>0.59999974291713443</v>
      </c>
      <c r="G35" s="3">
        <v>-0.69999991319491528</v>
      </c>
      <c r="I35" s="4">
        <f t="shared" si="8"/>
        <v>5.9999974291713443</v>
      </c>
      <c r="J35" s="4">
        <f t="shared" si="9"/>
        <v>-6.9999991319491528</v>
      </c>
      <c r="M35" s="1" t="str">
        <f t="shared" si="15"/>
        <v>44.1</v>
      </c>
      <c r="N35" s="2">
        <f t="shared" si="10"/>
        <v>21.382999999999999</v>
      </c>
      <c r="O35" s="2">
        <f t="shared" si="11"/>
        <v>-139.898</v>
      </c>
      <c r="Q35" s="1">
        <f t="shared" si="12"/>
        <v>44.2</v>
      </c>
      <c r="R35" s="2">
        <f t="shared" si="13"/>
        <v>27.382997429171343</v>
      </c>
      <c r="S35" s="2">
        <f t="shared" si="14"/>
        <v>-146.89799913194915</v>
      </c>
    </row>
    <row r="36" spans="1:19" x14ac:dyDescent="0.25">
      <c r="A36" s="1">
        <v>51</v>
      </c>
      <c r="B36" s="2">
        <v>11.281000000000001</v>
      </c>
      <c r="C36" s="2">
        <v>-106.446</v>
      </c>
      <c r="D36" s="1">
        <v>0</v>
      </c>
      <c r="F36" s="3">
        <v>-1.3000001817999873</v>
      </c>
      <c r="G36" s="3">
        <v>-2.2000005155859981</v>
      </c>
      <c r="I36" s="4">
        <f t="shared" si="8"/>
        <v>-13.000001817999873</v>
      </c>
      <c r="J36" s="4">
        <f t="shared" si="9"/>
        <v>-22.000005155859981</v>
      </c>
      <c r="M36" s="1" t="str">
        <f t="shared" si="15"/>
        <v>51.1</v>
      </c>
      <c r="N36" s="2">
        <f t="shared" si="10"/>
        <v>11.281000000000001</v>
      </c>
      <c r="O36" s="2">
        <f t="shared" si="11"/>
        <v>-106.446</v>
      </c>
      <c r="Q36" s="1">
        <f t="shared" si="12"/>
        <v>51.2</v>
      </c>
      <c r="R36" s="2">
        <f t="shared" si="13"/>
        <v>-1.7190018179998727</v>
      </c>
      <c r="S36" s="2">
        <f t="shared" si="14"/>
        <v>-128.44600515585998</v>
      </c>
    </row>
    <row r="37" spans="1:19" x14ac:dyDescent="0.25">
      <c r="A37" s="1">
        <v>52</v>
      </c>
      <c r="B37" s="2">
        <v>18.076000000000001</v>
      </c>
      <c r="C37" s="2">
        <v>-111.29900000000001</v>
      </c>
      <c r="D37" s="1">
        <v>0</v>
      </c>
      <c r="F37" s="3">
        <v>-9.9999981102882884E-2</v>
      </c>
      <c r="G37" s="3">
        <v>-0.70000008781789802</v>
      </c>
      <c r="I37" s="4">
        <f t="shared" si="8"/>
        <v>-0.99999981102882884</v>
      </c>
      <c r="J37" s="4">
        <f t="shared" si="9"/>
        <v>-7.0000008781789802</v>
      </c>
      <c r="M37" s="1" t="str">
        <f t="shared" si="15"/>
        <v>52.1</v>
      </c>
      <c r="N37" s="2">
        <f t="shared" si="10"/>
        <v>18.076000000000001</v>
      </c>
      <c r="O37" s="2">
        <f t="shared" si="11"/>
        <v>-111.29900000000001</v>
      </c>
      <c r="Q37" s="1">
        <f t="shared" si="12"/>
        <v>52.2</v>
      </c>
      <c r="R37" s="2">
        <f t="shared" si="13"/>
        <v>17.076000188971172</v>
      </c>
      <c r="S37" s="2">
        <f t="shared" si="14"/>
        <v>-118.29900087817899</v>
      </c>
    </row>
    <row r="38" spans="1:19" x14ac:dyDescent="0.25">
      <c r="A38" s="1">
        <v>53</v>
      </c>
      <c r="B38" s="2">
        <v>25.427</v>
      </c>
      <c r="C38" s="2">
        <v>-116.506</v>
      </c>
      <c r="D38" s="1">
        <v>0</v>
      </c>
      <c r="F38" s="3">
        <v>-0.10000002657761797</v>
      </c>
      <c r="G38" s="3">
        <v>-1.2000004207948223</v>
      </c>
      <c r="I38" s="4">
        <f t="shared" si="8"/>
        <v>-1.0000002657761797</v>
      </c>
      <c r="J38" s="4">
        <f t="shared" si="9"/>
        <v>-12.000004207948223</v>
      </c>
      <c r="M38" s="1" t="str">
        <f t="shared" si="15"/>
        <v>53.1</v>
      </c>
      <c r="N38" s="2">
        <f t="shared" si="10"/>
        <v>25.427</v>
      </c>
      <c r="O38" s="2">
        <f t="shared" si="11"/>
        <v>-116.506</v>
      </c>
      <c r="Q38" s="1">
        <f t="shared" si="12"/>
        <v>53.2</v>
      </c>
      <c r="R38" s="2">
        <f t="shared" si="13"/>
        <v>24.42699973422382</v>
      </c>
      <c r="S38" s="2">
        <f t="shared" si="14"/>
        <v>-128.50600420794822</v>
      </c>
    </row>
    <row r="39" spans="1:19" x14ac:dyDescent="0.25">
      <c r="A39" s="1">
        <v>61</v>
      </c>
      <c r="B39" s="2">
        <v>30.222999999999999</v>
      </c>
      <c r="C39" s="2">
        <v>-82.584000000000003</v>
      </c>
      <c r="D39" s="1">
        <v>0</v>
      </c>
      <c r="F39" s="3">
        <v>0.1000001448119292</v>
      </c>
      <c r="G39" s="3">
        <v>-0.19999992218799889</v>
      </c>
      <c r="I39" s="4">
        <f t="shared" si="8"/>
        <v>1.000001448119292</v>
      </c>
      <c r="J39" s="4">
        <f t="shared" si="9"/>
        <v>-1.9999992218799889</v>
      </c>
      <c r="M39" s="1" t="str">
        <f t="shared" si="15"/>
        <v>61.1</v>
      </c>
      <c r="N39" s="2">
        <f t="shared" si="10"/>
        <v>30.222999999999999</v>
      </c>
      <c r="O39" s="2">
        <f t="shared" si="11"/>
        <v>-82.584000000000003</v>
      </c>
      <c r="Q39" s="1">
        <f t="shared" si="12"/>
        <v>61.2</v>
      </c>
      <c r="R39" s="2">
        <f t="shared" si="13"/>
        <v>31.223001448119291</v>
      </c>
      <c r="S39" s="2">
        <f t="shared" si="14"/>
        <v>-84.583999221879992</v>
      </c>
    </row>
    <row r="40" spans="1:19" x14ac:dyDescent="0.25">
      <c r="A40" s="1">
        <v>63</v>
      </c>
      <c r="B40" s="2">
        <v>36.637</v>
      </c>
      <c r="C40" s="2">
        <v>-87.884</v>
      </c>
      <c r="D40" s="1">
        <v>0</v>
      </c>
      <c r="F40" s="3">
        <v>-0.40000021908781491</v>
      </c>
      <c r="G40" s="3">
        <v>1.1999993148492649</v>
      </c>
      <c r="I40" s="4">
        <f t="shared" si="8"/>
        <v>-4.0000021908781491</v>
      </c>
      <c r="J40" s="4">
        <f t="shared" si="9"/>
        <v>11.999993148492649</v>
      </c>
      <c r="M40" s="1" t="str">
        <f t="shared" si="15"/>
        <v>63.1</v>
      </c>
      <c r="N40" s="2">
        <f t="shared" si="10"/>
        <v>36.637</v>
      </c>
      <c r="O40" s="2">
        <f t="shared" si="11"/>
        <v>-87.884</v>
      </c>
      <c r="Q40" s="1">
        <f t="shared" si="12"/>
        <v>63.2</v>
      </c>
      <c r="R40" s="2">
        <f t="shared" si="13"/>
        <v>32.636997809121851</v>
      </c>
      <c r="S40" s="2">
        <f t="shared" si="14"/>
        <v>-75.884006851507351</v>
      </c>
    </row>
    <row r="41" spans="1:19" x14ac:dyDescent="0.25">
      <c r="A41" s="1">
        <v>72</v>
      </c>
      <c r="B41" s="2">
        <v>45.234999999999999</v>
      </c>
      <c r="C41" s="2">
        <v>-65.638999999999996</v>
      </c>
      <c r="D41" s="1">
        <v>0</v>
      </c>
      <c r="F41" s="3">
        <v>0.79999983063316904</v>
      </c>
      <c r="G41" s="3">
        <v>-0.90000008640345186</v>
      </c>
      <c r="I41" s="4">
        <f t="shared" si="8"/>
        <v>7.9999983063316904</v>
      </c>
      <c r="J41" s="4">
        <f t="shared" si="9"/>
        <v>-9.0000008640345186</v>
      </c>
      <c r="M41" s="1" t="str">
        <f t="shared" si="15"/>
        <v>72.1</v>
      </c>
      <c r="N41" s="2">
        <f t="shared" si="10"/>
        <v>45.234999999999999</v>
      </c>
      <c r="O41" s="2">
        <f t="shared" si="11"/>
        <v>-65.638999999999996</v>
      </c>
      <c r="Q41" s="1">
        <f t="shared" si="12"/>
        <v>72.199999999999989</v>
      </c>
      <c r="R41" s="2">
        <f t="shared" si="13"/>
        <v>53.23499830633169</v>
      </c>
      <c r="S41" s="2">
        <f t="shared" si="14"/>
        <v>-74.639000864034514</v>
      </c>
    </row>
  </sheetData>
  <sortState xmlns:xlrd2="http://schemas.microsoft.com/office/spreadsheetml/2017/richdata2" ref="A26:S41">
    <sortCondition ref="A26:A41"/>
  </sortState>
  <mergeCells count="12">
    <mergeCell ref="A23:S23"/>
    <mergeCell ref="A24:D24"/>
    <mergeCell ref="F24:G24"/>
    <mergeCell ref="I24:J24"/>
    <mergeCell ref="M24:O24"/>
    <mergeCell ref="Q24:S24"/>
    <mergeCell ref="A1:S1"/>
    <mergeCell ref="A2:D2"/>
    <mergeCell ref="F2:G2"/>
    <mergeCell ref="I2:J2"/>
    <mergeCell ref="M2:O2"/>
    <mergeCell ref="Q2:S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167D-1DEC-49B3-9EC2-06EE950DBE5A}">
  <dimension ref="A1:S43"/>
  <sheetViews>
    <sheetView workbookViewId="0">
      <selection activeCell="A19" sqref="A1:XFD1048576"/>
    </sheetView>
  </sheetViews>
  <sheetFormatPr baseColWidth="10" defaultRowHeight="15" x14ac:dyDescent="0.25"/>
  <cols>
    <col min="1" max="1" width="11.42578125" style="1"/>
    <col min="2" max="3" width="11.42578125" style="2"/>
    <col min="4" max="16384" width="11.42578125" style="1"/>
  </cols>
  <sheetData>
    <row r="1" spans="1:19" x14ac:dyDescent="0.25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5" t="s">
        <v>11</v>
      </c>
      <c r="B2" s="5"/>
      <c r="C2" s="5"/>
      <c r="D2" s="5"/>
      <c r="F2" s="5" t="s">
        <v>5</v>
      </c>
      <c r="G2" s="5"/>
      <c r="I2" s="5" t="s">
        <v>6</v>
      </c>
      <c r="J2" s="5"/>
      <c r="M2" s="5" t="s">
        <v>7</v>
      </c>
      <c r="N2" s="5"/>
      <c r="O2" s="5"/>
      <c r="Q2" s="5" t="s">
        <v>8</v>
      </c>
      <c r="R2" s="5"/>
      <c r="S2" s="5"/>
    </row>
    <row r="3" spans="1:19" x14ac:dyDescent="0.25">
      <c r="A3" s="1" t="s">
        <v>0</v>
      </c>
      <c r="B3" s="2" t="s">
        <v>1</v>
      </c>
      <c r="C3" s="2" t="s">
        <v>2</v>
      </c>
      <c r="D3" s="1" t="s">
        <v>3</v>
      </c>
    </row>
    <row r="4" spans="1:19" x14ac:dyDescent="0.25">
      <c r="A4" s="1">
        <v>11</v>
      </c>
      <c r="B4" s="2">
        <v>12038.46</v>
      </c>
      <c r="C4" s="2">
        <v>20201.61</v>
      </c>
      <c r="D4" s="1">
        <v>0</v>
      </c>
      <c r="F4" s="3">
        <v>0.40000001899898052</v>
      </c>
      <c r="G4" s="3">
        <v>-2.1000001579523087</v>
      </c>
      <c r="I4" s="4">
        <f>F4*10</f>
        <v>4.0000001899898052</v>
      </c>
      <c r="J4" s="4">
        <f>G4*10</f>
        <v>-21.000001579523087</v>
      </c>
      <c r="M4" s="1" t="str">
        <f>A4&amp;".1"</f>
        <v>11.1</v>
      </c>
      <c r="N4" s="2">
        <f>B4</f>
        <v>12038.46</v>
      </c>
      <c r="O4" s="2">
        <f>C4</f>
        <v>20201.61</v>
      </c>
      <c r="Q4" s="1">
        <f>M4+0.1</f>
        <v>11.2</v>
      </c>
      <c r="R4" s="2">
        <f>N4+I4</f>
        <v>12042.460000189989</v>
      </c>
      <c r="S4" s="2">
        <f>O4+J4</f>
        <v>20180.609998420477</v>
      </c>
    </row>
    <row r="5" spans="1:19" x14ac:dyDescent="0.25">
      <c r="A5" s="1">
        <v>21</v>
      </c>
      <c r="B5" s="2">
        <v>12061.2</v>
      </c>
      <c r="C5" s="2">
        <v>20205.09</v>
      </c>
      <c r="D5" s="1">
        <v>0</v>
      </c>
      <c r="F5" s="3">
        <v>0.19999989308416843</v>
      </c>
      <c r="G5" s="3">
        <v>-2.199999988079071</v>
      </c>
      <c r="I5" s="4">
        <f t="shared" ref="I5:J19" si="0">F5*10</f>
        <v>1.9999989308416843</v>
      </c>
      <c r="J5" s="4">
        <f t="shared" si="0"/>
        <v>-21.99999988079071</v>
      </c>
      <c r="M5" s="1" t="str">
        <f t="shared" ref="M5:M19" si="1">A5&amp;".1"</f>
        <v>21.1</v>
      </c>
      <c r="N5" s="2">
        <f t="shared" ref="N5:O19" si="2">B5</f>
        <v>12061.2</v>
      </c>
      <c r="O5" s="2">
        <f t="shared" si="2"/>
        <v>20205.09</v>
      </c>
      <c r="Q5" s="1">
        <f t="shared" ref="Q5:Q19" si="3">M5+0.1</f>
        <v>21.200000000000003</v>
      </c>
      <c r="R5" s="2">
        <f t="shared" ref="R5:S19" si="4">N5+I5</f>
        <v>12063.199998930842</v>
      </c>
      <c r="S5" s="2">
        <f t="shared" si="4"/>
        <v>20183.090000119209</v>
      </c>
    </row>
    <row r="6" spans="1:19" x14ac:dyDescent="0.25">
      <c r="A6" s="1">
        <v>22</v>
      </c>
      <c r="B6" s="2">
        <v>12062.08</v>
      </c>
      <c r="C6" s="2">
        <v>20196.77</v>
      </c>
      <c r="D6" s="1">
        <v>0</v>
      </c>
      <c r="F6" s="3">
        <v>1.3000001199543476</v>
      </c>
      <c r="G6" s="3">
        <v>-2.9999995604157448</v>
      </c>
      <c r="I6" s="4">
        <f t="shared" si="0"/>
        <v>13.000001199543476</v>
      </c>
      <c r="J6" s="4">
        <f t="shared" si="0"/>
        <v>-29.999995604157448</v>
      </c>
      <c r="M6" s="1" t="str">
        <f t="shared" si="1"/>
        <v>22.1</v>
      </c>
      <c r="N6" s="2">
        <f t="shared" si="2"/>
        <v>12062.08</v>
      </c>
      <c r="O6" s="2">
        <f t="shared" si="2"/>
        <v>20196.77</v>
      </c>
      <c r="Q6" s="1">
        <f t="shared" si="3"/>
        <v>22.200000000000003</v>
      </c>
      <c r="R6" s="2">
        <f t="shared" si="4"/>
        <v>12075.080001199543</v>
      </c>
      <c r="S6" s="2">
        <f t="shared" si="4"/>
        <v>20166.770004395843</v>
      </c>
    </row>
    <row r="7" spans="1:19" x14ac:dyDescent="0.25">
      <c r="A7" s="1">
        <v>31</v>
      </c>
      <c r="B7" s="2">
        <v>12091.51</v>
      </c>
      <c r="C7" s="2">
        <v>20207.64</v>
      </c>
      <c r="D7" s="1">
        <v>0</v>
      </c>
      <c r="F7" s="3">
        <v>-0.90000033378601074</v>
      </c>
      <c r="G7" s="3">
        <v>-3.2000001519918442</v>
      </c>
      <c r="I7" s="4">
        <f t="shared" si="0"/>
        <v>-9.0000033378601074</v>
      </c>
      <c r="J7" s="4">
        <f t="shared" si="0"/>
        <v>-32.000001519918442</v>
      </c>
      <c r="M7" s="1" t="str">
        <f t="shared" si="1"/>
        <v>31.1</v>
      </c>
      <c r="N7" s="2">
        <f t="shared" si="2"/>
        <v>12091.51</v>
      </c>
      <c r="O7" s="2">
        <f t="shared" si="2"/>
        <v>20207.64</v>
      </c>
      <c r="Q7" s="1">
        <f t="shared" si="3"/>
        <v>31.200000000000003</v>
      </c>
      <c r="R7" s="2">
        <f t="shared" si="4"/>
        <v>12082.50999666214</v>
      </c>
      <c r="S7" s="2">
        <f t="shared" si="4"/>
        <v>20175.639998480081</v>
      </c>
    </row>
    <row r="8" spans="1:19" x14ac:dyDescent="0.25">
      <c r="A8" s="1">
        <v>32</v>
      </c>
      <c r="B8" s="2">
        <v>12091.81</v>
      </c>
      <c r="C8" s="2">
        <v>20199.310000000001</v>
      </c>
      <c r="D8" s="1">
        <v>0</v>
      </c>
      <c r="F8" s="3">
        <v>0.30000018887221813</v>
      </c>
      <c r="G8" s="3">
        <v>-1.2999996542930603</v>
      </c>
      <c r="I8" s="4">
        <f t="shared" si="0"/>
        <v>3.0000018887221813</v>
      </c>
      <c r="J8" s="4">
        <f t="shared" si="0"/>
        <v>-12.999996542930603</v>
      </c>
      <c r="M8" s="1" t="str">
        <f t="shared" si="1"/>
        <v>32.1</v>
      </c>
      <c r="N8" s="2">
        <f t="shared" si="2"/>
        <v>12091.81</v>
      </c>
      <c r="O8" s="2">
        <f t="shared" si="2"/>
        <v>20199.310000000001</v>
      </c>
      <c r="Q8" s="1">
        <f t="shared" si="3"/>
        <v>32.200000000000003</v>
      </c>
      <c r="R8" s="2">
        <f t="shared" si="4"/>
        <v>12094.810001888722</v>
      </c>
      <c r="S8" s="2">
        <f t="shared" si="4"/>
        <v>20186.310003457071</v>
      </c>
    </row>
    <row r="9" spans="1:19" x14ac:dyDescent="0.25">
      <c r="A9" s="1">
        <v>33</v>
      </c>
      <c r="B9" s="2">
        <v>12092.36</v>
      </c>
      <c r="C9" s="2">
        <v>20190.37</v>
      </c>
      <c r="D9" s="1">
        <v>0</v>
      </c>
      <c r="F9" s="3">
        <v>0.70000020787119865</v>
      </c>
      <c r="G9" s="3">
        <v>-1.9999993965029716</v>
      </c>
      <c r="I9" s="4">
        <f t="shared" si="0"/>
        <v>7.0000020787119865</v>
      </c>
      <c r="J9" s="4">
        <f t="shared" si="0"/>
        <v>-19.999993965029716</v>
      </c>
      <c r="M9" s="1" t="str">
        <f t="shared" si="1"/>
        <v>33.1</v>
      </c>
      <c r="N9" s="2">
        <f t="shared" si="2"/>
        <v>12092.36</v>
      </c>
      <c r="O9" s="2">
        <f t="shared" si="2"/>
        <v>20190.37</v>
      </c>
      <c r="Q9" s="1">
        <f t="shared" si="3"/>
        <v>33.200000000000003</v>
      </c>
      <c r="R9" s="2">
        <f t="shared" si="4"/>
        <v>12099.360002078713</v>
      </c>
      <c r="S9" s="2">
        <f t="shared" si="4"/>
        <v>20170.370006034969</v>
      </c>
    </row>
    <row r="10" spans="1:19" x14ac:dyDescent="0.25">
      <c r="A10" s="1">
        <v>41</v>
      </c>
      <c r="B10" s="2">
        <v>12114.31</v>
      </c>
      <c r="C10" s="2">
        <v>20207.78</v>
      </c>
      <c r="D10" s="1">
        <v>0</v>
      </c>
      <c r="F10" s="3">
        <v>-0.10000006295740604</v>
      </c>
      <c r="G10" s="3">
        <v>-2.3000007495284081</v>
      </c>
      <c r="I10" s="4">
        <f t="shared" si="0"/>
        <v>-1.0000006295740604</v>
      </c>
      <c r="J10" s="4">
        <f t="shared" si="0"/>
        <v>-23.000007495284081</v>
      </c>
      <c r="M10" s="1" t="str">
        <f t="shared" si="1"/>
        <v>41.1</v>
      </c>
      <c r="N10" s="2">
        <f t="shared" si="2"/>
        <v>12114.31</v>
      </c>
      <c r="O10" s="2">
        <f t="shared" si="2"/>
        <v>20207.78</v>
      </c>
      <c r="Q10" s="1">
        <f t="shared" si="3"/>
        <v>41.2</v>
      </c>
      <c r="R10" s="2">
        <f t="shared" si="4"/>
        <v>12113.309999370425</v>
      </c>
      <c r="S10" s="2">
        <f t="shared" si="4"/>
        <v>20184.779992504715</v>
      </c>
    </row>
    <row r="11" spans="1:19" x14ac:dyDescent="0.25">
      <c r="A11" s="1">
        <v>42</v>
      </c>
      <c r="B11" s="2">
        <v>12114.46</v>
      </c>
      <c r="C11" s="2">
        <v>20199.560000000001</v>
      </c>
      <c r="D11" s="1">
        <v>0</v>
      </c>
      <c r="F11" s="3">
        <v>0</v>
      </c>
      <c r="G11" s="3">
        <v>-1.6000000759959221</v>
      </c>
      <c r="I11" s="4">
        <f t="shared" si="0"/>
        <v>0</v>
      </c>
      <c r="J11" s="4">
        <f t="shared" si="0"/>
        <v>-16.000000759959221</v>
      </c>
      <c r="M11" s="1" t="str">
        <f t="shared" si="1"/>
        <v>42.1</v>
      </c>
      <c r="N11" s="2">
        <f t="shared" si="2"/>
        <v>12114.46</v>
      </c>
      <c r="O11" s="2">
        <f t="shared" si="2"/>
        <v>20199.560000000001</v>
      </c>
      <c r="Q11" s="1">
        <f t="shared" si="3"/>
        <v>42.2</v>
      </c>
      <c r="R11" s="2">
        <f t="shared" si="4"/>
        <v>12114.46</v>
      </c>
      <c r="S11" s="2">
        <f t="shared" si="4"/>
        <v>20183.559999240042</v>
      </c>
    </row>
    <row r="12" spans="1:19" x14ac:dyDescent="0.25">
      <c r="A12" s="1">
        <v>43</v>
      </c>
      <c r="B12" s="2">
        <v>12114.21</v>
      </c>
      <c r="C12" s="2">
        <v>20190.46</v>
      </c>
      <c r="D12" s="1">
        <v>0</v>
      </c>
      <c r="F12" s="3">
        <v>0.70000020787119865</v>
      </c>
      <c r="G12" s="3">
        <v>-1.6000000759959221</v>
      </c>
      <c r="I12" s="4">
        <f t="shared" si="0"/>
        <v>7.0000020787119865</v>
      </c>
      <c r="J12" s="4">
        <f t="shared" si="0"/>
        <v>-16.000000759959221</v>
      </c>
      <c r="M12" s="1" t="str">
        <f t="shared" si="1"/>
        <v>43.1</v>
      </c>
      <c r="N12" s="2">
        <f t="shared" si="2"/>
        <v>12114.21</v>
      </c>
      <c r="O12" s="2">
        <f t="shared" si="2"/>
        <v>20190.46</v>
      </c>
      <c r="Q12" s="1">
        <f t="shared" si="3"/>
        <v>43.2</v>
      </c>
      <c r="R12" s="2">
        <f t="shared" si="4"/>
        <v>12121.210002078711</v>
      </c>
      <c r="S12" s="2">
        <f t="shared" si="4"/>
        <v>20174.45999924004</v>
      </c>
    </row>
    <row r="13" spans="1:19" x14ac:dyDescent="0.25">
      <c r="A13" s="1">
        <v>44</v>
      </c>
      <c r="B13" s="2">
        <v>12113.95</v>
      </c>
      <c r="C13" s="2">
        <v>20180.75</v>
      </c>
      <c r="D13" s="1">
        <v>0</v>
      </c>
      <c r="F13" s="3">
        <v>0.49999961629509926</v>
      </c>
      <c r="G13" s="3">
        <v>-2.1000001579523087</v>
      </c>
      <c r="I13" s="4">
        <f t="shared" si="0"/>
        <v>4.9999961629509926</v>
      </c>
      <c r="J13" s="4">
        <f t="shared" si="0"/>
        <v>-21.000001579523087</v>
      </c>
      <c r="M13" s="1" t="str">
        <f t="shared" si="1"/>
        <v>44.1</v>
      </c>
      <c r="N13" s="2">
        <f t="shared" si="2"/>
        <v>12113.95</v>
      </c>
      <c r="O13" s="2">
        <f t="shared" si="2"/>
        <v>20180.75</v>
      </c>
      <c r="Q13" s="1">
        <f t="shared" si="3"/>
        <v>44.2</v>
      </c>
      <c r="R13" s="2">
        <f t="shared" si="4"/>
        <v>12118.949996162952</v>
      </c>
      <c r="S13" s="2">
        <f t="shared" si="4"/>
        <v>20159.749998420477</v>
      </c>
    </row>
    <row r="14" spans="1:19" x14ac:dyDescent="0.25">
      <c r="A14" s="1">
        <v>51</v>
      </c>
      <c r="B14" s="2">
        <v>12137.14</v>
      </c>
      <c r="C14" s="2">
        <v>20206.89</v>
      </c>
      <c r="D14" s="1">
        <v>0</v>
      </c>
      <c r="F14" s="3">
        <v>-0.30000018887221813</v>
      </c>
      <c r="G14" s="3">
        <v>0</v>
      </c>
      <c r="I14" s="4">
        <f t="shared" si="0"/>
        <v>-3.0000018887221813</v>
      </c>
      <c r="J14" s="4">
        <f t="shared" si="0"/>
        <v>0</v>
      </c>
      <c r="M14" s="1" t="str">
        <f t="shared" si="1"/>
        <v>51.1</v>
      </c>
      <c r="N14" s="2">
        <f t="shared" si="2"/>
        <v>12137.14</v>
      </c>
      <c r="O14" s="2">
        <f t="shared" si="2"/>
        <v>20206.89</v>
      </c>
      <c r="Q14" s="1">
        <f t="shared" si="3"/>
        <v>51.2</v>
      </c>
      <c r="R14" s="2">
        <f t="shared" si="4"/>
        <v>12134.139998111277</v>
      </c>
      <c r="S14" s="2">
        <f t="shared" si="4"/>
        <v>20206.89</v>
      </c>
    </row>
    <row r="15" spans="1:19" x14ac:dyDescent="0.25">
      <c r="A15" s="1">
        <v>52</v>
      </c>
      <c r="B15" s="2">
        <v>12136.57</v>
      </c>
      <c r="C15" s="2">
        <v>20198.560000000001</v>
      </c>
      <c r="D15" s="1">
        <v>0</v>
      </c>
      <c r="F15" s="3">
        <v>-0.39999978616833687</v>
      </c>
      <c r="G15" s="3">
        <v>-1.0000001639127731</v>
      </c>
      <c r="I15" s="4">
        <f t="shared" si="0"/>
        <v>-3.9999978616833687</v>
      </c>
      <c r="J15" s="4">
        <f t="shared" si="0"/>
        <v>-10.000001639127731</v>
      </c>
      <c r="M15" s="1" t="str">
        <f t="shared" si="1"/>
        <v>52.1</v>
      </c>
      <c r="N15" s="2">
        <f t="shared" si="2"/>
        <v>12136.57</v>
      </c>
      <c r="O15" s="2">
        <f t="shared" si="2"/>
        <v>20198.560000000001</v>
      </c>
      <c r="Q15" s="1">
        <f t="shared" si="3"/>
        <v>52.2</v>
      </c>
      <c r="R15" s="2">
        <f t="shared" si="4"/>
        <v>12132.570002138316</v>
      </c>
      <c r="S15" s="2">
        <f t="shared" si="4"/>
        <v>20188.559998360874</v>
      </c>
    </row>
    <row r="16" spans="1:19" x14ac:dyDescent="0.25">
      <c r="A16" s="1">
        <v>53</v>
      </c>
      <c r="B16" s="2">
        <v>12135.99</v>
      </c>
      <c r="C16" s="2">
        <v>20189.57</v>
      </c>
      <c r="D16" s="1">
        <v>0</v>
      </c>
      <c r="F16" s="3">
        <v>0.39999978616833687</v>
      </c>
      <c r="G16" s="3">
        <v>-2.0000003278255463</v>
      </c>
      <c r="I16" s="4">
        <f t="shared" si="0"/>
        <v>3.9999978616833687</v>
      </c>
      <c r="J16" s="4">
        <f t="shared" si="0"/>
        <v>-20.000003278255463</v>
      </c>
      <c r="M16" s="1" t="str">
        <f t="shared" si="1"/>
        <v>53.1</v>
      </c>
      <c r="N16" s="2">
        <f t="shared" si="2"/>
        <v>12135.99</v>
      </c>
      <c r="O16" s="2">
        <f t="shared" si="2"/>
        <v>20189.57</v>
      </c>
      <c r="Q16" s="1">
        <f t="shared" si="3"/>
        <v>53.2</v>
      </c>
      <c r="R16" s="2">
        <f t="shared" si="4"/>
        <v>12139.989997861683</v>
      </c>
      <c r="S16" s="2">
        <f t="shared" si="4"/>
        <v>20169.569996721744</v>
      </c>
    </row>
    <row r="17" spans="1:19" x14ac:dyDescent="0.25">
      <c r="A17" s="1">
        <v>61</v>
      </c>
      <c r="B17" s="2">
        <v>12167.39</v>
      </c>
      <c r="C17" s="2">
        <v>20203.27</v>
      </c>
      <c r="D17" s="1">
        <v>0</v>
      </c>
      <c r="F17" s="3">
        <v>-0.79999980516731739</v>
      </c>
      <c r="G17" s="3">
        <v>-1.0999999940395355</v>
      </c>
      <c r="I17" s="4">
        <f t="shared" si="0"/>
        <v>-7.9999980516731739</v>
      </c>
      <c r="J17" s="4">
        <f t="shared" si="0"/>
        <v>-10.999999940395355</v>
      </c>
      <c r="M17" s="1" t="str">
        <f t="shared" si="1"/>
        <v>61.1</v>
      </c>
      <c r="N17" s="2">
        <f t="shared" si="2"/>
        <v>12167.39</v>
      </c>
      <c r="O17" s="2">
        <f t="shared" si="2"/>
        <v>20203.27</v>
      </c>
      <c r="Q17" s="1">
        <f t="shared" si="3"/>
        <v>61.2</v>
      </c>
      <c r="R17" s="2">
        <f t="shared" si="4"/>
        <v>12159.390001948326</v>
      </c>
      <c r="S17" s="2">
        <f t="shared" si="4"/>
        <v>20192.270000059605</v>
      </c>
    </row>
    <row r="18" spans="1:19" x14ac:dyDescent="0.25">
      <c r="A18" s="1">
        <v>63</v>
      </c>
      <c r="B18" s="2">
        <v>12166.24</v>
      </c>
      <c r="C18" s="2">
        <v>20195.03</v>
      </c>
      <c r="D18" s="1">
        <v>0</v>
      </c>
      <c r="F18" s="3">
        <v>-1.0999999940395355</v>
      </c>
      <c r="G18" s="3">
        <v>0.59999991208314896</v>
      </c>
      <c r="I18" s="4">
        <f t="shared" si="0"/>
        <v>-10.999999940395355</v>
      </c>
      <c r="J18" s="4">
        <f t="shared" si="0"/>
        <v>5.9999991208314896</v>
      </c>
      <c r="M18" s="1" t="str">
        <f t="shared" si="1"/>
        <v>63.1</v>
      </c>
      <c r="N18" s="2">
        <f t="shared" si="2"/>
        <v>12166.24</v>
      </c>
      <c r="O18" s="2">
        <f t="shared" si="2"/>
        <v>20195.03</v>
      </c>
      <c r="Q18" s="1">
        <f t="shared" si="3"/>
        <v>63.2</v>
      </c>
      <c r="R18" s="2">
        <f t="shared" si="4"/>
        <v>12155.240000059604</v>
      </c>
      <c r="S18" s="2">
        <f t="shared" si="4"/>
        <v>20201.02999912083</v>
      </c>
    </row>
    <row r="19" spans="1:19" x14ac:dyDescent="0.25">
      <c r="A19" s="1">
        <v>72</v>
      </c>
      <c r="B19" s="2">
        <v>12189.69</v>
      </c>
      <c r="C19" s="2">
        <v>20199.37</v>
      </c>
      <c r="D19" s="1">
        <v>0</v>
      </c>
      <c r="F19" s="3">
        <v>1.39999995008111</v>
      </c>
      <c r="G19" s="3">
        <v>-0.40000025182962418</v>
      </c>
      <c r="I19" s="4">
        <f t="shared" si="0"/>
        <v>13.9999995008111</v>
      </c>
      <c r="J19" s="4">
        <f t="shared" si="0"/>
        <v>-4.0000025182962418</v>
      </c>
      <c r="M19" s="1" t="str">
        <f t="shared" si="1"/>
        <v>72.1</v>
      </c>
      <c r="N19" s="2">
        <f t="shared" si="2"/>
        <v>12189.69</v>
      </c>
      <c r="O19" s="2">
        <f t="shared" si="2"/>
        <v>20199.37</v>
      </c>
      <c r="Q19" s="1">
        <f t="shared" si="3"/>
        <v>72.199999999999989</v>
      </c>
      <c r="R19" s="2">
        <f t="shared" si="4"/>
        <v>12203.689999500812</v>
      </c>
      <c r="S19" s="2">
        <f t="shared" si="4"/>
        <v>20195.369997481703</v>
      </c>
    </row>
    <row r="20" spans="1:19" x14ac:dyDescent="0.25">
      <c r="F20" s="3"/>
      <c r="G20" s="3"/>
      <c r="I20" s="4"/>
      <c r="J20" s="4"/>
      <c r="N20" s="2"/>
      <c r="O20" s="2"/>
      <c r="R20" s="2"/>
      <c r="S20" s="2"/>
    </row>
    <row r="21" spans="1:19" x14ac:dyDescent="0.25">
      <c r="F21" s="3"/>
      <c r="G21" s="3"/>
      <c r="I21" s="4"/>
      <c r="J21" s="4"/>
      <c r="N21" s="2"/>
      <c r="O21" s="2"/>
      <c r="R21" s="2"/>
      <c r="S21" s="2"/>
    </row>
    <row r="25" spans="1:19" x14ac:dyDescent="0.25">
      <c r="A25" s="5" t="s">
        <v>10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25">
      <c r="A26" s="5" t="s">
        <v>11</v>
      </c>
      <c r="B26" s="5"/>
      <c r="C26" s="5"/>
      <c r="D26" s="5"/>
      <c r="F26" s="5" t="s">
        <v>5</v>
      </c>
      <c r="G26" s="5"/>
      <c r="I26" s="5" t="s">
        <v>6</v>
      </c>
      <c r="J26" s="5"/>
      <c r="M26" s="5" t="s">
        <v>7</v>
      </c>
      <c r="N26" s="5"/>
      <c r="O26" s="5"/>
      <c r="Q26" s="5" t="s">
        <v>8</v>
      </c>
      <c r="R26" s="5"/>
      <c r="S26" s="5"/>
    </row>
    <row r="27" spans="1:19" x14ac:dyDescent="0.25">
      <c r="A27" s="1" t="s">
        <v>0</v>
      </c>
      <c r="B27" s="2" t="s">
        <v>1</v>
      </c>
      <c r="C27" s="2" t="s">
        <v>2</v>
      </c>
      <c r="D27" s="1" t="s">
        <v>3</v>
      </c>
    </row>
    <row r="28" spans="1:19" x14ac:dyDescent="0.25">
      <c r="A28" s="1">
        <v>11</v>
      </c>
      <c r="B28" s="2">
        <v>-35.957000000000001</v>
      </c>
      <c r="C28" s="2">
        <v>-193.245</v>
      </c>
      <c r="D28" s="1">
        <v>0</v>
      </c>
      <c r="F28" s="3">
        <v>0.40000001899898052</v>
      </c>
      <c r="G28" s="3">
        <v>-2.1000001579523087</v>
      </c>
      <c r="I28" s="4">
        <f>F28*10</f>
        <v>4.0000001899898052</v>
      </c>
      <c r="J28" s="4">
        <f>G28*10</f>
        <v>-21.000001579523087</v>
      </c>
      <c r="M28" s="1" t="str">
        <f>A28&amp;".1"</f>
        <v>11.1</v>
      </c>
      <c r="N28" s="2">
        <f>B28</f>
        <v>-35.957000000000001</v>
      </c>
      <c r="O28" s="2">
        <f>C28</f>
        <v>-193.245</v>
      </c>
      <c r="Q28" s="1">
        <f>M28+0.1</f>
        <v>11.2</v>
      </c>
      <c r="R28" s="2">
        <f>N28+I28</f>
        <v>-31.956999810010196</v>
      </c>
      <c r="S28" s="2">
        <f>O28+J28</f>
        <v>-214.24500157952309</v>
      </c>
    </row>
    <row r="29" spans="1:19" x14ac:dyDescent="0.25">
      <c r="A29" s="1">
        <v>21</v>
      </c>
      <c r="B29" s="2">
        <v>-26.998999999999999</v>
      </c>
      <c r="C29" s="2">
        <v>-172.05699999999999</v>
      </c>
      <c r="D29" s="1">
        <v>0</v>
      </c>
      <c r="F29" s="3">
        <v>0.19999989308416843</v>
      </c>
      <c r="G29" s="3">
        <v>-2.199999988079071</v>
      </c>
      <c r="I29" s="4">
        <f t="shared" ref="I29:J43" si="5">F29*10</f>
        <v>1.9999989308416843</v>
      </c>
      <c r="J29" s="4">
        <f t="shared" si="5"/>
        <v>-21.99999988079071</v>
      </c>
      <c r="M29" s="1" t="str">
        <f t="shared" ref="M29:M43" si="6">A29&amp;".1"</f>
        <v>21.1</v>
      </c>
      <c r="N29" s="2">
        <f t="shared" ref="N29:O43" si="7">B29</f>
        <v>-26.998999999999999</v>
      </c>
      <c r="O29" s="2">
        <f t="shared" si="7"/>
        <v>-172.05699999999999</v>
      </c>
      <c r="Q29" s="1">
        <f t="shared" ref="Q29:Q43" si="8">M29+0.1</f>
        <v>21.200000000000003</v>
      </c>
      <c r="R29" s="2">
        <f t="shared" ref="R29:S43" si="9">N29+I29</f>
        <v>-24.999001069158314</v>
      </c>
      <c r="S29" s="2">
        <f t="shared" si="9"/>
        <v>-194.0569998807907</v>
      </c>
    </row>
    <row r="30" spans="1:19" x14ac:dyDescent="0.25">
      <c r="A30" s="1">
        <v>22</v>
      </c>
      <c r="B30" s="2">
        <v>-19.452000000000002</v>
      </c>
      <c r="C30" s="2">
        <v>-175.66900000000001</v>
      </c>
      <c r="D30" s="1">
        <v>0</v>
      </c>
      <c r="F30" s="3">
        <v>1.3000001199543476</v>
      </c>
      <c r="G30" s="3">
        <v>-2.9999995604157448</v>
      </c>
      <c r="I30" s="4">
        <f t="shared" si="5"/>
        <v>13.000001199543476</v>
      </c>
      <c r="J30" s="4">
        <f t="shared" si="5"/>
        <v>-29.999995604157448</v>
      </c>
      <c r="M30" s="1" t="str">
        <f t="shared" si="6"/>
        <v>22.1</v>
      </c>
      <c r="N30" s="2">
        <f t="shared" si="7"/>
        <v>-19.452000000000002</v>
      </c>
      <c r="O30" s="2">
        <f t="shared" si="7"/>
        <v>-175.66900000000001</v>
      </c>
      <c r="Q30" s="1">
        <f t="shared" si="8"/>
        <v>22.200000000000003</v>
      </c>
      <c r="R30" s="2">
        <f t="shared" si="9"/>
        <v>-6.4519988004565256</v>
      </c>
      <c r="S30" s="2">
        <f t="shared" si="9"/>
        <v>-205.66899560415746</v>
      </c>
    </row>
    <row r="31" spans="1:19" x14ac:dyDescent="0.25">
      <c r="A31" s="1">
        <v>31</v>
      </c>
      <c r="B31" s="2">
        <v>-13.28</v>
      </c>
      <c r="C31" s="2">
        <v>-144.90899999999999</v>
      </c>
      <c r="D31" s="1">
        <v>0</v>
      </c>
      <c r="F31" s="3">
        <v>-0.90000033378601074</v>
      </c>
      <c r="G31" s="3">
        <v>-3.2000001519918442</v>
      </c>
      <c r="I31" s="4">
        <f t="shared" si="5"/>
        <v>-9.0000033378601074</v>
      </c>
      <c r="J31" s="4">
        <f t="shared" si="5"/>
        <v>-32.000001519918442</v>
      </c>
      <c r="M31" s="1" t="str">
        <f t="shared" si="6"/>
        <v>31.1</v>
      </c>
      <c r="N31" s="2">
        <f t="shared" si="7"/>
        <v>-13.28</v>
      </c>
      <c r="O31" s="2">
        <f t="shared" si="7"/>
        <v>-144.90899999999999</v>
      </c>
      <c r="Q31" s="1">
        <f t="shared" si="8"/>
        <v>31.200000000000003</v>
      </c>
      <c r="R31" s="2">
        <f t="shared" si="9"/>
        <v>-22.280003337860109</v>
      </c>
      <c r="S31" s="2">
        <f t="shared" si="9"/>
        <v>-176.90900151991843</v>
      </c>
    </row>
    <row r="32" spans="1:19" x14ac:dyDescent="0.25">
      <c r="A32" s="1">
        <v>32</v>
      </c>
      <c r="B32" s="2">
        <v>-6.0289999999999999</v>
      </c>
      <c r="C32" s="2">
        <v>-149.02099999999999</v>
      </c>
      <c r="D32" s="1">
        <v>0</v>
      </c>
      <c r="F32" s="3">
        <v>0.30000018887221813</v>
      </c>
      <c r="G32" s="3">
        <v>-1.2999996542930603</v>
      </c>
      <c r="I32" s="4">
        <f t="shared" si="5"/>
        <v>3.0000018887221813</v>
      </c>
      <c r="J32" s="4">
        <f t="shared" si="5"/>
        <v>-12.999996542930603</v>
      </c>
      <c r="M32" s="1" t="str">
        <f t="shared" si="6"/>
        <v>32.1</v>
      </c>
      <c r="N32" s="2">
        <f t="shared" si="7"/>
        <v>-6.0289999999999999</v>
      </c>
      <c r="O32" s="2">
        <f t="shared" si="7"/>
        <v>-149.02099999999999</v>
      </c>
      <c r="Q32" s="1">
        <f t="shared" si="8"/>
        <v>32.200000000000003</v>
      </c>
      <c r="R32" s="2">
        <f t="shared" si="9"/>
        <v>-3.0289981112778186</v>
      </c>
      <c r="S32" s="2">
        <f t="shared" si="9"/>
        <v>-162.02099654293059</v>
      </c>
    </row>
    <row r="33" spans="1:19" x14ac:dyDescent="0.25">
      <c r="A33" s="1">
        <v>33</v>
      </c>
      <c r="B33" s="2">
        <v>1.8720000000000001</v>
      </c>
      <c r="C33" s="2">
        <v>-153.239</v>
      </c>
      <c r="D33" s="1">
        <v>0</v>
      </c>
      <c r="F33" s="3">
        <v>0.70000020787119865</v>
      </c>
      <c r="G33" s="3">
        <v>-1.9999993965029716</v>
      </c>
      <c r="I33" s="4">
        <f t="shared" si="5"/>
        <v>7.0000020787119865</v>
      </c>
      <c r="J33" s="4">
        <f t="shared" si="5"/>
        <v>-19.999993965029716</v>
      </c>
      <c r="M33" s="1" t="str">
        <f t="shared" si="6"/>
        <v>33.1</v>
      </c>
      <c r="N33" s="2">
        <f t="shared" si="7"/>
        <v>1.8720000000000001</v>
      </c>
      <c r="O33" s="2">
        <f t="shared" si="7"/>
        <v>-153.239</v>
      </c>
      <c r="Q33" s="1">
        <f t="shared" si="8"/>
        <v>33.200000000000003</v>
      </c>
      <c r="R33" s="2">
        <f t="shared" si="9"/>
        <v>8.8720020787119864</v>
      </c>
      <c r="S33" s="2">
        <f t="shared" si="9"/>
        <v>-173.23899396502972</v>
      </c>
    </row>
    <row r="34" spans="1:19" x14ac:dyDescent="0.25">
      <c r="A34" s="1">
        <v>41</v>
      </c>
      <c r="B34" s="2">
        <v>-1.446</v>
      </c>
      <c r="C34" s="2">
        <v>-125.42</v>
      </c>
      <c r="D34" s="1">
        <v>0</v>
      </c>
      <c r="F34" s="3">
        <v>-0.10000006295740604</v>
      </c>
      <c r="G34" s="3">
        <v>-2.3000007495284081</v>
      </c>
      <c r="I34" s="4">
        <f t="shared" si="5"/>
        <v>-1.0000006295740604</v>
      </c>
      <c r="J34" s="4">
        <f t="shared" si="5"/>
        <v>-23.000007495284081</v>
      </c>
      <c r="M34" s="1" t="str">
        <f t="shared" si="6"/>
        <v>41.1</v>
      </c>
      <c r="N34" s="2">
        <f t="shared" si="7"/>
        <v>-1.446</v>
      </c>
      <c r="O34" s="2">
        <f t="shared" si="7"/>
        <v>-125.42</v>
      </c>
      <c r="Q34" s="1">
        <f t="shared" si="8"/>
        <v>41.2</v>
      </c>
      <c r="R34" s="2">
        <f t="shared" si="9"/>
        <v>-2.4460006295740602</v>
      </c>
      <c r="S34" s="2">
        <f t="shared" si="9"/>
        <v>-148.4200074952841</v>
      </c>
    </row>
    <row r="35" spans="1:19" x14ac:dyDescent="0.25">
      <c r="A35" s="1">
        <v>42</v>
      </c>
      <c r="B35" s="2">
        <v>5.633</v>
      </c>
      <c r="C35" s="2">
        <v>-129.602</v>
      </c>
      <c r="D35" s="1">
        <v>0</v>
      </c>
      <c r="F35" s="3">
        <v>0</v>
      </c>
      <c r="G35" s="3">
        <v>-1.6000000759959221</v>
      </c>
      <c r="I35" s="4">
        <f t="shared" si="5"/>
        <v>0</v>
      </c>
      <c r="J35" s="4">
        <f t="shared" si="5"/>
        <v>-16.000000759959221</v>
      </c>
      <c r="M35" s="1" t="str">
        <f t="shared" si="6"/>
        <v>42.1</v>
      </c>
      <c r="N35" s="2">
        <f t="shared" si="7"/>
        <v>5.633</v>
      </c>
      <c r="O35" s="2">
        <f t="shared" si="7"/>
        <v>-129.602</v>
      </c>
      <c r="Q35" s="1">
        <f t="shared" si="8"/>
        <v>42.2</v>
      </c>
      <c r="R35" s="2">
        <f t="shared" si="9"/>
        <v>5.633</v>
      </c>
      <c r="S35" s="2">
        <f t="shared" si="9"/>
        <v>-145.60200075995922</v>
      </c>
    </row>
    <row r="36" spans="1:19" x14ac:dyDescent="0.25">
      <c r="A36" s="1">
        <v>43</v>
      </c>
      <c r="B36" s="2">
        <v>13.250999999999999</v>
      </c>
      <c r="C36" s="2">
        <v>-134.58600000000001</v>
      </c>
      <c r="D36" s="1">
        <v>0</v>
      </c>
      <c r="F36" s="3">
        <v>0.70000020787119865</v>
      </c>
      <c r="G36" s="3">
        <v>-1.6000000759959221</v>
      </c>
      <c r="I36" s="4">
        <f t="shared" si="5"/>
        <v>7.0000020787119865</v>
      </c>
      <c r="J36" s="4">
        <f t="shared" si="5"/>
        <v>-16.000000759959221</v>
      </c>
      <c r="M36" s="1" t="str">
        <f t="shared" si="6"/>
        <v>43.1</v>
      </c>
      <c r="N36" s="2">
        <f t="shared" si="7"/>
        <v>13.250999999999999</v>
      </c>
      <c r="O36" s="2">
        <f t="shared" si="7"/>
        <v>-134.58600000000001</v>
      </c>
      <c r="Q36" s="1">
        <f t="shared" si="8"/>
        <v>43.2</v>
      </c>
      <c r="R36" s="2">
        <f t="shared" si="9"/>
        <v>20.251002078711984</v>
      </c>
      <c r="S36" s="2">
        <f t="shared" si="9"/>
        <v>-150.58600075995923</v>
      </c>
    </row>
    <row r="37" spans="1:19" x14ac:dyDescent="0.25">
      <c r="A37" s="1">
        <v>44</v>
      </c>
      <c r="B37" s="2">
        <v>21.382999999999999</v>
      </c>
      <c r="C37" s="2">
        <v>-139.898</v>
      </c>
      <c r="D37" s="1">
        <v>0</v>
      </c>
      <c r="F37" s="3">
        <v>0.49999961629509926</v>
      </c>
      <c r="G37" s="3">
        <v>-2.1000001579523087</v>
      </c>
      <c r="I37" s="4">
        <f t="shared" si="5"/>
        <v>4.9999961629509926</v>
      </c>
      <c r="J37" s="4">
        <f t="shared" si="5"/>
        <v>-21.000001579523087</v>
      </c>
      <c r="M37" s="1" t="str">
        <f t="shared" si="6"/>
        <v>44.1</v>
      </c>
      <c r="N37" s="2">
        <f t="shared" si="7"/>
        <v>21.382999999999999</v>
      </c>
      <c r="O37" s="2">
        <f t="shared" si="7"/>
        <v>-139.898</v>
      </c>
      <c r="Q37" s="1">
        <f t="shared" si="8"/>
        <v>44.2</v>
      </c>
      <c r="R37" s="2">
        <f t="shared" si="9"/>
        <v>26.382996162950992</v>
      </c>
      <c r="S37" s="2">
        <f t="shared" si="9"/>
        <v>-160.89800157952308</v>
      </c>
    </row>
    <row r="38" spans="1:19" x14ac:dyDescent="0.25">
      <c r="A38" s="1">
        <v>51</v>
      </c>
      <c r="B38" s="2">
        <v>11.281000000000001</v>
      </c>
      <c r="C38" s="2">
        <v>-106.446</v>
      </c>
      <c r="D38" s="1">
        <v>0</v>
      </c>
      <c r="F38" s="3">
        <v>-0.30000018887221813</v>
      </c>
      <c r="G38" s="3">
        <v>0</v>
      </c>
      <c r="I38" s="4">
        <f t="shared" si="5"/>
        <v>-3.0000018887221813</v>
      </c>
      <c r="J38" s="4">
        <f t="shared" si="5"/>
        <v>0</v>
      </c>
      <c r="M38" s="1" t="str">
        <f t="shared" si="6"/>
        <v>51.1</v>
      </c>
      <c r="N38" s="2">
        <f t="shared" si="7"/>
        <v>11.281000000000001</v>
      </c>
      <c r="O38" s="2">
        <f t="shared" si="7"/>
        <v>-106.446</v>
      </c>
      <c r="Q38" s="1">
        <f t="shared" si="8"/>
        <v>51.2</v>
      </c>
      <c r="R38" s="2">
        <f t="shared" si="9"/>
        <v>8.2809981112778193</v>
      </c>
      <c r="S38" s="2">
        <f t="shared" si="9"/>
        <v>-106.446</v>
      </c>
    </row>
    <row r="39" spans="1:19" x14ac:dyDescent="0.25">
      <c r="A39" s="1">
        <v>52</v>
      </c>
      <c r="B39" s="2">
        <v>18.076000000000001</v>
      </c>
      <c r="C39" s="2">
        <v>-111.29900000000001</v>
      </c>
      <c r="D39" s="1">
        <v>0</v>
      </c>
      <c r="F39" s="3">
        <v>-0.39999978616833687</v>
      </c>
      <c r="G39" s="3">
        <v>-1.0000001639127731</v>
      </c>
      <c r="I39" s="4">
        <f t="shared" si="5"/>
        <v>-3.9999978616833687</v>
      </c>
      <c r="J39" s="4">
        <f t="shared" si="5"/>
        <v>-10.000001639127731</v>
      </c>
      <c r="M39" s="1" t="str">
        <f t="shared" si="6"/>
        <v>52.1</v>
      </c>
      <c r="N39" s="2">
        <f t="shared" si="7"/>
        <v>18.076000000000001</v>
      </c>
      <c r="O39" s="2">
        <f t="shared" si="7"/>
        <v>-111.29900000000001</v>
      </c>
      <c r="Q39" s="1">
        <f t="shared" si="8"/>
        <v>52.2</v>
      </c>
      <c r="R39" s="2">
        <f t="shared" si="9"/>
        <v>14.076002138316632</v>
      </c>
      <c r="S39" s="2">
        <f t="shared" si="9"/>
        <v>-121.29900163912774</v>
      </c>
    </row>
    <row r="40" spans="1:19" x14ac:dyDescent="0.25">
      <c r="A40" s="1">
        <v>53</v>
      </c>
      <c r="B40" s="2">
        <v>25.427</v>
      </c>
      <c r="C40" s="2">
        <v>-116.506</v>
      </c>
      <c r="D40" s="1">
        <v>0</v>
      </c>
      <c r="F40" s="3">
        <v>0.39999978616833687</v>
      </c>
      <c r="G40" s="3">
        <v>-2.0000003278255463</v>
      </c>
      <c r="I40" s="4">
        <f t="shared" si="5"/>
        <v>3.9999978616833687</v>
      </c>
      <c r="J40" s="4">
        <f t="shared" si="5"/>
        <v>-20.000003278255463</v>
      </c>
      <c r="M40" s="1" t="str">
        <f t="shared" si="6"/>
        <v>53.1</v>
      </c>
      <c r="N40" s="2">
        <f t="shared" si="7"/>
        <v>25.427</v>
      </c>
      <c r="O40" s="2">
        <f t="shared" si="7"/>
        <v>-116.506</v>
      </c>
      <c r="Q40" s="1">
        <f t="shared" si="8"/>
        <v>53.2</v>
      </c>
      <c r="R40" s="2">
        <f t="shared" si="9"/>
        <v>29.426997861683368</v>
      </c>
      <c r="S40" s="2">
        <f t="shared" si="9"/>
        <v>-136.50600327825546</v>
      </c>
    </row>
    <row r="41" spans="1:19" x14ac:dyDescent="0.25">
      <c r="A41" s="1">
        <v>61</v>
      </c>
      <c r="B41" s="2">
        <v>30.222999999999999</v>
      </c>
      <c r="C41" s="2">
        <v>-82.584000000000003</v>
      </c>
      <c r="D41" s="1">
        <v>0</v>
      </c>
      <c r="F41" s="3">
        <v>-0.79999980516731739</v>
      </c>
      <c r="G41" s="3">
        <v>-1.0999999940395355</v>
      </c>
      <c r="I41" s="4">
        <f t="shared" si="5"/>
        <v>-7.9999980516731739</v>
      </c>
      <c r="J41" s="4">
        <f t="shared" si="5"/>
        <v>-10.999999940395355</v>
      </c>
      <c r="M41" s="1" t="str">
        <f t="shared" si="6"/>
        <v>61.1</v>
      </c>
      <c r="N41" s="2">
        <f t="shared" si="7"/>
        <v>30.222999999999999</v>
      </c>
      <c r="O41" s="2">
        <f t="shared" si="7"/>
        <v>-82.584000000000003</v>
      </c>
      <c r="Q41" s="1">
        <f t="shared" si="8"/>
        <v>61.2</v>
      </c>
      <c r="R41" s="2">
        <f t="shared" si="9"/>
        <v>22.223001948326825</v>
      </c>
      <c r="S41" s="2">
        <f t="shared" si="9"/>
        <v>-93.583999940395358</v>
      </c>
    </row>
    <row r="42" spans="1:19" x14ac:dyDescent="0.25">
      <c r="A42" s="1">
        <v>63</v>
      </c>
      <c r="B42" s="2">
        <v>36.637</v>
      </c>
      <c r="C42" s="2">
        <v>-87.884</v>
      </c>
      <c r="D42" s="1">
        <v>0</v>
      </c>
      <c r="F42" s="3">
        <v>-1.0999999940395355</v>
      </c>
      <c r="G42" s="3">
        <v>0.59999991208314896</v>
      </c>
      <c r="I42" s="4">
        <f t="shared" si="5"/>
        <v>-10.999999940395355</v>
      </c>
      <c r="J42" s="4">
        <f t="shared" si="5"/>
        <v>5.9999991208314896</v>
      </c>
      <c r="M42" s="1" t="str">
        <f t="shared" si="6"/>
        <v>63.1</v>
      </c>
      <c r="N42" s="2">
        <f t="shared" si="7"/>
        <v>36.637</v>
      </c>
      <c r="O42" s="2">
        <f t="shared" si="7"/>
        <v>-87.884</v>
      </c>
      <c r="Q42" s="1">
        <f t="shared" si="8"/>
        <v>63.2</v>
      </c>
      <c r="R42" s="2">
        <f t="shared" si="9"/>
        <v>25.637000059604645</v>
      </c>
      <c r="S42" s="2">
        <f t="shared" si="9"/>
        <v>-81.884000879168511</v>
      </c>
    </row>
    <row r="43" spans="1:19" x14ac:dyDescent="0.25">
      <c r="A43" s="1">
        <v>72</v>
      </c>
      <c r="B43" s="2">
        <v>45.234999999999999</v>
      </c>
      <c r="C43" s="2">
        <v>-65.638999999999996</v>
      </c>
      <c r="D43" s="1">
        <v>0</v>
      </c>
      <c r="F43" s="3">
        <v>1.39999995008111</v>
      </c>
      <c r="G43" s="3">
        <v>-0.40000025182962418</v>
      </c>
      <c r="I43" s="4">
        <f t="shared" si="5"/>
        <v>13.9999995008111</v>
      </c>
      <c r="J43" s="4">
        <f t="shared" si="5"/>
        <v>-4.0000025182962418</v>
      </c>
      <c r="M43" s="1" t="str">
        <f t="shared" si="6"/>
        <v>72.1</v>
      </c>
      <c r="N43" s="2">
        <f t="shared" si="7"/>
        <v>45.234999999999999</v>
      </c>
      <c r="O43" s="2">
        <f t="shared" si="7"/>
        <v>-65.638999999999996</v>
      </c>
      <c r="Q43" s="1">
        <f t="shared" si="8"/>
        <v>72.199999999999989</v>
      </c>
      <c r="R43" s="2">
        <f t="shared" si="9"/>
        <v>59.234999500811099</v>
      </c>
      <c r="S43" s="2">
        <f t="shared" si="9"/>
        <v>-69.639002518296238</v>
      </c>
    </row>
  </sheetData>
  <mergeCells count="12">
    <mergeCell ref="A25:S25"/>
    <mergeCell ref="A26:D26"/>
    <mergeCell ref="F26:G26"/>
    <mergeCell ref="I26:J26"/>
    <mergeCell ref="M26:O26"/>
    <mergeCell ref="Q26:S26"/>
    <mergeCell ref="A1:S1"/>
    <mergeCell ref="A2:D2"/>
    <mergeCell ref="F2:G2"/>
    <mergeCell ref="I2:J2"/>
    <mergeCell ref="M2:O2"/>
    <mergeCell ref="Q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3C4E-BA2F-468B-AFEE-B04AED04344C}">
  <dimension ref="A1:S43"/>
  <sheetViews>
    <sheetView tabSelected="1" topLeftCell="C1" workbookViewId="0">
      <selection activeCell="F2" sqref="F2:G18"/>
    </sheetView>
  </sheetViews>
  <sheetFormatPr baseColWidth="10" defaultRowHeight="15" x14ac:dyDescent="0.25"/>
  <cols>
    <col min="1" max="1" width="11.42578125" style="1"/>
    <col min="2" max="3" width="11.42578125" style="2"/>
    <col min="4" max="16384" width="11.42578125" style="1"/>
  </cols>
  <sheetData>
    <row r="1" spans="1:19" x14ac:dyDescent="0.25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5" t="s">
        <v>11</v>
      </c>
      <c r="B2" s="5"/>
      <c r="C2" s="5"/>
      <c r="D2" s="5"/>
      <c r="F2" s="5" t="s">
        <v>5</v>
      </c>
      <c r="G2" s="5"/>
      <c r="I2" s="5" t="s">
        <v>6</v>
      </c>
      <c r="J2" s="5"/>
      <c r="M2" s="5" t="s">
        <v>7</v>
      </c>
      <c r="N2" s="5"/>
      <c r="O2" s="5"/>
      <c r="Q2" s="5" t="s">
        <v>8</v>
      </c>
      <c r="R2" s="5"/>
      <c r="S2" s="5"/>
    </row>
    <row r="3" spans="1:19" x14ac:dyDescent="0.25">
      <c r="A3" s="1" t="s">
        <v>0</v>
      </c>
      <c r="B3" s="2" t="s">
        <v>1</v>
      </c>
      <c r="C3" s="2" t="s">
        <v>2</v>
      </c>
      <c r="D3" s="1" t="s">
        <v>3</v>
      </c>
    </row>
    <row r="4" spans="1:19" x14ac:dyDescent="0.25">
      <c r="A4" s="1">
        <v>1</v>
      </c>
      <c r="B4" s="2">
        <v>18644.16</v>
      </c>
      <c r="C4" s="2">
        <v>97030.99</v>
      </c>
      <c r="D4" s="1">
        <v>0</v>
      </c>
      <c r="F4" s="3">
        <v>-0.80000003799796104</v>
      </c>
      <c r="G4" s="3">
        <v>1.0999999940395355</v>
      </c>
      <c r="I4" s="4">
        <f>F4*10</f>
        <v>-8.0000003799796104</v>
      </c>
      <c r="J4" s="4">
        <f>G4*10</f>
        <v>10.999999940395355</v>
      </c>
      <c r="M4" s="1" t="str">
        <f>A4&amp;".1"</f>
        <v>1.1</v>
      </c>
      <c r="N4" s="2">
        <f>B4</f>
        <v>18644.16</v>
      </c>
      <c r="O4" s="2">
        <f>C4</f>
        <v>97030.99</v>
      </c>
      <c r="Q4" s="1">
        <f>M4+0.1</f>
        <v>1.2000000000000002</v>
      </c>
      <c r="R4" s="2">
        <f>N4+I4</f>
        <v>18636.15999962002</v>
      </c>
      <c r="S4" s="2">
        <f>O4+J4</f>
        <v>97041.989999940401</v>
      </c>
    </row>
    <row r="5" spans="1:19" x14ac:dyDescent="0.25">
      <c r="A5" s="1">
        <v>2</v>
      </c>
      <c r="B5" s="2">
        <v>18633.689999999999</v>
      </c>
      <c r="C5" s="2">
        <v>97064.51</v>
      </c>
      <c r="D5" s="1">
        <v>0</v>
      </c>
      <c r="F5" s="3">
        <v>-0.39999955333769321</v>
      </c>
      <c r="G5" s="3">
        <v>0.59999991208314896</v>
      </c>
      <c r="I5" s="4">
        <f t="shared" ref="I5:J18" si="0">F5*10</f>
        <v>-3.9999955333769321</v>
      </c>
      <c r="J5" s="4">
        <f t="shared" si="0"/>
        <v>5.9999991208314896</v>
      </c>
      <c r="M5" s="1" t="str">
        <f t="shared" ref="M5:M18" si="1">A5&amp;".1"</f>
        <v>2.1</v>
      </c>
      <c r="N5" s="2">
        <f t="shared" ref="N5:O18" si="2">B5</f>
        <v>18633.689999999999</v>
      </c>
      <c r="O5" s="2">
        <f t="shared" si="2"/>
        <v>97064.51</v>
      </c>
      <c r="Q5" s="1">
        <f t="shared" ref="Q5:Q18" si="3">M5+0.1</f>
        <v>2.2000000000000002</v>
      </c>
      <c r="R5" s="2">
        <f t="shared" ref="R5:S18" si="4">N5+I5</f>
        <v>18629.690004466622</v>
      </c>
      <c r="S5" s="2">
        <f t="shared" si="4"/>
        <v>97070.509999120826</v>
      </c>
    </row>
    <row r="6" spans="1:19" x14ac:dyDescent="0.25">
      <c r="A6" s="1">
        <v>3</v>
      </c>
      <c r="B6" s="2">
        <v>18623.53</v>
      </c>
      <c r="C6" s="2">
        <v>97097.55</v>
      </c>
      <c r="D6" s="1">
        <v>0</v>
      </c>
      <c r="F6" s="3">
        <v>-0.90000010095536709</v>
      </c>
      <c r="G6" s="3">
        <v>1.4000004157423973</v>
      </c>
      <c r="I6" s="4">
        <f t="shared" si="0"/>
        <v>-9.0000010095536709</v>
      </c>
      <c r="J6" s="4">
        <f t="shared" si="0"/>
        <v>14.000004157423973</v>
      </c>
      <c r="M6" s="1" t="str">
        <f t="shared" si="1"/>
        <v>3.1</v>
      </c>
      <c r="N6" s="2">
        <f t="shared" si="2"/>
        <v>18623.53</v>
      </c>
      <c r="O6" s="2">
        <f t="shared" si="2"/>
        <v>97097.55</v>
      </c>
      <c r="Q6" s="1">
        <f t="shared" si="3"/>
        <v>3.2</v>
      </c>
      <c r="R6" s="2">
        <f t="shared" si="4"/>
        <v>18614.529998990445</v>
      </c>
      <c r="S6" s="2">
        <f t="shared" si="4"/>
        <v>97111.550004157427</v>
      </c>
    </row>
    <row r="7" spans="1:19" x14ac:dyDescent="0.25">
      <c r="A7" s="1">
        <v>4</v>
      </c>
      <c r="B7" s="2">
        <v>18613.12</v>
      </c>
      <c r="C7" s="2">
        <v>97131.39</v>
      </c>
      <c r="D7" s="1">
        <v>0</v>
      </c>
      <c r="F7" s="3">
        <v>-1.5999996103346348</v>
      </c>
      <c r="G7" s="3">
        <v>1.8999995663762093</v>
      </c>
      <c r="I7" s="4">
        <f t="shared" si="0"/>
        <v>-15.999996103346348</v>
      </c>
      <c r="J7" s="4">
        <f t="shared" si="0"/>
        <v>18.999995663762093</v>
      </c>
      <c r="M7" s="1" t="str">
        <f t="shared" si="1"/>
        <v>4.1</v>
      </c>
      <c r="N7" s="2">
        <f t="shared" si="2"/>
        <v>18613.12</v>
      </c>
      <c r="O7" s="2">
        <f t="shared" si="2"/>
        <v>97131.39</v>
      </c>
      <c r="Q7" s="1">
        <f t="shared" si="3"/>
        <v>4.1999999999999993</v>
      </c>
      <c r="R7" s="2">
        <f t="shared" si="4"/>
        <v>18597.120003896653</v>
      </c>
      <c r="S7" s="2">
        <f t="shared" si="4"/>
        <v>97150.389995663762</v>
      </c>
    </row>
    <row r="8" spans="1:19" x14ac:dyDescent="0.25">
      <c r="A8" s="1">
        <v>5</v>
      </c>
      <c r="B8" s="2">
        <v>18602.98</v>
      </c>
      <c r="C8" s="2">
        <v>97164.54</v>
      </c>
      <c r="D8" s="1">
        <v>0</v>
      </c>
      <c r="F8" s="3">
        <v>-1.1000004597008228</v>
      </c>
      <c r="G8" s="3">
        <v>2.099999226629734</v>
      </c>
      <c r="I8" s="4">
        <f t="shared" si="0"/>
        <v>-11.000004597008228</v>
      </c>
      <c r="J8" s="4">
        <f t="shared" si="0"/>
        <v>20.99999226629734</v>
      </c>
      <c r="M8" s="1" t="str">
        <f t="shared" si="1"/>
        <v>5.1</v>
      </c>
      <c r="N8" s="2">
        <f t="shared" si="2"/>
        <v>18602.98</v>
      </c>
      <c r="O8" s="2">
        <f t="shared" si="2"/>
        <v>97164.54</v>
      </c>
      <c r="Q8" s="1">
        <f t="shared" si="3"/>
        <v>5.1999999999999993</v>
      </c>
      <c r="R8" s="2">
        <f t="shared" si="4"/>
        <v>18591.979995402991</v>
      </c>
      <c r="S8" s="2">
        <f t="shared" si="4"/>
        <v>97185.539992266291</v>
      </c>
    </row>
    <row r="9" spans="1:19" x14ac:dyDescent="0.25">
      <c r="A9" s="1">
        <v>6</v>
      </c>
      <c r="B9" s="2">
        <v>18592.560000000001</v>
      </c>
      <c r="C9" s="2">
        <v>97198.12</v>
      </c>
      <c r="D9" s="1">
        <v>0</v>
      </c>
      <c r="F9" s="3">
        <v>-0.5999996792525053</v>
      </c>
      <c r="G9" s="3">
        <v>1.0000001639127731</v>
      </c>
      <c r="I9" s="4">
        <f t="shared" si="0"/>
        <v>-5.999996792525053</v>
      </c>
      <c r="J9" s="4">
        <f t="shared" si="0"/>
        <v>10.000001639127731</v>
      </c>
      <c r="M9" s="1" t="str">
        <f t="shared" si="1"/>
        <v>6.1</v>
      </c>
      <c r="N9" s="2">
        <f t="shared" si="2"/>
        <v>18592.560000000001</v>
      </c>
      <c r="O9" s="2">
        <f t="shared" si="2"/>
        <v>97198.12</v>
      </c>
      <c r="Q9" s="1">
        <f t="shared" si="3"/>
        <v>6.1999999999999993</v>
      </c>
      <c r="R9" s="2">
        <f t="shared" si="4"/>
        <v>18586.560003207476</v>
      </c>
      <c r="S9" s="2">
        <f t="shared" si="4"/>
        <v>97208.120001639123</v>
      </c>
    </row>
    <row r="10" spans="1:19" x14ac:dyDescent="0.25">
      <c r="A10" s="1">
        <v>7</v>
      </c>
      <c r="B10" s="2">
        <v>18659.099999999999</v>
      </c>
      <c r="C10" s="2">
        <v>97072.24</v>
      </c>
      <c r="D10" s="1">
        <v>0</v>
      </c>
      <c r="F10" s="3">
        <v>9.999983012676239E-2</v>
      </c>
      <c r="G10" s="3">
        <v>0.70000067353248596</v>
      </c>
      <c r="I10" s="4">
        <f t="shared" si="0"/>
        <v>0.9999983012676239</v>
      </c>
      <c r="J10" s="4">
        <f t="shared" si="0"/>
        <v>7.0000067353248596</v>
      </c>
      <c r="M10" s="1" t="str">
        <f t="shared" si="1"/>
        <v>7.1</v>
      </c>
      <c r="N10" s="2">
        <f t="shared" si="2"/>
        <v>18659.099999999999</v>
      </c>
      <c r="O10" s="2">
        <f t="shared" si="2"/>
        <v>97072.24</v>
      </c>
      <c r="Q10" s="1">
        <f t="shared" si="3"/>
        <v>7.1999999999999993</v>
      </c>
      <c r="R10" s="2">
        <f t="shared" si="4"/>
        <v>18660.099998301266</v>
      </c>
      <c r="S10" s="2">
        <f t="shared" si="4"/>
        <v>97079.24000673533</v>
      </c>
    </row>
    <row r="11" spans="1:19" x14ac:dyDescent="0.25">
      <c r="A11" s="1">
        <v>8</v>
      </c>
      <c r="B11" s="2">
        <v>18648.63</v>
      </c>
      <c r="C11" s="2">
        <v>97105.57</v>
      </c>
      <c r="D11" s="1">
        <v>0</v>
      </c>
      <c r="F11" s="3">
        <v>-1.3000001199543476</v>
      </c>
      <c r="G11" s="3">
        <v>2.1000001579523087</v>
      </c>
      <c r="I11" s="4">
        <f t="shared" si="0"/>
        <v>-13.000001199543476</v>
      </c>
      <c r="J11" s="4">
        <f t="shared" si="0"/>
        <v>21.000001579523087</v>
      </c>
      <c r="M11" s="1" t="str">
        <f t="shared" si="1"/>
        <v>8.1</v>
      </c>
      <c r="N11" s="2">
        <f t="shared" si="2"/>
        <v>18648.63</v>
      </c>
      <c r="O11" s="2">
        <f t="shared" si="2"/>
        <v>97105.57</v>
      </c>
      <c r="Q11" s="1">
        <f t="shared" si="3"/>
        <v>8.1999999999999993</v>
      </c>
      <c r="R11" s="2">
        <f t="shared" si="4"/>
        <v>18635.629998800458</v>
      </c>
      <c r="S11" s="2">
        <f t="shared" si="4"/>
        <v>97126.57000157953</v>
      </c>
    </row>
    <row r="12" spans="1:19" x14ac:dyDescent="0.25">
      <c r="A12" s="1">
        <v>9</v>
      </c>
      <c r="B12" s="2">
        <v>18638.21</v>
      </c>
      <c r="C12" s="2">
        <v>97138.96</v>
      </c>
      <c r="D12" s="1">
        <v>0</v>
      </c>
      <c r="F12" s="3">
        <v>-0.40000025182962418</v>
      </c>
      <c r="G12" s="3">
        <v>1.4999993145465851</v>
      </c>
      <c r="I12" s="4">
        <f t="shared" si="0"/>
        <v>-4.0000025182962418</v>
      </c>
      <c r="J12" s="4">
        <f t="shared" si="0"/>
        <v>14.999993145465851</v>
      </c>
      <c r="M12" s="1" t="str">
        <f t="shared" si="1"/>
        <v>9.1</v>
      </c>
      <c r="N12" s="2">
        <f t="shared" si="2"/>
        <v>18638.21</v>
      </c>
      <c r="O12" s="2">
        <f t="shared" si="2"/>
        <v>97138.96</v>
      </c>
      <c r="Q12" s="1">
        <f t="shared" si="3"/>
        <v>9.1999999999999993</v>
      </c>
      <c r="R12" s="2">
        <f t="shared" si="4"/>
        <v>18634.209997481703</v>
      </c>
      <c r="S12" s="2">
        <f t="shared" si="4"/>
        <v>97153.959993145472</v>
      </c>
    </row>
    <row r="13" spans="1:19" x14ac:dyDescent="0.25">
      <c r="A13" s="1">
        <v>10</v>
      </c>
      <c r="B13" s="2">
        <v>18627.75</v>
      </c>
      <c r="C13" s="2">
        <v>97172.41</v>
      </c>
      <c r="D13" s="1">
        <v>0</v>
      </c>
      <c r="F13" s="3">
        <v>0.2000005915760994</v>
      </c>
      <c r="G13" s="3">
        <v>2.3999996483325958</v>
      </c>
      <c r="I13" s="4">
        <f t="shared" si="0"/>
        <v>2.000005915760994</v>
      </c>
      <c r="J13" s="4">
        <f t="shared" si="0"/>
        <v>23.999996483325958</v>
      </c>
      <c r="M13" s="1" t="str">
        <f t="shared" si="1"/>
        <v>10.1</v>
      </c>
      <c r="N13" s="2">
        <f t="shared" si="2"/>
        <v>18627.75</v>
      </c>
      <c r="O13" s="2">
        <f t="shared" si="2"/>
        <v>97172.41</v>
      </c>
      <c r="Q13" s="1">
        <f t="shared" si="3"/>
        <v>10.199999999999999</v>
      </c>
      <c r="R13" s="2">
        <f t="shared" si="4"/>
        <v>18629.750005915761</v>
      </c>
      <c r="S13" s="2">
        <f t="shared" si="4"/>
        <v>97196.409996483329</v>
      </c>
    </row>
    <row r="14" spans="1:19" x14ac:dyDescent="0.25">
      <c r="A14" s="1">
        <v>11</v>
      </c>
      <c r="B14" s="2">
        <v>18679.48</v>
      </c>
      <c r="C14" s="2">
        <v>97116.84</v>
      </c>
      <c r="D14" s="1">
        <v>0</v>
      </c>
      <c r="F14" s="3">
        <v>-0.30000065453350544</v>
      </c>
      <c r="G14" s="3">
        <v>1.9000004976987839</v>
      </c>
      <c r="I14" s="4">
        <f t="shared" si="0"/>
        <v>-3.0000065453350544</v>
      </c>
      <c r="J14" s="4">
        <f t="shared" si="0"/>
        <v>19.000004976987839</v>
      </c>
      <c r="M14" s="1" t="str">
        <f t="shared" si="1"/>
        <v>11.1</v>
      </c>
      <c r="N14" s="2">
        <f t="shared" si="2"/>
        <v>18679.48</v>
      </c>
      <c r="O14" s="2">
        <f t="shared" si="2"/>
        <v>97116.84</v>
      </c>
      <c r="Q14" s="1">
        <f t="shared" si="3"/>
        <v>11.2</v>
      </c>
      <c r="R14" s="2">
        <f t="shared" si="4"/>
        <v>18676.479993454665</v>
      </c>
      <c r="S14" s="2">
        <f t="shared" si="4"/>
        <v>97135.840004976984</v>
      </c>
    </row>
    <row r="15" spans="1:19" x14ac:dyDescent="0.25">
      <c r="A15" s="1">
        <v>12</v>
      </c>
      <c r="B15" s="2">
        <v>18670.34</v>
      </c>
      <c r="C15" s="2">
        <v>97148.43</v>
      </c>
      <c r="D15" s="1">
        <v>0</v>
      </c>
      <c r="F15" s="3">
        <v>1.7999999690800905</v>
      </c>
      <c r="G15" s="3">
        <v>2.0000003278255463</v>
      </c>
      <c r="I15" s="4">
        <f t="shared" si="0"/>
        <v>17.999999690800905</v>
      </c>
      <c r="J15" s="4">
        <f t="shared" si="0"/>
        <v>20.000003278255463</v>
      </c>
      <c r="M15" s="1" t="str">
        <f t="shared" si="1"/>
        <v>12.1</v>
      </c>
      <c r="N15" s="2">
        <f t="shared" si="2"/>
        <v>18670.34</v>
      </c>
      <c r="O15" s="2">
        <f t="shared" si="2"/>
        <v>97148.43</v>
      </c>
      <c r="Q15" s="1">
        <f t="shared" si="3"/>
        <v>12.2</v>
      </c>
      <c r="R15" s="2">
        <f t="shared" si="4"/>
        <v>18688.339999690801</v>
      </c>
      <c r="S15" s="2">
        <f t="shared" si="4"/>
        <v>97168.430003278248</v>
      </c>
    </row>
    <row r="16" spans="1:19" x14ac:dyDescent="0.25">
      <c r="A16" s="1">
        <v>13</v>
      </c>
      <c r="B16" s="2">
        <v>18659.330000000002</v>
      </c>
      <c r="C16" s="2">
        <v>97183.1</v>
      </c>
      <c r="D16" s="1">
        <v>0</v>
      </c>
      <c r="F16" s="3">
        <v>0.99999993108212948</v>
      </c>
      <c r="G16" s="3">
        <v>3.1000003218650818</v>
      </c>
      <c r="I16" s="4">
        <f t="shared" si="0"/>
        <v>9.9999993108212948</v>
      </c>
      <c r="J16" s="4">
        <f t="shared" si="0"/>
        <v>31.000003218650818</v>
      </c>
      <c r="M16" s="1" t="str">
        <f t="shared" si="1"/>
        <v>13.1</v>
      </c>
      <c r="N16" s="2">
        <f t="shared" si="2"/>
        <v>18659.330000000002</v>
      </c>
      <c r="O16" s="2">
        <f t="shared" si="2"/>
        <v>97183.1</v>
      </c>
      <c r="Q16" s="1">
        <f t="shared" si="3"/>
        <v>13.2</v>
      </c>
      <c r="R16" s="2">
        <f t="shared" si="4"/>
        <v>18669.329999310823</v>
      </c>
      <c r="S16" s="2">
        <f t="shared" si="4"/>
        <v>97214.100003218657</v>
      </c>
    </row>
    <row r="17" spans="1:19" x14ac:dyDescent="0.25">
      <c r="A17" s="1">
        <v>901</v>
      </c>
      <c r="B17" s="2">
        <v>18526.41</v>
      </c>
      <c r="C17" s="2">
        <v>97156.98</v>
      </c>
      <c r="D17" s="1">
        <v>0</v>
      </c>
      <c r="F17" s="3">
        <v>1.999999862164259</v>
      </c>
      <c r="G17" s="3">
        <v>-7.6999999582767487</v>
      </c>
      <c r="I17" s="4">
        <f t="shared" si="0"/>
        <v>19.99999862164259</v>
      </c>
      <c r="J17" s="4">
        <f t="shared" si="0"/>
        <v>-76.999999582767487</v>
      </c>
      <c r="M17" s="1" t="str">
        <f t="shared" si="1"/>
        <v>901.1</v>
      </c>
      <c r="N17" s="2">
        <f t="shared" si="2"/>
        <v>18526.41</v>
      </c>
      <c r="O17" s="2">
        <f t="shared" si="2"/>
        <v>97156.98</v>
      </c>
      <c r="Q17" s="1">
        <f t="shared" si="3"/>
        <v>901.2</v>
      </c>
      <c r="R17" s="2">
        <f t="shared" si="4"/>
        <v>18546.409998621642</v>
      </c>
      <c r="S17" s="2">
        <f t="shared" si="4"/>
        <v>97079.980000417228</v>
      </c>
    </row>
    <row r="18" spans="1:19" x14ac:dyDescent="0.25">
      <c r="A18" s="1">
        <v>902</v>
      </c>
      <c r="B18" s="2">
        <v>18525.18</v>
      </c>
      <c r="C18" s="2">
        <v>97159.05</v>
      </c>
      <c r="D18" s="1">
        <v>0</v>
      </c>
      <c r="F18" s="3">
        <v>1.8000004347413778</v>
      </c>
      <c r="G18" s="3">
        <v>-7.9999994486570358</v>
      </c>
      <c r="I18" s="4">
        <f t="shared" si="0"/>
        <v>18.000004347413778</v>
      </c>
      <c r="J18" s="4">
        <f t="shared" si="0"/>
        <v>-79.999994486570358</v>
      </c>
      <c r="M18" s="1" t="str">
        <f t="shared" si="1"/>
        <v>902.1</v>
      </c>
      <c r="N18" s="2">
        <f t="shared" si="2"/>
        <v>18525.18</v>
      </c>
      <c r="O18" s="2">
        <f t="shared" si="2"/>
        <v>97159.05</v>
      </c>
      <c r="Q18" s="1">
        <f t="shared" si="3"/>
        <v>902.2</v>
      </c>
      <c r="R18" s="2">
        <f t="shared" si="4"/>
        <v>18543.180004347414</v>
      </c>
      <c r="S18" s="2">
        <f t="shared" si="4"/>
        <v>97079.050005513433</v>
      </c>
    </row>
    <row r="19" spans="1:19" x14ac:dyDescent="0.25">
      <c r="F19" s="3"/>
      <c r="G19" s="3"/>
      <c r="I19" s="4"/>
      <c r="J19" s="4"/>
      <c r="N19" s="2"/>
      <c r="O19" s="2"/>
      <c r="R19" s="2"/>
      <c r="S19" s="2"/>
    </row>
    <row r="20" spans="1:19" x14ac:dyDescent="0.25">
      <c r="F20" s="3"/>
      <c r="G20" s="3"/>
      <c r="I20" s="4"/>
      <c r="J20" s="4"/>
      <c r="N20" s="2"/>
      <c r="O20" s="2"/>
      <c r="R20" s="2"/>
      <c r="S20" s="2"/>
    </row>
    <row r="21" spans="1:19" x14ac:dyDescent="0.25">
      <c r="F21" s="3"/>
      <c r="G21" s="3"/>
      <c r="I21" s="4"/>
      <c r="J21" s="4"/>
      <c r="N21" s="2"/>
      <c r="O21" s="2"/>
      <c r="R21" s="2"/>
      <c r="S21" s="2"/>
    </row>
    <row r="25" spans="1:19" x14ac:dyDescent="0.25">
      <c r="A25" s="5" t="s">
        <v>10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25">
      <c r="A26" s="5" t="s">
        <v>11</v>
      </c>
      <c r="B26" s="5"/>
      <c r="C26" s="5"/>
      <c r="D26" s="5"/>
      <c r="F26" s="5" t="s">
        <v>5</v>
      </c>
      <c r="G26" s="5"/>
      <c r="I26" s="5" t="s">
        <v>6</v>
      </c>
      <c r="J26" s="5"/>
      <c r="M26" s="5" t="s">
        <v>7</v>
      </c>
      <c r="N26" s="5"/>
      <c r="O26" s="5"/>
      <c r="Q26" s="5" t="s">
        <v>8</v>
      </c>
      <c r="R26" s="5"/>
      <c r="S26" s="5"/>
    </row>
    <row r="27" spans="1:19" x14ac:dyDescent="0.25">
      <c r="A27" s="1" t="s">
        <v>0</v>
      </c>
      <c r="B27" s="2" t="s">
        <v>1</v>
      </c>
      <c r="C27" s="2" t="s">
        <v>2</v>
      </c>
      <c r="D27" s="1" t="s">
        <v>3</v>
      </c>
    </row>
    <row r="28" spans="1:19" x14ac:dyDescent="0.25">
      <c r="A28" s="1">
        <v>1</v>
      </c>
      <c r="B28" s="2">
        <v>-33.47</v>
      </c>
      <c r="C28" s="2">
        <v>-239.78100000000001</v>
      </c>
      <c r="D28" s="1">
        <v>0</v>
      </c>
      <c r="F28" s="3">
        <v>-0.80000003799796104</v>
      </c>
      <c r="G28" s="3">
        <v>1.0999999940395355</v>
      </c>
      <c r="I28" s="4">
        <f>F28*10</f>
        <v>-8.0000003799796104</v>
      </c>
      <c r="J28" s="4">
        <f>G28*10</f>
        <v>10.999999940395355</v>
      </c>
      <c r="M28" s="1" t="str">
        <f>A28&amp;".1"</f>
        <v>1.1</v>
      </c>
      <c r="N28" s="2">
        <f>B28</f>
        <v>-33.47</v>
      </c>
      <c r="O28" s="2">
        <f>C28</f>
        <v>-239.78100000000001</v>
      </c>
      <c r="Q28" s="1">
        <f>M28+0.1</f>
        <v>1.2000000000000002</v>
      </c>
      <c r="R28" s="2">
        <f>N28+I28</f>
        <v>-41.470000379979609</v>
      </c>
      <c r="S28" s="2">
        <f>O28+J28</f>
        <v>-228.78100005960465</v>
      </c>
    </row>
    <row r="29" spans="1:19" x14ac:dyDescent="0.25">
      <c r="A29" s="1">
        <v>2</v>
      </c>
      <c r="B29" s="2">
        <v>-43.648000000000003</v>
      </c>
      <c r="C29" s="2">
        <v>-206.172</v>
      </c>
      <c r="D29" s="1">
        <v>0</v>
      </c>
      <c r="F29" s="3">
        <v>-0.39999955333769321</v>
      </c>
      <c r="G29" s="3">
        <v>0.59999991208314896</v>
      </c>
      <c r="I29" s="4">
        <f t="shared" ref="I29:J42" si="5">F29*10</f>
        <v>-3.9999955333769321</v>
      </c>
      <c r="J29" s="4">
        <f t="shared" si="5"/>
        <v>5.9999991208314896</v>
      </c>
      <c r="M29" s="1" t="str">
        <f t="shared" ref="M29:M42" si="6">A29&amp;".1"</f>
        <v>2.1</v>
      </c>
      <c r="N29" s="2">
        <f t="shared" ref="N29:O42" si="7">B29</f>
        <v>-43.648000000000003</v>
      </c>
      <c r="O29" s="2">
        <f t="shared" si="7"/>
        <v>-206.172</v>
      </c>
      <c r="Q29" s="1">
        <f t="shared" ref="Q29:Q42" si="8">M29+0.1</f>
        <v>2.2000000000000002</v>
      </c>
      <c r="R29" s="2">
        <f t="shared" ref="R29:S42" si="9">N29+I29</f>
        <v>-47.647995533376935</v>
      </c>
      <c r="S29" s="2">
        <f t="shared" si="9"/>
        <v>-200.17200087916851</v>
      </c>
    </row>
    <row r="30" spans="1:19" x14ac:dyDescent="0.25">
      <c r="A30" s="1">
        <v>3</v>
      </c>
      <c r="B30" s="2">
        <v>-53.52</v>
      </c>
      <c r="C30" s="2">
        <v>-173.04499999999999</v>
      </c>
      <c r="D30" s="1">
        <v>0</v>
      </c>
      <c r="F30" s="3">
        <v>-0.90000010095536709</v>
      </c>
      <c r="G30" s="3">
        <v>1.4000004157423973</v>
      </c>
      <c r="I30" s="4">
        <f t="shared" si="5"/>
        <v>-9.0000010095536709</v>
      </c>
      <c r="J30" s="4">
        <f t="shared" si="5"/>
        <v>14.000004157423973</v>
      </c>
      <c r="M30" s="1" t="str">
        <f t="shared" si="6"/>
        <v>3.1</v>
      </c>
      <c r="N30" s="2">
        <f t="shared" si="7"/>
        <v>-53.52</v>
      </c>
      <c r="O30" s="2">
        <f t="shared" si="7"/>
        <v>-173.04499999999999</v>
      </c>
      <c r="Q30" s="1">
        <f t="shared" si="8"/>
        <v>3.2</v>
      </c>
      <c r="R30" s="2">
        <f t="shared" si="9"/>
        <v>-62.520001009553674</v>
      </c>
      <c r="S30" s="2">
        <f t="shared" si="9"/>
        <v>-159.04499584257601</v>
      </c>
    </row>
    <row r="31" spans="1:19" x14ac:dyDescent="0.25">
      <c r="A31" s="1">
        <v>4</v>
      </c>
      <c r="B31" s="2">
        <v>-63.636000000000003</v>
      </c>
      <c r="C31" s="2">
        <v>-139.11600000000001</v>
      </c>
      <c r="D31" s="1">
        <v>0</v>
      </c>
      <c r="F31" s="3">
        <v>-1.5999996103346348</v>
      </c>
      <c r="G31" s="3">
        <v>1.8999995663762093</v>
      </c>
      <c r="I31" s="4">
        <f t="shared" si="5"/>
        <v>-15.999996103346348</v>
      </c>
      <c r="J31" s="4">
        <f t="shared" si="5"/>
        <v>18.999995663762093</v>
      </c>
      <c r="M31" s="1" t="str">
        <f t="shared" si="6"/>
        <v>4.1</v>
      </c>
      <c r="N31" s="2">
        <f t="shared" si="7"/>
        <v>-63.636000000000003</v>
      </c>
      <c r="O31" s="2">
        <f t="shared" si="7"/>
        <v>-139.11600000000001</v>
      </c>
      <c r="Q31" s="1">
        <f t="shared" si="8"/>
        <v>4.1999999999999993</v>
      </c>
      <c r="R31" s="2">
        <f t="shared" si="9"/>
        <v>-79.635996103346343</v>
      </c>
      <c r="S31" s="2">
        <f t="shared" si="9"/>
        <v>-120.11600433623792</v>
      </c>
    </row>
    <row r="32" spans="1:19" x14ac:dyDescent="0.25">
      <c r="A32" s="1">
        <v>5</v>
      </c>
      <c r="B32" s="2">
        <v>-73.488</v>
      </c>
      <c r="C32" s="2">
        <v>-105.879</v>
      </c>
      <c r="D32" s="1">
        <v>0</v>
      </c>
      <c r="F32" s="3">
        <v>-1.1000004597008228</v>
      </c>
      <c r="G32" s="3">
        <v>2.099999226629734</v>
      </c>
      <c r="I32" s="4">
        <f t="shared" si="5"/>
        <v>-11.000004597008228</v>
      </c>
      <c r="J32" s="4">
        <f t="shared" si="5"/>
        <v>20.99999226629734</v>
      </c>
      <c r="M32" s="1" t="str">
        <f t="shared" si="6"/>
        <v>5.1</v>
      </c>
      <c r="N32" s="2">
        <f t="shared" si="7"/>
        <v>-73.488</v>
      </c>
      <c r="O32" s="2">
        <f t="shared" si="7"/>
        <v>-105.879</v>
      </c>
      <c r="Q32" s="1">
        <f t="shared" si="8"/>
        <v>5.1999999999999993</v>
      </c>
      <c r="R32" s="2">
        <f t="shared" si="9"/>
        <v>-84.488004597008228</v>
      </c>
      <c r="S32" s="2">
        <f t="shared" si="9"/>
        <v>-84.879007733702664</v>
      </c>
    </row>
    <row r="33" spans="1:19" x14ac:dyDescent="0.25">
      <c r="A33" s="1">
        <v>6</v>
      </c>
      <c r="B33" s="2">
        <v>-83.616</v>
      </c>
      <c r="C33" s="2">
        <v>-72.209000000000003</v>
      </c>
      <c r="D33" s="1">
        <v>0</v>
      </c>
      <c r="F33" s="3">
        <v>-0.5999996792525053</v>
      </c>
      <c r="G33" s="3">
        <v>1.0000001639127731</v>
      </c>
      <c r="I33" s="4">
        <f t="shared" si="5"/>
        <v>-5.999996792525053</v>
      </c>
      <c r="J33" s="4">
        <f t="shared" si="5"/>
        <v>10.000001639127731</v>
      </c>
      <c r="M33" s="1" t="str">
        <f t="shared" si="6"/>
        <v>6.1</v>
      </c>
      <c r="N33" s="2">
        <f t="shared" si="7"/>
        <v>-83.616</v>
      </c>
      <c r="O33" s="2">
        <f t="shared" si="7"/>
        <v>-72.209000000000003</v>
      </c>
      <c r="Q33" s="1">
        <f t="shared" si="8"/>
        <v>6.1999999999999993</v>
      </c>
      <c r="R33" s="2">
        <f t="shared" si="9"/>
        <v>-89.615996792525053</v>
      </c>
      <c r="S33" s="2">
        <f t="shared" si="9"/>
        <v>-62.208998360872272</v>
      </c>
    </row>
    <row r="34" spans="1:19" x14ac:dyDescent="0.25">
      <c r="A34" s="1">
        <v>7</v>
      </c>
      <c r="B34" s="2">
        <v>-18.172000000000001</v>
      </c>
      <c r="C34" s="2">
        <v>-198.66300000000001</v>
      </c>
      <c r="D34" s="1">
        <v>0</v>
      </c>
      <c r="F34" s="3">
        <v>9.999983012676239E-2</v>
      </c>
      <c r="G34" s="3">
        <v>0.70000067353248596</v>
      </c>
      <c r="I34" s="4">
        <f t="shared" si="5"/>
        <v>0.9999983012676239</v>
      </c>
      <c r="J34" s="4">
        <f t="shared" si="5"/>
        <v>7.0000067353248596</v>
      </c>
      <c r="M34" s="1" t="str">
        <f t="shared" si="6"/>
        <v>7.1</v>
      </c>
      <c r="N34" s="2">
        <f t="shared" si="7"/>
        <v>-18.172000000000001</v>
      </c>
      <c r="O34" s="2">
        <f t="shared" si="7"/>
        <v>-198.66300000000001</v>
      </c>
      <c r="Q34" s="1">
        <f t="shared" si="8"/>
        <v>7.1999999999999993</v>
      </c>
      <c r="R34" s="2">
        <f t="shared" si="9"/>
        <v>-17.172001698732377</v>
      </c>
      <c r="S34" s="2">
        <f t="shared" si="9"/>
        <v>-191.66299326467515</v>
      </c>
    </row>
    <row r="35" spans="1:19" x14ac:dyDescent="0.25">
      <c r="A35" s="1">
        <v>8</v>
      </c>
      <c r="B35" s="2">
        <v>-28.352</v>
      </c>
      <c r="C35" s="2">
        <v>-165.24299999999999</v>
      </c>
      <c r="D35" s="1">
        <v>0</v>
      </c>
      <c r="F35" s="3">
        <v>-1.3000001199543476</v>
      </c>
      <c r="G35" s="3">
        <v>2.1000001579523087</v>
      </c>
      <c r="I35" s="4">
        <f t="shared" si="5"/>
        <v>-13.000001199543476</v>
      </c>
      <c r="J35" s="4">
        <f t="shared" si="5"/>
        <v>21.000001579523087</v>
      </c>
      <c r="M35" s="1" t="str">
        <f t="shared" si="6"/>
        <v>8.1</v>
      </c>
      <c r="N35" s="2">
        <f t="shared" si="7"/>
        <v>-28.352</v>
      </c>
      <c r="O35" s="2">
        <f t="shared" si="7"/>
        <v>-165.24299999999999</v>
      </c>
      <c r="Q35" s="1">
        <f t="shared" si="8"/>
        <v>8.1999999999999993</v>
      </c>
      <c r="R35" s="2">
        <f t="shared" si="9"/>
        <v>-41.35200119954348</v>
      </c>
      <c r="S35" s="2">
        <f t="shared" si="9"/>
        <v>-144.24299842047691</v>
      </c>
    </row>
    <row r="36" spans="1:19" x14ac:dyDescent="0.25">
      <c r="A36" s="1">
        <v>9</v>
      </c>
      <c r="B36" s="2">
        <v>-38.481000000000002</v>
      </c>
      <c r="C36" s="2">
        <v>-131.76400000000001</v>
      </c>
      <c r="D36" s="1">
        <v>0</v>
      </c>
      <c r="F36" s="3">
        <v>-0.40000025182962418</v>
      </c>
      <c r="G36" s="3">
        <v>1.4999993145465851</v>
      </c>
      <c r="I36" s="4">
        <f t="shared" si="5"/>
        <v>-4.0000025182962418</v>
      </c>
      <c r="J36" s="4">
        <f t="shared" si="5"/>
        <v>14.999993145465851</v>
      </c>
      <c r="M36" s="1" t="str">
        <f t="shared" si="6"/>
        <v>9.1</v>
      </c>
      <c r="N36" s="2">
        <f t="shared" si="7"/>
        <v>-38.481000000000002</v>
      </c>
      <c r="O36" s="2">
        <f t="shared" si="7"/>
        <v>-131.76400000000001</v>
      </c>
      <c r="Q36" s="1">
        <f t="shared" si="8"/>
        <v>9.1999999999999993</v>
      </c>
      <c r="R36" s="2">
        <f t="shared" si="9"/>
        <v>-42.481002518296243</v>
      </c>
      <c r="S36" s="2">
        <f t="shared" si="9"/>
        <v>-116.76400685453416</v>
      </c>
    </row>
    <row r="37" spans="1:19" x14ac:dyDescent="0.25">
      <c r="A37" s="1">
        <v>10</v>
      </c>
      <c r="B37" s="2">
        <v>-48.65</v>
      </c>
      <c r="C37" s="2">
        <v>-98.224000000000004</v>
      </c>
      <c r="D37" s="1">
        <v>0</v>
      </c>
      <c r="F37" s="3">
        <v>0.2000005915760994</v>
      </c>
      <c r="G37" s="3">
        <v>2.3999996483325958</v>
      </c>
      <c r="I37" s="4">
        <f t="shared" si="5"/>
        <v>2.000005915760994</v>
      </c>
      <c r="J37" s="4">
        <f t="shared" si="5"/>
        <v>23.999996483325958</v>
      </c>
      <c r="M37" s="1" t="str">
        <f t="shared" si="6"/>
        <v>10.1</v>
      </c>
      <c r="N37" s="2">
        <f t="shared" si="7"/>
        <v>-48.65</v>
      </c>
      <c r="O37" s="2">
        <f t="shared" si="7"/>
        <v>-98.224000000000004</v>
      </c>
      <c r="Q37" s="1">
        <f t="shared" si="8"/>
        <v>10.199999999999999</v>
      </c>
      <c r="R37" s="2">
        <f t="shared" si="9"/>
        <v>-46.649994084239005</v>
      </c>
      <c r="S37" s="2">
        <f t="shared" si="9"/>
        <v>-74.224003516674045</v>
      </c>
    </row>
    <row r="38" spans="1:19" x14ac:dyDescent="0.25">
      <c r="A38" s="1">
        <v>11</v>
      </c>
      <c r="B38" s="2">
        <v>2.5950000000000002</v>
      </c>
      <c r="C38" s="2">
        <v>-154.24199999999999</v>
      </c>
      <c r="D38" s="1">
        <v>0</v>
      </c>
      <c r="F38" s="3">
        <v>-0.30000065453350544</v>
      </c>
      <c r="G38" s="3">
        <v>1.9000004976987839</v>
      </c>
      <c r="I38" s="4">
        <f t="shared" si="5"/>
        <v>-3.0000065453350544</v>
      </c>
      <c r="J38" s="4">
        <f t="shared" si="5"/>
        <v>19.000004976987839</v>
      </c>
      <c r="M38" s="1" t="str">
        <f t="shared" si="6"/>
        <v>11.1</v>
      </c>
      <c r="N38" s="2">
        <f t="shared" si="7"/>
        <v>2.5950000000000002</v>
      </c>
      <c r="O38" s="2">
        <f t="shared" si="7"/>
        <v>-154.24199999999999</v>
      </c>
      <c r="Q38" s="1">
        <f t="shared" si="8"/>
        <v>11.2</v>
      </c>
      <c r="R38" s="2">
        <f t="shared" si="9"/>
        <v>-0.4050065453350542</v>
      </c>
      <c r="S38" s="2">
        <f t="shared" si="9"/>
        <v>-135.24199502301215</v>
      </c>
    </row>
    <row r="39" spans="1:19" x14ac:dyDescent="0.25">
      <c r="A39" s="1">
        <v>12</v>
      </c>
      <c r="B39" s="2">
        <v>-6.27</v>
      </c>
      <c r="C39" s="2">
        <v>-122.57299999999999</v>
      </c>
      <c r="D39" s="1">
        <v>0</v>
      </c>
      <c r="F39" s="3">
        <v>1.7999999690800905</v>
      </c>
      <c r="G39" s="3">
        <v>2.0000003278255463</v>
      </c>
      <c r="I39" s="4">
        <f t="shared" si="5"/>
        <v>17.999999690800905</v>
      </c>
      <c r="J39" s="4">
        <f t="shared" si="5"/>
        <v>20.000003278255463</v>
      </c>
      <c r="M39" s="1" t="str">
        <f t="shared" si="6"/>
        <v>12.1</v>
      </c>
      <c r="N39" s="2">
        <f t="shared" si="7"/>
        <v>-6.27</v>
      </c>
      <c r="O39" s="2">
        <f t="shared" si="7"/>
        <v>-122.57299999999999</v>
      </c>
      <c r="Q39" s="1">
        <f t="shared" si="8"/>
        <v>12.2</v>
      </c>
      <c r="R39" s="2">
        <f t="shared" si="9"/>
        <v>11.729999690800906</v>
      </c>
      <c r="S39" s="2">
        <f t="shared" si="9"/>
        <v>-102.57299672174453</v>
      </c>
    </row>
    <row r="40" spans="1:19" x14ac:dyDescent="0.25">
      <c r="A40" s="1">
        <v>13</v>
      </c>
      <c r="B40" s="2">
        <v>-16.978999999999999</v>
      </c>
      <c r="C40" s="2">
        <v>-87.808999999999997</v>
      </c>
      <c r="D40" s="1">
        <v>0</v>
      </c>
      <c r="F40" s="3">
        <v>0.99999993108212948</v>
      </c>
      <c r="G40" s="3">
        <v>3.1000003218650818</v>
      </c>
      <c r="I40" s="4">
        <f t="shared" si="5"/>
        <v>9.9999993108212948</v>
      </c>
      <c r="J40" s="4">
        <f t="shared" si="5"/>
        <v>31.000003218650818</v>
      </c>
      <c r="M40" s="1" t="str">
        <f t="shared" si="6"/>
        <v>13.1</v>
      </c>
      <c r="N40" s="2">
        <f t="shared" si="7"/>
        <v>-16.978999999999999</v>
      </c>
      <c r="O40" s="2">
        <f t="shared" si="7"/>
        <v>-87.808999999999997</v>
      </c>
      <c r="Q40" s="1">
        <f t="shared" si="8"/>
        <v>13.2</v>
      </c>
      <c r="R40" s="2">
        <f t="shared" si="9"/>
        <v>-6.9790006891787044</v>
      </c>
      <c r="S40" s="2">
        <f t="shared" si="9"/>
        <v>-56.80899678134918</v>
      </c>
    </row>
    <row r="41" spans="1:19" x14ac:dyDescent="0.25">
      <c r="A41" s="1">
        <v>901</v>
      </c>
      <c r="B41" s="2">
        <v>-150.12</v>
      </c>
      <c r="C41" s="2">
        <v>-112.773</v>
      </c>
      <c r="D41" s="1">
        <v>0</v>
      </c>
      <c r="F41" s="3">
        <v>1.999999862164259</v>
      </c>
      <c r="G41" s="3">
        <v>-7.6999999582767487</v>
      </c>
      <c r="I41" s="4">
        <f t="shared" si="5"/>
        <v>19.99999862164259</v>
      </c>
      <c r="J41" s="4">
        <f t="shared" si="5"/>
        <v>-76.999999582767487</v>
      </c>
      <c r="M41" s="1" t="str">
        <f t="shared" si="6"/>
        <v>901.1</v>
      </c>
      <c r="N41" s="2">
        <f t="shared" si="7"/>
        <v>-150.12</v>
      </c>
      <c r="O41" s="2">
        <f t="shared" si="7"/>
        <v>-112.773</v>
      </c>
      <c r="Q41" s="1">
        <f t="shared" si="8"/>
        <v>901.2</v>
      </c>
      <c r="R41" s="2">
        <f t="shared" si="9"/>
        <v>-130.12000137835741</v>
      </c>
      <c r="S41" s="2">
        <f t="shared" si="9"/>
        <v>-189.77299958276748</v>
      </c>
    </row>
    <row r="42" spans="1:19" x14ac:dyDescent="0.25">
      <c r="A42" s="1">
        <v>902</v>
      </c>
      <c r="B42" s="2">
        <v>-151.33199999999999</v>
      </c>
      <c r="C42" s="2">
        <v>-110.693</v>
      </c>
      <c r="D42" s="1">
        <v>0</v>
      </c>
      <c r="F42" s="3">
        <v>1.8000004347413778</v>
      </c>
      <c r="G42" s="3">
        <v>-7.9999994486570358</v>
      </c>
      <c r="I42" s="4">
        <f t="shared" si="5"/>
        <v>18.000004347413778</v>
      </c>
      <c r="J42" s="4">
        <f t="shared" si="5"/>
        <v>-79.999994486570358</v>
      </c>
      <c r="M42" s="1" t="str">
        <f t="shared" si="6"/>
        <v>902.1</v>
      </c>
      <c r="N42" s="2">
        <f t="shared" si="7"/>
        <v>-151.33199999999999</v>
      </c>
      <c r="O42" s="2">
        <f t="shared" si="7"/>
        <v>-110.693</v>
      </c>
      <c r="Q42" s="1">
        <f t="shared" si="8"/>
        <v>902.2</v>
      </c>
      <c r="R42" s="2">
        <f t="shared" si="9"/>
        <v>-133.33199565258622</v>
      </c>
      <c r="S42" s="2">
        <f t="shared" si="9"/>
        <v>-190.69299448657034</v>
      </c>
    </row>
    <row r="43" spans="1:19" x14ac:dyDescent="0.25">
      <c r="F43" s="3"/>
      <c r="G43" s="3"/>
      <c r="I43" s="4"/>
      <c r="J43" s="4"/>
      <c r="N43" s="2"/>
      <c r="O43" s="2"/>
      <c r="R43" s="2"/>
      <c r="S43" s="2"/>
    </row>
  </sheetData>
  <mergeCells count="12">
    <mergeCell ref="A25:S25"/>
    <mergeCell ref="A26:D26"/>
    <mergeCell ref="F26:G26"/>
    <mergeCell ref="I26:J26"/>
    <mergeCell ref="M26:O26"/>
    <mergeCell ref="Q26:S26"/>
    <mergeCell ref="A1:S1"/>
    <mergeCell ref="A2:D2"/>
    <mergeCell ref="F2:G2"/>
    <mergeCell ref="I2:J2"/>
    <mergeCell ref="M2:O2"/>
    <mergeCell ref="Q2:S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009F-EFE0-4460-B3ED-D82728273B14}">
  <dimension ref="A1:S41"/>
  <sheetViews>
    <sheetView workbookViewId="0">
      <selection activeCell="Q26" sqref="Q26:S40"/>
    </sheetView>
  </sheetViews>
  <sheetFormatPr baseColWidth="10" defaultRowHeight="15" x14ac:dyDescent="0.25"/>
  <cols>
    <col min="1" max="1" width="11.42578125" style="1"/>
    <col min="2" max="3" width="11.42578125" style="2"/>
    <col min="4" max="16384" width="11.42578125" style="1"/>
  </cols>
  <sheetData>
    <row r="1" spans="1:19" x14ac:dyDescent="0.25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5" t="s">
        <v>4</v>
      </c>
      <c r="B2" s="5"/>
      <c r="C2" s="5"/>
      <c r="D2" s="5"/>
      <c r="F2" s="5" t="s">
        <v>5</v>
      </c>
      <c r="G2" s="5"/>
      <c r="I2" s="5" t="s">
        <v>6</v>
      </c>
      <c r="J2" s="5"/>
      <c r="M2" s="5" t="s">
        <v>7</v>
      </c>
      <c r="N2" s="5"/>
      <c r="O2" s="5"/>
      <c r="Q2" s="5" t="s">
        <v>8</v>
      </c>
      <c r="R2" s="5"/>
      <c r="S2" s="5"/>
    </row>
    <row r="3" spans="1:19" x14ac:dyDescent="0.25">
      <c r="A3" s="1" t="s">
        <v>0</v>
      </c>
      <c r="B3" s="2" t="s">
        <v>1</v>
      </c>
      <c r="C3" s="2" t="s">
        <v>2</v>
      </c>
      <c r="D3" s="1" t="s">
        <v>3</v>
      </c>
    </row>
    <row r="4" spans="1:19" x14ac:dyDescent="0.25">
      <c r="A4" s="1">
        <v>1</v>
      </c>
      <c r="B4" s="2">
        <v>18644.16</v>
      </c>
      <c r="C4" s="2">
        <v>97030.99</v>
      </c>
      <c r="D4" s="1">
        <v>0</v>
      </c>
      <c r="F4" s="3">
        <v>0.40000004810281098</v>
      </c>
      <c r="G4" s="3">
        <v>2.7999999874737114</v>
      </c>
      <c r="I4" s="4">
        <f t="shared" ref="I4:I18" si="0">F4*10</f>
        <v>4.0000004810281098</v>
      </c>
      <c r="J4" s="4">
        <f t="shared" ref="J4:J18" si="1">G4*10</f>
        <v>27.999999874737114</v>
      </c>
      <c r="M4" s="1" t="str">
        <f>A4&amp;".1"</f>
        <v>1.1</v>
      </c>
      <c r="N4" s="2">
        <f t="shared" ref="N4:N18" si="2">B4</f>
        <v>18644.16</v>
      </c>
      <c r="O4" s="2">
        <f t="shared" ref="O4:O18" si="3">C4</f>
        <v>97030.99</v>
      </c>
      <c r="Q4" s="1">
        <f t="shared" ref="Q4:Q18" si="4">M4+0.1</f>
        <v>1.2000000000000002</v>
      </c>
      <c r="R4" s="2">
        <f t="shared" ref="R4:R18" si="5">N4+I4</f>
        <v>18648.160000481028</v>
      </c>
      <c r="S4" s="2">
        <f t="shared" ref="S4:S18" si="6">O4+J4</f>
        <v>97058.989999874742</v>
      </c>
    </row>
    <row r="5" spans="1:19" x14ac:dyDescent="0.25">
      <c r="A5" s="1">
        <v>2</v>
      </c>
      <c r="B5" s="2">
        <v>18633.689999999999</v>
      </c>
      <c r="C5" s="2">
        <v>97064.51</v>
      </c>
      <c r="D5" s="1">
        <v>0</v>
      </c>
      <c r="F5" s="3">
        <v>4.1999999557447154</v>
      </c>
      <c r="G5" s="3">
        <v>3.6000001564389095</v>
      </c>
      <c r="I5" s="4">
        <f t="shared" si="0"/>
        <v>41.999999557447154</v>
      </c>
      <c r="J5" s="4">
        <f t="shared" si="1"/>
        <v>36.000001564389095</v>
      </c>
      <c r="M5" s="1" t="str">
        <f t="shared" ref="M5:M18" si="7">A5&amp;".1"</f>
        <v>2.1</v>
      </c>
      <c r="N5" s="2">
        <f t="shared" si="2"/>
        <v>18633.689999999999</v>
      </c>
      <c r="O5" s="2">
        <f t="shared" si="3"/>
        <v>97064.51</v>
      </c>
      <c r="Q5" s="1">
        <f t="shared" si="4"/>
        <v>2.2000000000000002</v>
      </c>
      <c r="R5" s="2">
        <f t="shared" si="5"/>
        <v>18675.689999557446</v>
      </c>
      <c r="S5" s="2">
        <f t="shared" si="6"/>
        <v>97100.510001564384</v>
      </c>
    </row>
    <row r="6" spans="1:19" x14ac:dyDescent="0.25">
      <c r="A6" s="1">
        <v>3</v>
      </c>
      <c r="B6" s="2">
        <v>18623.53</v>
      </c>
      <c r="C6" s="2">
        <v>97097.55</v>
      </c>
      <c r="D6" s="1">
        <v>0</v>
      </c>
      <c r="F6" s="3">
        <v>7.2999999683815986</v>
      </c>
      <c r="G6" s="3">
        <v>3.9000005926936865</v>
      </c>
      <c r="I6" s="4">
        <f t="shared" si="0"/>
        <v>72.999999683815986</v>
      </c>
      <c r="J6" s="4">
        <f t="shared" si="1"/>
        <v>39.000005926936865</v>
      </c>
      <c r="M6" s="1" t="str">
        <f t="shared" si="7"/>
        <v>3.1</v>
      </c>
      <c r="N6" s="2">
        <f t="shared" si="2"/>
        <v>18623.53</v>
      </c>
      <c r="O6" s="2">
        <f t="shared" si="3"/>
        <v>97097.55</v>
      </c>
      <c r="Q6" s="1">
        <f t="shared" si="4"/>
        <v>3.2</v>
      </c>
      <c r="R6" s="2">
        <f t="shared" si="5"/>
        <v>18696.529999683815</v>
      </c>
      <c r="S6" s="2">
        <f t="shared" si="6"/>
        <v>97136.55000592694</v>
      </c>
    </row>
    <row r="7" spans="1:19" x14ac:dyDescent="0.25">
      <c r="A7" s="1">
        <v>4</v>
      </c>
      <c r="B7" s="2">
        <v>18613.12</v>
      </c>
      <c r="C7" s="2">
        <v>97131.39</v>
      </c>
      <c r="D7" s="1">
        <v>0</v>
      </c>
      <c r="F7" s="3">
        <v>8.6999999875843059</v>
      </c>
      <c r="G7" s="3">
        <v>4.0999993216246367</v>
      </c>
      <c r="I7" s="4">
        <f t="shared" si="0"/>
        <v>86.999999875843059</v>
      </c>
      <c r="J7" s="4">
        <f t="shared" si="1"/>
        <v>40.999993216246367</v>
      </c>
      <c r="M7" s="1" t="str">
        <f t="shared" si="7"/>
        <v>4.1</v>
      </c>
      <c r="N7" s="2">
        <f t="shared" si="2"/>
        <v>18613.12</v>
      </c>
      <c r="O7" s="2">
        <f t="shared" si="3"/>
        <v>97131.39</v>
      </c>
      <c r="Q7" s="1">
        <f t="shared" si="4"/>
        <v>4.1999999999999993</v>
      </c>
      <c r="R7" s="2">
        <f t="shared" si="5"/>
        <v>18700.119999875842</v>
      </c>
      <c r="S7" s="2">
        <f t="shared" si="6"/>
        <v>97172.389993216246</v>
      </c>
    </row>
    <row r="8" spans="1:19" x14ac:dyDescent="0.25">
      <c r="A8" s="1">
        <v>5</v>
      </c>
      <c r="B8" s="2">
        <v>18602.98</v>
      </c>
      <c r="C8" s="2">
        <v>97164.54</v>
      </c>
      <c r="D8" s="1">
        <v>0</v>
      </c>
      <c r="F8" s="3">
        <v>7.5999999098712578</v>
      </c>
      <c r="G8" s="3">
        <v>4.0000000735744834</v>
      </c>
      <c r="I8" s="4">
        <f t="shared" si="0"/>
        <v>75.999999098712578</v>
      </c>
      <c r="J8" s="4">
        <f t="shared" si="1"/>
        <v>40.000000735744834</v>
      </c>
      <c r="M8" s="1" t="str">
        <f t="shared" si="7"/>
        <v>5.1</v>
      </c>
      <c r="N8" s="2">
        <f t="shared" si="2"/>
        <v>18602.98</v>
      </c>
      <c r="O8" s="2">
        <f t="shared" si="3"/>
        <v>97164.54</v>
      </c>
      <c r="Q8" s="1">
        <f t="shared" si="4"/>
        <v>5.1999999999999993</v>
      </c>
      <c r="R8" s="2">
        <f t="shared" si="5"/>
        <v>18678.979999098712</v>
      </c>
      <c r="S8" s="2">
        <f t="shared" si="6"/>
        <v>97204.540000735738</v>
      </c>
    </row>
    <row r="9" spans="1:19" x14ac:dyDescent="0.25">
      <c r="A9" s="1">
        <v>6</v>
      </c>
      <c r="B9" s="2">
        <v>18592.560000000001</v>
      </c>
      <c r="C9" s="2">
        <v>97198.12</v>
      </c>
      <c r="D9" s="1">
        <v>0</v>
      </c>
      <c r="F9" s="3">
        <v>8.3000001577602234</v>
      </c>
      <c r="G9" s="3">
        <v>0.99999965459574014</v>
      </c>
      <c r="I9" s="4">
        <f t="shared" si="0"/>
        <v>83.000001577602234</v>
      </c>
      <c r="J9" s="4">
        <f t="shared" si="1"/>
        <v>9.9999965459574014</v>
      </c>
      <c r="M9" s="1" t="str">
        <f t="shared" si="7"/>
        <v>6.1</v>
      </c>
      <c r="N9" s="2">
        <f t="shared" si="2"/>
        <v>18592.560000000001</v>
      </c>
      <c r="O9" s="2">
        <f t="shared" si="3"/>
        <v>97198.12</v>
      </c>
      <c r="Q9" s="1">
        <f t="shared" si="4"/>
        <v>6.1999999999999993</v>
      </c>
      <c r="R9" s="2">
        <f t="shared" si="5"/>
        <v>18675.560001577604</v>
      </c>
      <c r="S9" s="2">
        <f t="shared" si="6"/>
        <v>97208.119996545953</v>
      </c>
    </row>
    <row r="10" spans="1:19" x14ac:dyDescent="0.25">
      <c r="A10" s="1">
        <v>7</v>
      </c>
      <c r="B10" s="2">
        <v>18659.099999999999</v>
      </c>
      <c r="C10" s="2">
        <v>97072.24</v>
      </c>
      <c r="D10" s="1">
        <v>0</v>
      </c>
      <c r="F10" s="3">
        <v>4.3000001242035069</v>
      </c>
      <c r="G10" s="3">
        <v>5.7000003143912181</v>
      </c>
      <c r="I10" s="4">
        <f t="shared" si="0"/>
        <v>43.000001242035069</v>
      </c>
      <c r="J10" s="4">
        <f t="shared" si="1"/>
        <v>57.000003143912181</v>
      </c>
      <c r="M10" s="1" t="str">
        <f t="shared" si="7"/>
        <v>7.1</v>
      </c>
      <c r="N10" s="2">
        <f t="shared" si="2"/>
        <v>18659.099999999999</v>
      </c>
      <c r="O10" s="2">
        <f t="shared" si="3"/>
        <v>97072.24</v>
      </c>
      <c r="Q10" s="1">
        <f t="shared" si="4"/>
        <v>7.1999999999999993</v>
      </c>
      <c r="R10" s="2">
        <f t="shared" si="5"/>
        <v>18702.100001242034</v>
      </c>
      <c r="S10" s="2">
        <f t="shared" si="6"/>
        <v>97129.240003143917</v>
      </c>
    </row>
    <row r="11" spans="1:19" x14ac:dyDescent="0.25">
      <c r="A11" s="1">
        <v>8</v>
      </c>
      <c r="B11" s="2">
        <v>18648.63</v>
      </c>
      <c r="C11" s="2">
        <v>97105.57</v>
      </c>
      <c r="D11" s="1">
        <v>0</v>
      </c>
      <c r="F11" s="3">
        <v>4.1000000201165676</v>
      </c>
      <c r="G11" s="3">
        <v>4.9999998009297997</v>
      </c>
      <c r="I11" s="4">
        <f t="shared" si="0"/>
        <v>41.000000201165676</v>
      </c>
      <c r="J11" s="4">
        <f t="shared" si="1"/>
        <v>49.999998009297997</v>
      </c>
      <c r="M11" s="1" t="str">
        <f t="shared" si="7"/>
        <v>8.1</v>
      </c>
      <c r="N11" s="2">
        <f t="shared" si="2"/>
        <v>18648.63</v>
      </c>
      <c r="O11" s="2">
        <f t="shared" si="3"/>
        <v>97105.57</v>
      </c>
      <c r="Q11" s="1">
        <f t="shared" si="4"/>
        <v>8.1999999999999993</v>
      </c>
      <c r="R11" s="2">
        <f t="shared" si="5"/>
        <v>18689.630000201167</v>
      </c>
      <c r="S11" s="2">
        <f t="shared" si="6"/>
        <v>97155.569998009305</v>
      </c>
    </row>
    <row r="12" spans="1:19" x14ac:dyDescent="0.25">
      <c r="A12" s="1">
        <v>9</v>
      </c>
      <c r="B12" s="2">
        <v>18638.21</v>
      </c>
      <c r="C12" s="2">
        <v>97138.96</v>
      </c>
      <c r="D12" s="1">
        <v>0</v>
      </c>
      <c r="F12" s="3">
        <v>4.9999995098914951</v>
      </c>
      <c r="G12" s="3">
        <v>4.3999992194585502</v>
      </c>
      <c r="I12" s="4">
        <f t="shared" si="0"/>
        <v>49.999995098914951</v>
      </c>
      <c r="J12" s="4">
        <f t="shared" si="1"/>
        <v>43.999992194585502</v>
      </c>
      <c r="M12" s="1" t="str">
        <f t="shared" si="7"/>
        <v>9.1</v>
      </c>
      <c r="N12" s="2">
        <f t="shared" si="2"/>
        <v>18638.21</v>
      </c>
      <c r="O12" s="2">
        <f t="shared" si="3"/>
        <v>97138.96</v>
      </c>
      <c r="Q12" s="1">
        <f t="shared" si="4"/>
        <v>9.1999999999999993</v>
      </c>
      <c r="R12" s="2">
        <f t="shared" si="5"/>
        <v>18688.209995098914</v>
      </c>
      <c r="S12" s="2">
        <f t="shared" si="6"/>
        <v>97182.959992194592</v>
      </c>
    </row>
    <row r="13" spans="1:19" x14ac:dyDescent="0.25">
      <c r="A13" s="1">
        <v>10</v>
      </c>
      <c r="B13" s="2">
        <v>18627.75</v>
      </c>
      <c r="C13" s="2">
        <v>97172.41</v>
      </c>
      <c r="D13" s="1">
        <v>0</v>
      </c>
      <c r="F13" s="3">
        <v>5.7000002270797268</v>
      </c>
      <c r="G13" s="3">
        <v>2.0999993139412254</v>
      </c>
      <c r="I13" s="4">
        <f t="shared" si="0"/>
        <v>57.000002270797268</v>
      </c>
      <c r="J13" s="4">
        <f t="shared" si="1"/>
        <v>20.999993139412254</v>
      </c>
      <c r="M13" s="1" t="str">
        <f t="shared" si="7"/>
        <v>10.1</v>
      </c>
      <c r="N13" s="2">
        <f t="shared" si="2"/>
        <v>18627.75</v>
      </c>
      <c r="O13" s="2">
        <f t="shared" si="3"/>
        <v>97172.41</v>
      </c>
      <c r="Q13" s="1">
        <f t="shared" si="4"/>
        <v>10.199999999999999</v>
      </c>
      <c r="R13" s="2">
        <f t="shared" si="5"/>
        <v>18684.750002270797</v>
      </c>
      <c r="S13" s="2">
        <f t="shared" si="6"/>
        <v>97193.409993139416</v>
      </c>
    </row>
    <row r="14" spans="1:19" x14ac:dyDescent="0.25">
      <c r="A14" s="1">
        <v>11</v>
      </c>
      <c r="B14" s="2">
        <v>18679.48</v>
      </c>
      <c r="C14" s="2">
        <v>97116.84</v>
      </c>
      <c r="D14" s="1">
        <v>0</v>
      </c>
      <c r="F14" s="3">
        <v>1.9999996657134034</v>
      </c>
      <c r="G14" s="3">
        <v>2.9000000795349479</v>
      </c>
      <c r="I14" s="4">
        <f t="shared" si="0"/>
        <v>19.999996657134034</v>
      </c>
      <c r="J14" s="4">
        <f t="shared" si="1"/>
        <v>29.000000795349479</v>
      </c>
      <c r="M14" s="1" t="str">
        <f t="shared" si="7"/>
        <v>11.1</v>
      </c>
      <c r="N14" s="2">
        <f t="shared" si="2"/>
        <v>18679.48</v>
      </c>
      <c r="O14" s="2">
        <f t="shared" si="3"/>
        <v>97116.84</v>
      </c>
      <c r="Q14" s="1">
        <f t="shared" si="4"/>
        <v>11.2</v>
      </c>
      <c r="R14" s="2">
        <f t="shared" si="5"/>
        <v>18699.479996657134</v>
      </c>
      <c r="S14" s="2">
        <f t="shared" si="6"/>
        <v>97145.840000795346</v>
      </c>
    </row>
    <row r="15" spans="1:19" x14ac:dyDescent="0.25">
      <c r="A15" s="1">
        <v>12</v>
      </c>
      <c r="B15" s="2">
        <v>18670.34</v>
      </c>
      <c r="C15" s="2">
        <v>97148.43</v>
      </c>
      <c r="D15" s="1">
        <v>0</v>
      </c>
      <c r="F15" s="3">
        <v>4.6000001020729542</v>
      </c>
      <c r="G15" s="3">
        <v>4.2000000685220584</v>
      </c>
      <c r="I15" s="4">
        <f t="shared" si="0"/>
        <v>46.000001020729542</v>
      </c>
      <c r="J15" s="4">
        <f t="shared" si="1"/>
        <v>42.000000685220584</v>
      </c>
      <c r="M15" s="1" t="str">
        <f t="shared" si="7"/>
        <v>12.1</v>
      </c>
      <c r="N15" s="2">
        <f t="shared" si="2"/>
        <v>18670.34</v>
      </c>
      <c r="O15" s="2">
        <f t="shared" si="3"/>
        <v>97148.43</v>
      </c>
      <c r="Q15" s="1">
        <f t="shared" si="4"/>
        <v>12.2</v>
      </c>
      <c r="R15" s="2">
        <f t="shared" si="5"/>
        <v>18716.34000102073</v>
      </c>
      <c r="S15" s="2">
        <f t="shared" si="6"/>
        <v>97190.430000685214</v>
      </c>
    </row>
    <row r="16" spans="1:19" x14ac:dyDescent="0.25">
      <c r="A16" s="1">
        <v>13</v>
      </c>
      <c r="B16" s="2">
        <v>18659.330000000002</v>
      </c>
      <c r="C16" s="2">
        <v>97183.1</v>
      </c>
      <c r="D16" s="1">
        <v>0</v>
      </c>
      <c r="F16" s="3">
        <v>3.8999999451334588</v>
      </c>
      <c r="G16" s="3">
        <v>4.0999999037012458</v>
      </c>
      <c r="I16" s="4">
        <f t="shared" si="0"/>
        <v>38.999999451334588</v>
      </c>
      <c r="J16" s="4">
        <f t="shared" si="1"/>
        <v>40.999999037012458</v>
      </c>
      <c r="M16" s="1" t="str">
        <f t="shared" si="7"/>
        <v>13.1</v>
      </c>
      <c r="N16" s="2">
        <f t="shared" si="2"/>
        <v>18659.330000000002</v>
      </c>
      <c r="O16" s="2">
        <f t="shared" si="3"/>
        <v>97183.1</v>
      </c>
      <c r="Q16" s="1">
        <f t="shared" si="4"/>
        <v>13.2</v>
      </c>
      <c r="R16" s="2">
        <f t="shared" si="5"/>
        <v>18698.329999451336</v>
      </c>
      <c r="S16" s="2">
        <f t="shared" si="6"/>
        <v>97224.099999037018</v>
      </c>
    </row>
    <row r="17" spans="1:19" x14ac:dyDescent="0.25">
      <c r="A17" s="1">
        <v>901</v>
      </c>
      <c r="B17" s="2">
        <v>18526.41</v>
      </c>
      <c r="C17" s="2">
        <v>97156.98</v>
      </c>
      <c r="D17" s="1">
        <v>0</v>
      </c>
      <c r="F17" s="3">
        <v>1.89999993017409</v>
      </c>
      <c r="G17" s="3">
        <v>-2.4999998859129846</v>
      </c>
      <c r="I17" s="4">
        <f t="shared" si="0"/>
        <v>18.9999993017409</v>
      </c>
      <c r="J17" s="4">
        <f t="shared" si="1"/>
        <v>-24.999998859129846</v>
      </c>
      <c r="M17" s="1" t="str">
        <f t="shared" si="7"/>
        <v>901.1</v>
      </c>
      <c r="N17" s="2">
        <f t="shared" si="2"/>
        <v>18526.41</v>
      </c>
      <c r="O17" s="2">
        <f t="shared" si="3"/>
        <v>97156.98</v>
      </c>
      <c r="Q17" s="1">
        <f t="shared" si="4"/>
        <v>901.2</v>
      </c>
      <c r="R17" s="2">
        <f t="shared" si="5"/>
        <v>18545.409999301741</v>
      </c>
      <c r="S17" s="2">
        <f t="shared" si="6"/>
        <v>97131.980001140866</v>
      </c>
    </row>
    <row r="18" spans="1:19" x14ac:dyDescent="0.25">
      <c r="A18" s="1">
        <v>902</v>
      </c>
      <c r="B18" s="2">
        <v>18525.18</v>
      </c>
      <c r="C18" s="2">
        <v>97159.05</v>
      </c>
      <c r="D18" s="1">
        <v>0</v>
      </c>
      <c r="F18" s="3">
        <v>1.6000002069631591</v>
      </c>
      <c r="G18" s="3">
        <v>-1.4999994891695678</v>
      </c>
      <c r="I18" s="4">
        <f t="shared" si="0"/>
        <v>16.000002069631591</v>
      </c>
      <c r="J18" s="4">
        <f t="shared" si="1"/>
        <v>-14.999994891695678</v>
      </c>
      <c r="M18" s="1" t="str">
        <f t="shared" si="7"/>
        <v>902.1</v>
      </c>
      <c r="N18" s="2">
        <f t="shared" si="2"/>
        <v>18525.18</v>
      </c>
      <c r="O18" s="2">
        <f t="shared" si="3"/>
        <v>97159.05</v>
      </c>
      <c r="Q18" s="1">
        <f t="shared" si="4"/>
        <v>902.2</v>
      </c>
      <c r="R18" s="2">
        <f t="shared" si="5"/>
        <v>18541.180002069632</v>
      </c>
      <c r="S18" s="2">
        <f t="shared" si="6"/>
        <v>97144.050005108307</v>
      </c>
    </row>
    <row r="19" spans="1:19" x14ac:dyDescent="0.25">
      <c r="F19" s="3"/>
      <c r="G19" s="3"/>
      <c r="I19" s="4"/>
      <c r="J19" s="4"/>
      <c r="N19" s="2"/>
      <c r="O19" s="2"/>
      <c r="R19" s="2"/>
      <c r="S19" s="2"/>
    </row>
    <row r="23" spans="1:19" x14ac:dyDescent="0.25">
      <c r="A23" s="5" t="s">
        <v>10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25">
      <c r="A24" s="5" t="s">
        <v>4</v>
      </c>
      <c r="B24" s="5"/>
      <c r="C24" s="5"/>
      <c r="D24" s="5"/>
      <c r="F24" s="5" t="s">
        <v>5</v>
      </c>
      <c r="G24" s="5"/>
      <c r="I24" s="5" t="s">
        <v>6</v>
      </c>
      <c r="J24" s="5"/>
      <c r="M24" s="5" t="s">
        <v>7</v>
      </c>
      <c r="N24" s="5"/>
      <c r="O24" s="5"/>
      <c r="Q24" s="5" t="s">
        <v>8</v>
      </c>
      <c r="R24" s="5"/>
      <c r="S24" s="5"/>
    </row>
    <row r="25" spans="1:19" x14ac:dyDescent="0.25">
      <c r="A25" s="1" t="s">
        <v>0</v>
      </c>
      <c r="B25" s="2" t="s">
        <v>1</v>
      </c>
      <c r="C25" s="2" t="s">
        <v>2</v>
      </c>
      <c r="D25" s="1" t="s">
        <v>3</v>
      </c>
    </row>
    <row r="26" spans="1:19" x14ac:dyDescent="0.25">
      <c r="A26" s="1">
        <v>1</v>
      </c>
      <c r="B26" s="2">
        <v>-33.47</v>
      </c>
      <c r="C26" s="2">
        <v>-239.78100000000001</v>
      </c>
      <c r="D26" s="1">
        <v>0</v>
      </c>
      <c r="F26" s="3">
        <v>0.40000004810281098</v>
      </c>
      <c r="G26" s="3">
        <v>2.7999999874737114</v>
      </c>
      <c r="I26" s="4">
        <f t="shared" ref="I26:I40" si="8">F26*10</f>
        <v>4.0000004810281098</v>
      </c>
      <c r="J26" s="4">
        <f t="shared" ref="J26:J40" si="9">G26*10</f>
        <v>27.999999874737114</v>
      </c>
      <c r="M26" s="1" t="str">
        <f>A26&amp;".1"</f>
        <v>1.1</v>
      </c>
      <c r="N26" s="2">
        <f t="shared" ref="N26:N40" si="10">B26</f>
        <v>-33.47</v>
      </c>
      <c r="O26" s="2">
        <f t="shared" ref="O26:O40" si="11">C26</f>
        <v>-239.78100000000001</v>
      </c>
      <c r="Q26" s="1">
        <f t="shared" ref="Q26:Q40" si="12">M26+0.1</f>
        <v>1.2000000000000002</v>
      </c>
      <c r="R26" s="2">
        <f t="shared" ref="R26:R40" si="13">N26+I26</f>
        <v>-29.469999518971889</v>
      </c>
      <c r="S26" s="2">
        <f t="shared" ref="S26:S40" si="14">O26+J26</f>
        <v>-211.78100012526289</v>
      </c>
    </row>
    <row r="27" spans="1:19" x14ac:dyDescent="0.25">
      <c r="A27" s="1">
        <v>2</v>
      </c>
      <c r="B27" s="2">
        <v>-43.648000000000003</v>
      </c>
      <c r="C27" s="2">
        <v>-206.172</v>
      </c>
      <c r="D27" s="1">
        <v>0</v>
      </c>
      <c r="F27" s="3">
        <v>4.1999999557447154</v>
      </c>
      <c r="G27" s="3">
        <v>3.6000001564389095</v>
      </c>
      <c r="I27" s="4">
        <f t="shared" si="8"/>
        <v>41.999999557447154</v>
      </c>
      <c r="J27" s="4">
        <f t="shared" si="9"/>
        <v>36.000001564389095</v>
      </c>
      <c r="M27" s="1" t="str">
        <f t="shared" ref="M27:M40" si="15">A27&amp;".1"</f>
        <v>2.1</v>
      </c>
      <c r="N27" s="2">
        <f t="shared" si="10"/>
        <v>-43.648000000000003</v>
      </c>
      <c r="O27" s="2">
        <f t="shared" si="11"/>
        <v>-206.172</v>
      </c>
      <c r="Q27" s="1">
        <f t="shared" si="12"/>
        <v>2.2000000000000002</v>
      </c>
      <c r="R27" s="2">
        <f t="shared" si="13"/>
        <v>-1.6480004425528492</v>
      </c>
      <c r="S27" s="2">
        <f t="shared" si="14"/>
        <v>-170.1719984356109</v>
      </c>
    </row>
    <row r="28" spans="1:19" x14ac:dyDescent="0.25">
      <c r="A28" s="1">
        <v>3</v>
      </c>
      <c r="B28" s="2">
        <v>-53.52</v>
      </c>
      <c r="C28" s="2">
        <v>-173.04499999999999</v>
      </c>
      <c r="D28" s="1">
        <v>0</v>
      </c>
      <c r="F28" s="3">
        <v>7.2999999683815986</v>
      </c>
      <c r="G28" s="3">
        <v>3.9000005926936865</v>
      </c>
      <c r="I28" s="4">
        <f t="shared" si="8"/>
        <v>72.999999683815986</v>
      </c>
      <c r="J28" s="4">
        <f t="shared" si="9"/>
        <v>39.000005926936865</v>
      </c>
      <c r="M28" s="1" t="str">
        <f t="shared" si="15"/>
        <v>3.1</v>
      </c>
      <c r="N28" s="2">
        <f t="shared" si="10"/>
        <v>-53.52</v>
      </c>
      <c r="O28" s="2">
        <f t="shared" si="11"/>
        <v>-173.04499999999999</v>
      </c>
      <c r="Q28" s="1">
        <f t="shared" si="12"/>
        <v>3.2</v>
      </c>
      <c r="R28" s="2">
        <f t="shared" si="13"/>
        <v>19.479999683815983</v>
      </c>
      <c r="S28" s="2">
        <f t="shared" si="14"/>
        <v>-134.04499407306312</v>
      </c>
    </row>
    <row r="29" spans="1:19" x14ac:dyDescent="0.25">
      <c r="A29" s="1">
        <v>4</v>
      </c>
      <c r="B29" s="2">
        <v>-63.636000000000003</v>
      </c>
      <c r="C29" s="2">
        <v>-139.11600000000001</v>
      </c>
      <c r="D29" s="1">
        <v>0</v>
      </c>
      <c r="F29" s="3">
        <v>8.6999999875843059</v>
      </c>
      <c r="G29" s="3">
        <v>4.0999993216246367</v>
      </c>
      <c r="I29" s="4">
        <f t="shared" si="8"/>
        <v>86.999999875843059</v>
      </c>
      <c r="J29" s="4">
        <f t="shared" si="9"/>
        <v>40.999993216246367</v>
      </c>
      <c r="M29" s="1" t="str">
        <f t="shared" si="15"/>
        <v>4.1</v>
      </c>
      <c r="N29" s="2">
        <f t="shared" si="10"/>
        <v>-63.636000000000003</v>
      </c>
      <c r="O29" s="2">
        <f t="shared" si="11"/>
        <v>-139.11600000000001</v>
      </c>
      <c r="Q29" s="1">
        <f t="shared" si="12"/>
        <v>4.1999999999999993</v>
      </c>
      <c r="R29" s="2">
        <f t="shared" si="13"/>
        <v>23.363999875843056</v>
      </c>
      <c r="S29" s="2">
        <f t="shared" si="14"/>
        <v>-98.116006783753647</v>
      </c>
    </row>
    <row r="30" spans="1:19" x14ac:dyDescent="0.25">
      <c r="A30" s="1">
        <v>5</v>
      </c>
      <c r="B30" s="2">
        <v>-73.488</v>
      </c>
      <c r="C30" s="2">
        <v>-105.879</v>
      </c>
      <c r="D30" s="1">
        <v>0</v>
      </c>
      <c r="F30" s="3">
        <v>7.5999999098712578</v>
      </c>
      <c r="G30" s="3">
        <v>4.0000000735744834</v>
      </c>
      <c r="I30" s="4">
        <f t="shared" si="8"/>
        <v>75.999999098712578</v>
      </c>
      <c r="J30" s="4">
        <f t="shared" si="9"/>
        <v>40.000000735744834</v>
      </c>
      <c r="M30" s="1" t="str">
        <f t="shared" si="15"/>
        <v>5.1</v>
      </c>
      <c r="N30" s="2">
        <f t="shared" si="10"/>
        <v>-73.488</v>
      </c>
      <c r="O30" s="2">
        <f t="shared" si="11"/>
        <v>-105.879</v>
      </c>
      <c r="Q30" s="1">
        <f t="shared" si="12"/>
        <v>5.1999999999999993</v>
      </c>
      <c r="R30" s="2">
        <f t="shared" si="13"/>
        <v>2.5119990987125789</v>
      </c>
      <c r="S30" s="2">
        <f t="shared" si="14"/>
        <v>-65.878999264255171</v>
      </c>
    </row>
    <row r="31" spans="1:19" x14ac:dyDescent="0.25">
      <c r="A31" s="1">
        <v>6</v>
      </c>
      <c r="B31" s="2">
        <v>-83.616</v>
      </c>
      <c r="C31" s="2">
        <v>-72.209000000000003</v>
      </c>
      <c r="D31" s="1">
        <v>0</v>
      </c>
      <c r="F31" s="3">
        <v>8.3000001577602234</v>
      </c>
      <c r="G31" s="3">
        <v>0.99999965459574014</v>
      </c>
      <c r="I31" s="4">
        <f t="shared" si="8"/>
        <v>83.000001577602234</v>
      </c>
      <c r="J31" s="4">
        <f t="shared" si="9"/>
        <v>9.9999965459574014</v>
      </c>
      <c r="M31" s="1" t="str">
        <f t="shared" si="15"/>
        <v>6.1</v>
      </c>
      <c r="N31" s="2">
        <f t="shared" si="10"/>
        <v>-83.616</v>
      </c>
      <c r="O31" s="2">
        <f t="shared" si="11"/>
        <v>-72.209000000000003</v>
      </c>
      <c r="Q31" s="1">
        <f t="shared" si="12"/>
        <v>6.1999999999999993</v>
      </c>
      <c r="R31" s="2">
        <f t="shared" si="13"/>
        <v>-0.61599842239776592</v>
      </c>
      <c r="S31" s="2">
        <f t="shared" si="14"/>
        <v>-62.209003454042602</v>
      </c>
    </row>
    <row r="32" spans="1:19" x14ac:dyDescent="0.25">
      <c r="A32" s="1">
        <v>7</v>
      </c>
      <c r="B32" s="2">
        <v>-18.172000000000001</v>
      </c>
      <c r="C32" s="2">
        <v>-198.66300000000001</v>
      </c>
      <c r="D32" s="1">
        <v>0</v>
      </c>
      <c r="F32" s="3">
        <v>4.3000001242035069</v>
      </c>
      <c r="G32" s="3">
        <v>5.7000003143912181</v>
      </c>
      <c r="I32" s="4">
        <f t="shared" si="8"/>
        <v>43.000001242035069</v>
      </c>
      <c r="J32" s="4">
        <f t="shared" si="9"/>
        <v>57.000003143912181</v>
      </c>
      <c r="M32" s="1" t="str">
        <f t="shared" si="15"/>
        <v>7.1</v>
      </c>
      <c r="N32" s="2">
        <f t="shared" si="10"/>
        <v>-18.172000000000001</v>
      </c>
      <c r="O32" s="2">
        <f t="shared" si="11"/>
        <v>-198.66300000000001</v>
      </c>
      <c r="Q32" s="1">
        <f t="shared" si="12"/>
        <v>7.1999999999999993</v>
      </c>
      <c r="R32" s="2">
        <f t="shared" si="13"/>
        <v>24.828001242035068</v>
      </c>
      <c r="S32" s="2">
        <f t="shared" si="14"/>
        <v>-141.66299685608783</v>
      </c>
    </row>
    <row r="33" spans="1:19" x14ac:dyDescent="0.25">
      <c r="A33" s="1">
        <v>8</v>
      </c>
      <c r="B33" s="2">
        <v>-28.352</v>
      </c>
      <c r="C33" s="2">
        <v>-165.24299999999999</v>
      </c>
      <c r="D33" s="1">
        <v>0</v>
      </c>
      <c r="F33" s="3">
        <v>4.1000000201165676</v>
      </c>
      <c r="G33" s="3">
        <v>4.9999998009297997</v>
      </c>
      <c r="I33" s="4">
        <f t="shared" si="8"/>
        <v>41.000000201165676</v>
      </c>
      <c r="J33" s="4">
        <f t="shared" si="9"/>
        <v>49.999998009297997</v>
      </c>
      <c r="M33" s="1" t="str">
        <f t="shared" si="15"/>
        <v>8.1</v>
      </c>
      <c r="N33" s="2">
        <f t="shared" si="10"/>
        <v>-28.352</v>
      </c>
      <c r="O33" s="2">
        <f t="shared" si="11"/>
        <v>-165.24299999999999</v>
      </c>
      <c r="Q33" s="1">
        <f t="shared" si="12"/>
        <v>8.1999999999999993</v>
      </c>
      <c r="R33" s="2">
        <f t="shared" si="13"/>
        <v>12.648000201165676</v>
      </c>
      <c r="S33" s="2">
        <f t="shared" si="14"/>
        <v>-115.243001990702</v>
      </c>
    </row>
    <row r="34" spans="1:19" x14ac:dyDescent="0.25">
      <c r="A34" s="1">
        <v>9</v>
      </c>
      <c r="B34" s="2">
        <v>-38.481000000000002</v>
      </c>
      <c r="C34" s="2">
        <v>-131.76400000000001</v>
      </c>
      <c r="D34" s="1">
        <v>0</v>
      </c>
      <c r="F34" s="3">
        <v>4.9999995098914951</v>
      </c>
      <c r="G34" s="3">
        <v>4.3999992194585502</v>
      </c>
      <c r="I34" s="4">
        <f t="shared" si="8"/>
        <v>49.999995098914951</v>
      </c>
      <c r="J34" s="4">
        <f t="shared" si="9"/>
        <v>43.999992194585502</v>
      </c>
      <c r="M34" s="1" t="str">
        <f t="shared" si="15"/>
        <v>9.1</v>
      </c>
      <c r="N34" s="2">
        <f t="shared" si="10"/>
        <v>-38.481000000000002</v>
      </c>
      <c r="O34" s="2">
        <f t="shared" si="11"/>
        <v>-131.76400000000001</v>
      </c>
      <c r="Q34" s="1">
        <f t="shared" si="12"/>
        <v>9.1999999999999993</v>
      </c>
      <c r="R34" s="2">
        <f t="shared" si="13"/>
        <v>11.518995098914949</v>
      </c>
      <c r="S34" s="2">
        <f t="shared" si="14"/>
        <v>-87.764007805414508</v>
      </c>
    </row>
    <row r="35" spans="1:19" x14ac:dyDescent="0.25">
      <c r="A35" s="1">
        <v>10</v>
      </c>
      <c r="B35" s="2">
        <v>-48.65</v>
      </c>
      <c r="C35" s="2">
        <v>-98.224000000000004</v>
      </c>
      <c r="D35" s="1">
        <v>0</v>
      </c>
      <c r="F35" s="3">
        <v>5.7000002270797268</v>
      </c>
      <c r="G35" s="3">
        <v>2.0999993139412254</v>
      </c>
      <c r="I35" s="4">
        <f t="shared" si="8"/>
        <v>57.000002270797268</v>
      </c>
      <c r="J35" s="4">
        <f t="shared" si="9"/>
        <v>20.999993139412254</v>
      </c>
      <c r="M35" s="1" t="str">
        <f t="shared" si="15"/>
        <v>10.1</v>
      </c>
      <c r="N35" s="2">
        <f t="shared" si="10"/>
        <v>-48.65</v>
      </c>
      <c r="O35" s="2">
        <f t="shared" si="11"/>
        <v>-98.224000000000004</v>
      </c>
      <c r="Q35" s="1">
        <f t="shared" si="12"/>
        <v>10.199999999999999</v>
      </c>
      <c r="R35" s="2">
        <f t="shared" si="13"/>
        <v>8.350002270797269</v>
      </c>
      <c r="S35" s="2">
        <f t="shared" si="14"/>
        <v>-77.22400686058775</v>
      </c>
    </row>
    <row r="36" spans="1:19" x14ac:dyDescent="0.25">
      <c r="A36" s="1">
        <v>11</v>
      </c>
      <c r="B36" s="2">
        <v>2.5950000000000002</v>
      </c>
      <c r="C36" s="2">
        <v>-154.24199999999999</v>
      </c>
      <c r="D36" s="1">
        <v>0</v>
      </c>
      <c r="F36" s="3">
        <v>1.9999996657134034</v>
      </c>
      <c r="G36" s="3">
        <v>2.9000000795349479</v>
      </c>
      <c r="I36" s="4">
        <f t="shared" si="8"/>
        <v>19.999996657134034</v>
      </c>
      <c r="J36" s="4">
        <f t="shared" si="9"/>
        <v>29.000000795349479</v>
      </c>
      <c r="M36" s="1" t="str">
        <f t="shared" si="15"/>
        <v>11.1</v>
      </c>
      <c r="N36" s="2">
        <f t="shared" si="10"/>
        <v>2.5950000000000002</v>
      </c>
      <c r="O36" s="2">
        <f t="shared" si="11"/>
        <v>-154.24199999999999</v>
      </c>
      <c r="Q36" s="1">
        <f t="shared" si="12"/>
        <v>11.2</v>
      </c>
      <c r="R36" s="2">
        <f t="shared" si="13"/>
        <v>22.594996657134033</v>
      </c>
      <c r="S36" s="2">
        <f t="shared" si="14"/>
        <v>-125.24199920465051</v>
      </c>
    </row>
    <row r="37" spans="1:19" x14ac:dyDescent="0.25">
      <c r="A37" s="1">
        <v>12</v>
      </c>
      <c r="B37" s="2">
        <v>-6.27</v>
      </c>
      <c r="C37" s="2">
        <v>-122.57299999999999</v>
      </c>
      <c r="D37" s="1">
        <v>0</v>
      </c>
      <c r="F37" s="3">
        <v>4.6000001020729542</v>
      </c>
      <c r="G37" s="3">
        <v>4.2000000685220584</v>
      </c>
      <c r="I37" s="4">
        <f t="shared" si="8"/>
        <v>46.000001020729542</v>
      </c>
      <c r="J37" s="4">
        <f t="shared" si="9"/>
        <v>42.000000685220584</v>
      </c>
      <c r="M37" s="1" t="str">
        <f t="shared" si="15"/>
        <v>12.1</v>
      </c>
      <c r="N37" s="2">
        <f t="shared" si="10"/>
        <v>-6.27</v>
      </c>
      <c r="O37" s="2">
        <f t="shared" si="11"/>
        <v>-122.57299999999999</v>
      </c>
      <c r="Q37" s="1">
        <f t="shared" si="12"/>
        <v>12.2</v>
      </c>
      <c r="R37" s="2">
        <f t="shared" si="13"/>
        <v>39.730001020729546</v>
      </c>
      <c r="S37" s="2">
        <f t="shared" si="14"/>
        <v>-80.572999314779409</v>
      </c>
    </row>
    <row r="38" spans="1:19" x14ac:dyDescent="0.25">
      <c r="A38" s="1">
        <v>13</v>
      </c>
      <c r="B38" s="2">
        <v>-16.978999999999999</v>
      </c>
      <c r="C38" s="2">
        <v>-87.808999999999997</v>
      </c>
      <c r="D38" s="1">
        <v>0</v>
      </c>
      <c r="F38" s="3">
        <v>3.8999999451334588</v>
      </c>
      <c r="G38" s="3">
        <v>4.0999999037012458</v>
      </c>
      <c r="I38" s="4">
        <f t="shared" si="8"/>
        <v>38.999999451334588</v>
      </c>
      <c r="J38" s="4">
        <f t="shared" si="9"/>
        <v>40.999999037012458</v>
      </c>
      <c r="M38" s="1" t="str">
        <f t="shared" si="15"/>
        <v>13.1</v>
      </c>
      <c r="N38" s="2">
        <f t="shared" si="10"/>
        <v>-16.978999999999999</v>
      </c>
      <c r="O38" s="2">
        <f t="shared" si="11"/>
        <v>-87.808999999999997</v>
      </c>
      <c r="Q38" s="1">
        <f t="shared" si="12"/>
        <v>13.2</v>
      </c>
      <c r="R38" s="2">
        <f t="shared" si="13"/>
        <v>22.020999451334589</v>
      </c>
      <c r="S38" s="2">
        <f t="shared" si="14"/>
        <v>-46.80900096298754</v>
      </c>
    </row>
    <row r="39" spans="1:19" x14ac:dyDescent="0.25">
      <c r="A39" s="1">
        <v>901</v>
      </c>
      <c r="B39" s="2">
        <v>-150.12</v>
      </c>
      <c r="C39" s="2">
        <v>-112.773</v>
      </c>
      <c r="D39" s="1">
        <v>0</v>
      </c>
      <c r="F39" s="3">
        <v>1.89999993017409</v>
      </c>
      <c r="G39" s="3">
        <v>-2.4999998859129846</v>
      </c>
      <c r="I39" s="4">
        <f t="shared" si="8"/>
        <v>18.9999993017409</v>
      </c>
      <c r="J39" s="4">
        <f t="shared" si="9"/>
        <v>-24.999998859129846</v>
      </c>
      <c r="M39" s="1" t="str">
        <f t="shared" si="15"/>
        <v>901.1</v>
      </c>
      <c r="N39" s="2">
        <f t="shared" si="10"/>
        <v>-150.12</v>
      </c>
      <c r="O39" s="2">
        <f t="shared" si="11"/>
        <v>-112.773</v>
      </c>
      <c r="Q39" s="1">
        <f t="shared" si="12"/>
        <v>901.2</v>
      </c>
      <c r="R39" s="2">
        <f t="shared" si="13"/>
        <v>-131.1200006982591</v>
      </c>
      <c r="S39" s="2">
        <f t="shared" si="14"/>
        <v>-137.77299885912984</v>
      </c>
    </row>
    <row r="40" spans="1:19" x14ac:dyDescent="0.25">
      <c r="A40" s="1">
        <v>902</v>
      </c>
      <c r="B40" s="2">
        <v>-151.33199999999999</v>
      </c>
      <c r="C40" s="2">
        <v>-110.693</v>
      </c>
      <c r="D40" s="1">
        <v>0</v>
      </c>
      <c r="F40" s="3">
        <v>1.6000002069631591</v>
      </c>
      <c r="G40" s="3">
        <v>-1.4999994891695678</v>
      </c>
      <c r="I40" s="4">
        <f t="shared" si="8"/>
        <v>16.000002069631591</v>
      </c>
      <c r="J40" s="4">
        <f t="shared" si="9"/>
        <v>-14.999994891695678</v>
      </c>
      <c r="M40" s="1" t="str">
        <f t="shared" si="15"/>
        <v>902.1</v>
      </c>
      <c r="N40" s="2">
        <f t="shared" si="10"/>
        <v>-151.33199999999999</v>
      </c>
      <c r="O40" s="2">
        <f t="shared" si="11"/>
        <v>-110.693</v>
      </c>
      <c r="Q40" s="1">
        <f t="shared" si="12"/>
        <v>902.2</v>
      </c>
      <c r="R40" s="2">
        <f t="shared" si="13"/>
        <v>-135.3319979303684</v>
      </c>
      <c r="S40" s="2">
        <f t="shared" si="14"/>
        <v>-125.69299489169568</v>
      </c>
    </row>
    <row r="41" spans="1:19" x14ac:dyDescent="0.25">
      <c r="F41" s="3"/>
      <c r="G41" s="3"/>
      <c r="I41" s="4"/>
      <c r="J41" s="4"/>
      <c r="N41" s="2"/>
      <c r="O41" s="2"/>
      <c r="R41" s="2"/>
      <c r="S41" s="2"/>
    </row>
  </sheetData>
  <mergeCells count="12">
    <mergeCell ref="A23:S23"/>
    <mergeCell ref="A24:D24"/>
    <mergeCell ref="F24:G24"/>
    <mergeCell ref="I24:J24"/>
    <mergeCell ref="M24:O24"/>
    <mergeCell ref="Q24:S24"/>
    <mergeCell ref="A1:S1"/>
    <mergeCell ref="A2:D2"/>
    <mergeCell ref="F2:G2"/>
    <mergeCell ref="I2:J2"/>
    <mergeCell ref="M2:O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chartrain-23-11-16(cumul)</vt:lpstr>
      <vt:lpstr>chartrain-23-11-16(period)</vt:lpstr>
      <vt:lpstr>rouchain-23-11-16(period)</vt:lpstr>
      <vt:lpstr>rouchain-23-11-16(cumul)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boissard</dc:creator>
  <cp:lastModifiedBy>olivier boissard</cp:lastModifiedBy>
  <dcterms:created xsi:type="dcterms:W3CDTF">2023-11-21T07:27:20Z</dcterms:created>
  <dcterms:modified xsi:type="dcterms:W3CDTF">2025-12-03T21:42:06Z</dcterms:modified>
</cp:coreProperties>
</file>