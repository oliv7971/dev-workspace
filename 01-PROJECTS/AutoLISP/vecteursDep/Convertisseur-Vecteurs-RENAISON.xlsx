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20-DEVELOPPEMENT\01-PROJECTS\AutoLISP\vecteursDep\"/>
    </mc:Choice>
  </mc:AlternateContent>
  <xr:revisionPtr revIDLastSave="0" documentId="13_ncr:1_{71D09195-D087-4E10-84BC-06128DD7A414}" xr6:coauthVersionLast="47" xr6:coauthVersionMax="47" xr10:uidLastSave="{00000000-0000-0000-0000-000000000000}"/>
  <bookViews>
    <workbookView xWindow="-120" yWindow="-120" windowWidth="29040" windowHeight="15840" activeTab="3" xr2:uid="{9DFEB4A6-1FB0-4C5D-9851-F9CD42A67BE3}"/>
  </bookViews>
  <sheets>
    <sheet name="chartrain-23-11-16(cumul)" sheetId="1" r:id="rId1"/>
    <sheet name="chartrain-23-11-16(period)" sheetId="2" r:id="rId2"/>
    <sheet name="rouchain-23-11-16(period)" sheetId="3" r:id="rId3"/>
    <sheet name="rouchain-23-11-16(cumul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3" i="4" l="1"/>
  <c r="S43" i="4" s="1"/>
  <c r="N43" i="4"/>
  <c r="R43" i="4" s="1"/>
  <c r="M43" i="4"/>
  <c r="Q43" i="4" s="1"/>
  <c r="K43" i="4"/>
  <c r="J43" i="4"/>
  <c r="O42" i="4"/>
  <c r="S42" i="4" s="1"/>
  <c r="N42" i="4"/>
  <c r="R42" i="4" s="1"/>
  <c r="M42" i="4"/>
  <c r="Q42" i="4" s="1"/>
  <c r="K42" i="4"/>
  <c r="J42" i="4"/>
  <c r="O41" i="4"/>
  <c r="S41" i="4" s="1"/>
  <c r="N41" i="4"/>
  <c r="M41" i="4"/>
  <c r="Q41" i="4" s="1"/>
  <c r="K41" i="4"/>
  <c r="J41" i="4"/>
  <c r="R41" i="4" s="1"/>
  <c r="O40" i="4"/>
  <c r="S40" i="4" s="1"/>
  <c r="N40" i="4"/>
  <c r="R40" i="4" s="1"/>
  <c r="M40" i="4"/>
  <c r="Q40" i="4" s="1"/>
  <c r="K40" i="4"/>
  <c r="J40" i="4"/>
  <c r="O39" i="4"/>
  <c r="S39" i="4" s="1"/>
  <c r="N39" i="4"/>
  <c r="M39" i="4"/>
  <c r="Q39" i="4" s="1"/>
  <c r="K39" i="4"/>
  <c r="J39" i="4"/>
  <c r="R39" i="4" s="1"/>
  <c r="O38" i="4"/>
  <c r="S38" i="4" s="1"/>
  <c r="N38" i="4"/>
  <c r="R38" i="4" s="1"/>
  <c r="M38" i="4"/>
  <c r="Q38" i="4" s="1"/>
  <c r="K38" i="4"/>
  <c r="J38" i="4"/>
  <c r="O37" i="4"/>
  <c r="S37" i="4" s="1"/>
  <c r="N37" i="4"/>
  <c r="M37" i="4"/>
  <c r="Q37" i="4" s="1"/>
  <c r="K37" i="4"/>
  <c r="J37" i="4"/>
  <c r="R37" i="4" s="1"/>
  <c r="O36" i="4"/>
  <c r="S36" i="4" s="1"/>
  <c r="N36" i="4"/>
  <c r="R36" i="4" s="1"/>
  <c r="M36" i="4"/>
  <c r="Q36" i="4" s="1"/>
  <c r="K36" i="4"/>
  <c r="J36" i="4"/>
  <c r="O35" i="4"/>
  <c r="S35" i="4" s="1"/>
  <c r="N35" i="4"/>
  <c r="R35" i="4" s="1"/>
  <c r="M35" i="4"/>
  <c r="Q35" i="4" s="1"/>
  <c r="K35" i="4"/>
  <c r="J35" i="4"/>
  <c r="O34" i="4"/>
  <c r="S34" i="4" s="1"/>
  <c r="N34" i="4"/>
  <c r="R34" i="4" s="1"/>
  <c r="M34" i="4"/>
  <c r="Q34" i="4" s="1"/>
  <c r="K34" i="4"/>
  <c r="J34" i="4"/>
  <c r="O33" i="4"/>
  <c r="S33" i="4" s="1"/>
  <c r="N33" i="4"/>
  <c r="R33" i="4" s="1"/>
  <c r="M33" i="4"/>
  <c r="Q33" i="4" s="1"/>
  <c r="K33" i="4"/>
  <c r="J33" i="4"/>
  <c r="O32" i="4"/>
  <c r="S32" i="4" s="1"/>
  <c r="N32" i="4"/>
  <c r="R32" i="4" s="1"/>
  <c r="M32" i="4"/>
  <c r="Q32" i="4" s="1"/>
  <c r="K32" i="4"/>
  <c r="J32" i="4"/>
  <c r="O31" i="4"/>
  <c r="S31" i="4" s="1"/>
  <c r="N31" i="4"/>
  <c r="R31" i="4" s="1"/>
  <c r="M31" i="4"/>
  <c r="Q31" i="4" s="1"/>
  <c r="K31" i="4"/>
  <c r="J31" i="4"/>
  <c r="O30" i="4"/>
  <c r="S30" i="4" s="1"/>
  <c r="N30" i="4"/>
  <c r="R30" i="4" s="1"/>
  <c r="M30" i="4"/>
  <c r="Q30" i="4" s="1"/>
  <c r="K30" i="4"/>
  <c r="J30" i="4"/>
  <c r="O29" i="4"/>
  <c r="S29" i="4" s="1"/>
  <c r="N29" i="4"/>
  <c r="R29" i="4" s="1"/>
  <c r="M29" i="4"/>
  <c r="Q29" i="4" s="1"/>
  <c r="K29" i="4"/>
  <c r="J29" i="4"/>
  <c r="O19" i="4"/>
  <c r="S19" i="4" s="1"/>
  <c r="N19" i="4"/>
  <c r="R19" i="4" s="1"/>
  <c r="M19" i="4"/>
  <c r="Q19" i="4" s="1"/>
  <c r="K19" i="4"/>
  <c r="J19" i="4"/>
  <c r="O18" i="4"/>
  <c r="S18" i="4" s="1"/>
  <c r="N18" i="4"/>
  <c r="R18" i="4" s="1"/>
  <c r="M18" i="4"/>
  <c r="Q18" i="4" s="1"/>
  <c r="K18" i="4"/>
  <c r="J18" i="4"/>
  <c r="O17" i="4"/>
  <c r="S17" i="4" s="1"/>
  <c r="N17" i="4"/>
  <c r="R17" i="4" s="1"/>
  <c r="M17" i="4"/>
  <c r="Q17" i="4" s="1"/>
  <c r="K17" i="4"/>
  <c r="J17" i="4"/>
  <c r="O16" i="4"/>
  <c r="S16" i="4" s="1"/>
  <c r="N16" i="4"/>
  <c r="R16" i="4" s="1"/>
  <c r="M16" i="4"/>
  <c r="Q16" i="4" s="1"/>
  <c r="K16" i="4"/>
  <c r="J16" i="4"/>
  <c r="O15" i="4"/>
  <c r="S15" i="4" s="1"/>
  <c r="N15" i="4"/>
  <c r="R15" i="4" s="1"/>
  <c r="M15" i="4"/>
  <c r="Q15" i="4" s="1"/>
  <c r="K15" i="4"/>
  <c r="J15" i="4"/>
  <c r="O14" i="4"/>
  <c r="S14" i="4" s="1"/>
  <c r="N14" i="4"/>
  <c r="R14" i="4" s="1"/>
  <c r="M14" i="4"/>
  <c r="Q14" i="4" s="1"/>
  <c r="K14" i="4"/>
  <c r="J14" i="4"/>
  <c r="O13" i="4"/>
  <c r="S13" i="4" s="1"/>
  <c r="N13" i="4"/>
  <c r="R13" i="4" s="1"/>
  <c r="M13" i="4"/>
  <c r="Q13" i="4" s="1"/>
  <c r="K13" i="4"/>
  <c r="J13" i="4"/>
  <c r="O12" i="4"/>
  <c r="S12" i="4" s="1"/>
  <c r="N12" i="4"/>
  <c r="R12" i="4" s="1"/>
  <c r="M12" i="4"/>
  <c r="Q12" i="4" s="1"/>
  <c r="K12" i="4"/>
  <c r="J12" i="4"/>
  <c r="O11" i="4"/>
  <c r="S11" i="4" s="1"/>
  <c r="N11" i="4"/>
  <c r="R11" i="4" s="1"/>
  <c r="M11" i="4"/>
  <c r="Q11" i="4" s="1"/>
  <c r="K11" i="4"/>
  <c r="J11" i="4"/>
  <c r="O10" i="4"/>
  <c r="S10" i="4" s="1"/>
  <c r="N10" i="4"/>
  <c r="R10" i="4" s="1"/>
  <c r="M10" i="4"/>
  <c r="Q10" i="4" s="1"/>
  <c r="K10" i="4"/>
  <c r="J10" i="4"/>
  <c r="O9" i="4"/>
  <c r="S9" i="4" s="1"/>
  <c r="N9" i="4"/>
  <c r="R9" i="4" s="1"/>
  <c r="M9" i="4"/>
  <c r="Q9" i="4" s="1"/>
  <c r="K9" i="4"/>
  <c r="J9" i="4"/>
  <c r="R8" i="4"/>
  <c r="O8" i="4"/>
  <c r="S8" i="4" s="1"/>
  <c r="N8" i="4"/>
  <c r="M8" i="4"/>
  <c r="Q8" i="4" s="1"/>
  <c r="K8" i="4"/>
  <c r="J8" i="4"/>
  <c r="O7" i="4"/>
  <c r="S7" i="4" s="1"/>
  <c r="N7" i="4"/>
  <c r="R7" i="4" s="1"/>
  <c r="M7" i="4"/>
  <c r="Q7" i="4" s="1"/>
  <c r="K7" i="4"/>
  <c r="J7" i="4"/>
  <c r="R6" i="4"/>
  <c r="O6" i="4"/>
  <c r="S6" i="4" s="1"/>
  <c r="N6" i="4"/>
  <c r="M6" i="4"/>
  <c r="Q6" i="4" s="1"/>
  <c r="K6" i="4"/>
  <c r="J6" i="4"/>
  <c r="O5" i="4"/>
  <c r="S5" i="4" s="1"/>
  <c r="N5" i="4"/>
  <c r="R5" i="4" s="1"/>
  <c r="M5" i="4"/>
  <c r="Q5" i="4" s="1"/>
  <c r="K5" i="4"/>
  <c r="J5" i="4"/>
  <c r="P44" i="2"/>
  <c r="T44" i="2" s="1"/>
  <c r="O44" i="2"/>
  <c r="S44" i="2" s="1"/>
  <c r="N44" i="2"/>
  <c r="R44" i="2" s="1"/>
  <c r="K44" i="2"/>
  <c r="J44" i="2"/>
  <c r="P43" i="2"/>
  <c r="T43" i="2" s="1"/>
  <c r="O43" i="2"/>
  <c r="S43" i="2" s="1"/>
  <c r="N43" i="2"/>
  <c r="R43" i="2" s="1"/>
  <c r="K43" i="2"/>
  <c r="J43" i="2"/>
  <c r="P42" i="2"/>
  <c r="T42" i="2" s="1"/>
  <c r="O42" i="2"/>
  <c r="S42" i="2" s="1"/>
  <c r="N42" i="2"/>
  <c r="R42" i="2" s="1"/>
  <c r="K42" i="2"/>
  <c r="J42" i="2"/>
  <c r="P41" i="2"/>
  <c r="T41" i="2" s="1"/>
  <c r="O41" i="2"/>
  <c r="S41" i="2" s="1"/>
  <c r="N41" i="2"/>
  <c r="R41" i="2" s="1"/>
  <c r="K41" i="2"/>
  <c r="J41" i="2"/>
  <c r="P40" i="2"/>
  <c r="T40" i="2" s="1"/>
  <c r="O40" i="2"/>
  <c r="S40" i="2" s="1"/>
  <c r="N40" i="2"/>
  <c r="R40" i="2" s="1"/>
  <c r="K40" i="2"/>
  <c r="J40" i="2"/>
  <c r="P39" i="2"/>
  <c r="T39" i="2" s="1"/>
  <c r="O39" i="2"/>
  <c r="S39" i="2" s="1"/>
  <c r="N39" i="2"/>
  <c r="R39" i="2" s="1"/>
  <c r="K39" i="2"/>
  <c r="J39" i="2"/>
  <c r="P38" i="2"/>
  <c r="T38" i="2" s="1"/>
  <c r="O38" i="2"/>
  <c r="S38" i="2" s="1"/>
  <c r="N38" i="2"/>
  <c r="R38" i="2" s="1"/>
  <c r="K38" i="2"/>
  <c r="J38" i="2"/>
  <c r="P37" i="2"/>
  <c r="T37" i="2" s="1"/>
  <c r="O37" i="2"/>
  <c r="S37" i="2" s="1"/>
  <c r="N37" i="2"/>
  <c r="R37" i="2" s="1"/>
  <c r="K37" i="2"/>
  <c r="J37" i="2"/>
  <c r="P36" i="2"/>
  <c r="T36" i="2" s="1"/>
  <c r="O36" i="2"/>
  <c r="S36" i="2" s="1"/>
  <c r="N36" i="2"/>
  <c r="R36" i="2" s="1"/>
  <c r="K36" i="2"/>
  <c r="J36" i="2"/>
  <c r="P35" i="2"/>
  <c r="T35" i="2" s="1"/>
  <c r="O35" i="2"/>
  <c r="S35" i="2" s="1"/>
  <c r="N35" i="2"/>
  <c r="R35" i="2" s="1"/>
  <c r="K35" i="2"/>
  <c r="J35" i="2"/>
  <c r="P34" i="2"/>
  <c r="T34" i="2" s="1"/>
  <c r="O34" i="2"/>
  <c r="S34" i="2" s="1"/>
  <c r="N34" i="2"/>
  <c r="R34" i="2" s="1"/>
  <c r="K34" i="2"/>
  <c r="J34" i="2"/>
  <c r="P33" i="2"/>
  <c r="T33" i="2" s="1"/>
  <c r="O33" i="2"/>
  <c r="S33" i="2" s="1"/>
  <c r="N33" i="2"/>
  <c r="R33" i="2" s="1"/>
  <c r="K33" i="2"/>
  <c r="J33" i="2"/>
  <c r="P32" i="2"/>
  <c r="T32" i="2" s="1"/>
  <c r="O32" i="2"/>
  <c r="S32" i="2" s="1"/>
  <c r="N32" i="2"/>
  <c r="R32" i="2" s="1"/>
  <c r="K32" i="2"/>
  <c r="J32" i="2"/>
  <c r="P31" i="2"/>
  <c r="T31" i="2" s="1"/>
  <c r="O31" i="2"/>
  <c r="S31" i="2" s="1"/>
  <c r="N31" i="2"/>
  <c r="R31" i="2" s="1"/>
  <c r="K31" i="2"/>
  <c r="J31" i="2"/>
  <c r="P30" i="2"/>
  <c r="T30" i="2" s="1"/>
  <c r="O30" i="2"/>
  <c r="S30" i="2" s="1"/>
  <c r="N30" i="2"/>
  <c r="R30" i="2" s="1"/>
  <c r="K30" i="2"/>
  <c r="J30" i="2"/>
  <c r="P29" i="2"/>
  <c r="T29" i="2" s="1"/>
  <c r="O29" i="2"/>
  <c r="S29" i="2" s="1"/>
  <c r="N29" i="2"/>
  <c r="R29" i="2" s="1"/>
  <c r="K29" i="2"/>
  <c r="J29" i="2"/>
  <c r="O22" i="2"/>
  <c r="S22" i="2" s="1"/>
  <c r="N22" i="2"/>
  <c r="R22" i="2" s="1"/>
  <c r="M22" i="2"/>
  <c r="Q22" i="2" s="1"/>
  <c r="K22" i="2"/>
  <c r="J22" i="2"/>
  <c r="O21" i="2"/>
  <c r="S21" i="2" s="1"/>
  <c r="N21" i="2"/>
  <c r="R21" i="2" s="1"/>
  <c r="M21" i="2"/>
  <c r="Q21" i="2" s="1"/>
  <c r="K21" i="2"/>
  <c r="J21" i="2"/>
  <c r="O20" i="2"/>
  <c r="S20" i="2" s="1"/>
  <c r="N20" i="2"/>
  <c r="R20" i="2" s="1"/>
  <c r="M20" i="2"/>
  <c r="Q20" i="2" s="1"/>
  <c r="K20" i="2"/>
  <c r="J20" i="2"/>
  <c r="O19" i="2"/>
  <c r="S19" i="2" s="1"/>
  <c r="N19" i="2"/>
  <c r="R19" i="2" s="1"/>
  <c r="M19" i="2"/>
  <c r="Q19" i="2" s="1"/>
  <c r="K19" i="2"/>
  <c r="J19" i="2"/>
  <c r="O18" i="2"/>
  <c r="S18" i="2" s="1"/>
  <c r="N18" i="2"/>
  <c r="R18" i="2" s="1"/>
  <c r="M18" i="2"/>
  <c r="Q18" i="2" s="1"/>
  <c r="K18" i="2"/>
  <c r="J18" i="2"/>
  <c r="O17" i="2"/>
  <c r="S17" i="2" s="1"/>
  <c r="N17" i="2"/>
  <c r="R17" i="2" s="1"/>
  <c r="M17" i="2"/>
  <c r="Q17" i="2" s="1"/>
  <c r="K17" i="2"/>
  <c r="J17" i="2"/>
  <c r="O16" i="2"/>
  <c r="S16" i="2" s="1"/>
  <c r="N16" i="2"/>
  <c r="R16" i="2" s="1"/>
  <c r="M16" i="2"/>
  <c r="Q16" i="2" s="1"/>
  <c r="K16" i="2"/>
  <c r="J16" i="2"/>
  <c r="O15" i="2"/>
  <c r="S15" i="2" s="1"/>
  <c r="N15" i="2"/>
  <c r="R15" i="2" s="1"/>
  <c r="M15" i="2"/>
  <c r="Q15" i="2" s="1"/>
  <c r="K15" i="2"/>
  <c r="J15" i="2"/>
  <c r="O14" i="2"/>
  <c r="S14" i="2" s="1"/>
  <c r="N14" i="2"/>
  <c r="R14" i="2" s="1"/>
  <c r="M14" i="2"/>
  <c r="Q14" i="2" s="1"/>
  <c r="K14" i="2"/>
  <c r="J14" i="2"/>
  <c r="O13" i="2"/>
  <c r="S13" i="2" s="1"/>
  <c r="N13" i="2"/>
  <c r="R13" i="2" s="1"/>
  <c r="M13" i="2"/>
  <c r="Q13" i="2" s="1"/>
  <c r="K13" i="2"/>
  <c r="J13" i="2"/>
  <c r="O12" i="2"/>
  <c r="S12" i="2" s="1"/>
  <c r="N12" i="2"/>
  <c r="R12" i="2" s="1"/>
  <c r="M12" i="2"/>
  <c r="Q12" i="2" s="1"/>
  <c r="K12" i="2"/>
  <c r="J12" i="2"/>
  <c r="O11" i="2"/>
  <c r="S11" i="2" s="1"/>
  <c r="N11" i="2"/>
  <c r="R11" i="2" s="1"/>
  <c r="M11" i="2"/>
  <c r="Q11" i="2" s="1"/>
  <c r="K11" i="2"/>
  <c r="J11" i="2"/>
  <c r="O10" i="2"/>
  <c r="S10" i="2" s="1"/>
  <c r="N10" i="2"/>
  <c r="R10" i="2" s="1"/>
  <c r="M10" i="2"/>
  <c r="Q10" i="2" s="1"/>
  <c r="K10" i="2"/>
  <c r="J10" i="2"/>
  <c r="O9" i="2"/>
  <c r="S9" i="2" s="1"/>
  <c r="N9" i="2"/>
  <c r="R9" i="2" s="1"/>
  <c r="M9" i="2"/>
  <c r="Q9" i="2" s="1"/>
  <c r="K9" i="2"/>
  <c r="J9" i="2"/>
  <c r="O8" i="2"/>
  <c r="S8" i="2" s="1"/>
  <c r="N8" i="2"/>
  <c r="R8" i="2" s="1"/>
  <c r="M8" i="2"/>
  <c r="Q8" i="2" s="1"/>
  <c r="K8" i="2"/>
  <c r="J8" i="2"/>
  <c r="O7" i="2"/>
  <c r="S7" i="2" s="1"/>
  <c r="N7" i="2"/>
  <c r="R7" i="2" s="1"/>
  <c r="M7" i="2"/>
  <c r="Q7" i="2" s="1"/>
  <c r="K7" i="2"/>
  <c r="J7" i="2"/>
  <c r="O43" i="3"/>
  <c r="N43" i="3"/>
  <c r="M43" i="3"/>
  <c r="Q43" i="3" s="1"/>
  <c r="K43" i="3"/>
  <c r="J43" i="3"/>
  <c r="O42" i="3"/>
  <c r="N42" i="3"/>
  <c r="M42" i="3"/>
  <c r="Q42" i="3" s="1"/>
  <c r="K42" i="3"/>
  <c r="J42" i="3"/>
  <c r="O41" i="3"/>
  <c r="N41" i="3"/>
  <c r="M41" i="3"/>
  <c r="Q41" i="3" s="1"/>
  <c r="K41" i="3"/>
  <c r="J41" i="3"/>
  <c r="O40" i="3"/>
  <c r="N40" i="3"/>
  <c r="M40" i="3"/>
  <c r="Q40" i="3" s="1"/>
  <c r="K40" i="3"/>
  <c r="J40" i="3"/>
  <c r="O39" i="3"/>
  <c r="N39" i="3"/>
  <c r="M39" i="3"/>
  <c r="Q39" i="3" s="1"/>
  <c r="K39" i="3"/>
  <c r="J39" i="3"/>
  <c r="O38" i="3"/>
  <c r="S38" i="3" s="1"/>
  <c r="N38" i="3"/>
  <c r="M38" i="3"/>
  <c r="Q38" i="3" s="1"/>
  <c r="K38" i="3"/>
  <c r="J38" i="3"/>
  <c r="O37" i="3"/>
  <c r="N37" i="3"/>
  <c r="M37" i="3"/>
  <c r="Q37" i="3" s="1"/>
  <c r="K37" i="3"/>
  <c r="J37" i="3"/>
  <c r="O36" i="3"/>
  <c r="N36" i="3"/>
  <c r="M36" i="3"/>
  <c r="Q36" i="3" s="1"/>
  <c r="K36" i="3"/>
  <c r="J36" i="3"/>
  <c r="O35" i="3"/>
  <c r="S35" i="3" s="1"/>
  <c r="N35" i="3"/>
  <c r="R35" i="3" s="1"/>
  <c r="M35" i="3"/>
  <c r="Q35" i="3" s="1"/>
  <c r="K35" i="3"/>
  <c r="J35" i="3"/>
  <c r="O34" i="3"/>
  <c r="N34" i="3"/>
  <c r="M34" i="3"/>
  <c r="Q34" i="3" s="1"/>
  <c r="K34" i="3"/>
  <c r="J34" i="3"/>
  <c r="O33" i="3"/>
  <c r="N33" i="3"/>
  <c r="M33" i="3"/>
  <c r="Q33" i="3" s="1"/>
  <c r="K33" i="3"/>
  <c r="J33" i="3"/>
  <c r="O32" i="3"/>
  <c r="S32" i="3" s="1"/>
  <c r="N32" i="3"/>
  <c r="R32" i="3" s="1"/>
  <c r="M32" i="3"/>
  <c r="Q32" i="3" s="1"/>
  <c r="K32" i="3"/>
  <c r="J32" i="3"/>
  <c r="O31" i="3"/>
  <c r="N31" i="3"/>
  <c r="M31" i="3"/>
  <c r="Q31" i="3" s="1"/>
  <c r="K31" i="3"/>
  <c r="J31" i="3"/>
  <c r="O30" i="3"/>
  <c r="N30" i="3"/>
  <c r="M30" i="3"/>
  <c r="Q30" i="3" s="1"/>
  <c r="K30" i="3"/>
  <c r="J30" i="3"/>
  <c r="O29" i="3"/>
  <c r="N29" i="3"/>
  <c r="R29" i="3" s="1"/>
  <c r="M29" i="3"/>
  <c r="Q29" i="3" s="1"/>
  <c r="K29" i="3"/>
  <c r="J29" i="3"/>
  <c r="O19" i="3"/>
  <c r="N19" i="3"/>
  <c r="M19" i="3"/>
  <c r="Q19" i="3" s="1"/>
  <c r="K19" i="3"/>
  <c r="J19" i="3"/>
  <c r="O18" i="3"/>
  <c r="N18" i="3"/>
  <c r="M18" i="3"/>
  <c r="Q18" i="3" s="1"/>
  <c r="K18" i="3"/>
  <c r="J18" i="3"/>
  <c r="O17" i="3"/>
  <c r="N17" i="3"/>
  <c r="M17" i="3"/>
  <c r="Q17" i="3" s="1"/>
  <c r="K17" i="3"/>
  <c r="J17" i="3"/>
  <c r="O16" i="3"/>
  <c r="N16" i="3"/>
  <c r="M16" i="3"/>
  <c r="Q16" i="3" s="1"/>
  <c r="K16" i="3"/>
  <c r="J16" i="3"/>
  <c r="O15" i="3"/>
  <c r="N15" i="3"/>
  <c r="M15" i="3"/>
  <c r="Q15" i="3" s="1"/>
  <c r="K15" i="3"/>
  <c r="J15" i="3"/>
  <c r="O14" i="3"/>
  <c r="N14" i="3"/>
  <c r="M14" i="3"/>
  <c r="Q14" i="3" s="1"/>
  <c r="K14" i="3"/>
  <c r="J14" i="3"/>
  <c r="O13" i="3"/>
  <c r="N13" i="3"/>
  <c r="M13" i="3"/>
  <c r="Q13" i="3" s="1"/>
  <c r="K13" i="3"/>
  <c r="J13" i="3"/>
  <c r="O12" i="3"/>
  <c r="N12" i="3"/>
  <c r="M12" i="3"/>
  <c r="Q12" i="3" s="1"/>
  <c r="K12" i="3"/>
  <c r="J12" i="3"/>
  <c r="O11" i="3"/>
  <c r="N11" i="3"/>
  <c r="M11" i="3"/>
  <c r="Q11" i="3" s="1"/>
  <c r="K11" i="3"/>
  <c r="J11" i="3"/>
  <c r="O10" i="3"/>
  <c r="N10" i="3"/>
  <c r="M10" i="3"/>
  <c r="Q10" i="3" s="1"/>
  <c r="K10" i="3"/>
  <c r="J10" i="3"/>
  <c r="O9" i="3"/>
  <c r="N9" i="3"/>
  <c r="M9" i="3"/>
  <c r="Q9" i="3" s="1"/>
  <c r="K9" i="3"/>
  <c r="J9" i="3"/>
  <c r="O8" i="3"/>
  <c r="N8" i="3"/>
  <c r="M8" i="3"/>
  <c r="Q8" i="3" s="1"/>
  <c r="K8" i="3"/>
  <c r="J8" i="3"/>
  <c r="O7" i="3"/>
  <c r="N7" i="3"/>
  <c r="M7" i="3"/>
  <c r="Q7" i="3" s="1"/>
  <c r="K7" i="3"/>
  <c r="J7" i="3"/>
  <c r="O6" i="3"/>
  <c r="N6" i="3"/>
  <c r="M6" i="3"/>
  <c r="Q6" i="3" s="1"/>
  <c r="K6" i="3"/>
  <c r="J6" i="3"/>
  <c r="O5" i="3"/>
  <c r="N5" i="3"/>
  <c r="M5" i="3"/>
  <c r="Q5" i="3" s="1"/>
  <c r="K5" i="3"/>
  <c r="J5" i="3"/>
  <c r="N44" i="1"/>
  <c r="R44" i="1" s="1"/>
  <c r="N43" i="1"/>
  <c r="R43" i="1" s="1"/>
  <c r="N42" i="1"/>
  <c r="N41" i="1"/>
  <c r="R41" i="1" s="1"/>
  <c r="N40" i="1"/>
  <c r="N39" i="1"/>
  <c r="N38" i="1"/>
  <c r="R38" i="1" s="1"/>
  <c r="N37" i="1"/>
  <c r="R37" i="1" s="1"/>
  <c r="N36" i="1"/>
  <c r="R36" i="1" s="1"/>
  <c r="N35" i="1"/>
  <c r="R35" i="1" s="1"/>
  <c r="N34" i="1"/>
  <c r="N33" i="1"/>
  <c r="R33" i="1" s="1"/>
  <c r="N32" i="1"/>
  <c r="R32" i="1" s="1"/>
  <c r="N31" i="1"/>
  <c r="R31" i="1" s="1"/>
  <c r="N30" i="1"/>
  <c r="R30" i="1" s="1"/>
  <c r="N29" i="1"/>
  <c r="R29" i="1" s="1"/>
  <c r="M22" i="1"/>
  <c r="M21" i="1"/>
  <c r="M20" i="1"/>
  <c r="Q20" i="1" s="1"/>
  <c r="M19" i="1"/>
  <c r="M18" i="1"/>
  <c r="M17" i="1"/>
  <c r="M16" i="1"/>
  <c r="M15" i="1"/>
  <c r="Q15" i="1" s="1"/>
  <c r="M14" i="1"/>
  <c r="Q14" i="1" s="1"/>
  <c r="M13" i="1"/>
  <c r="Q13" i="1" s="1"/>
  <c r="M12" i="1"/>
  <c r="M11" i="1"/>
  <c r="Q11" i="1" s="1"/>
  <c r="M10" i="1"/>
  <c r="Q10" i="1" s="1"/>
  <c r="M9" i="1"/>
  <c r="Q9" i="1" s="1"/>
  <c r="M8" i="1"/>
  <c r="Q8" i="1" s="1"/>
  <c r="M7" i="1"/>
  <c r="Q7" i="1" s="1"/>
  <c r="R42" i="1"/>
  <c r="R40" i="1"/>
  <c r="R39" i="1"/>
  <c r="R34" i="1"/>
  <c r="P42" i="1"/>
  <c r="O42" i="1"/>
  <c r="P40" i="1"/>
  <c r="O40" i="1"/>
  <c r="P36" i="1"/>
  <c r="O36" i="1"/>
  <c r="P44" i="1"/>
  <c r="O44" i="1"/>
  <c r="P43" i="1"/>
  <c r="O43" i="1"/>
  <c r="P41" i="1"/>
  <c r="O41" i="1"/>
  <c r="P39" i="1"/>
  <c r="O39" i="1"/>
  <c r="P38" i="1"/>
  <c r="O38" i="1"/>
  <c r="P37" i="1"/>
  <c r="O37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K42" i="1"/>
  <c r="T42" i="1" s="1"/>
  <c r="J42" i="1"/>
  <c r="S42" i="1" s="1"/>
  <c r="K40" i="1"/>
  <c r="T40" i="1" s="1"/>
  <c r="J40" i="1"/>
  <c r="S40" i="1" s="1"/>
  <c r="K36" i="1"/>
  <c r="J36" i="1"/>
  <c r="S36" i="1" s="1"/>
  <c r="K44" i="1"/>
  <c r="T44" i="1" s="1"/>
  <c r="J44" i="1"/>
  <c r="K43" i="1"/>
  <c r="T43" i="1" s="1"/>
  <c r="J43" i="1"/>
  <c r="S43" i="1" s="1"/>
  <c r="K41" i="1"/>
  <c r="T41" i="1" s="1"/>
  <c r="J41" i="1"/>
  <c r="S41" i="1" s="1"/>
  <c r="K39" i="1"/>
  <c r="T39" i="1" s="1"/>
  <c r="J39" i="1"/>
  <c r="S39" i="1" s="1"/>
  <c r="K38" i="1"/>
  <c r="T38" i="1" s="1"/>
  <c r="J38" i="1"/>
  <c r="S38" i="1" s="1"/>
  <c r="K37" i="1"/>
  <c r="J37" i="1"/>
  <c r="K35" i="1"/>
  <c r="T35" i="1" s="1"/>
  <c r="J35" i="1"/>
  <c r="K34" i="1"/>
  <c r="J34" i="1"/>
  <c r="K33" i="1"/>
  <c r="T33" i="1" s="1"/>
  <c r="J33" i="1"/>
  <c r="S33" i="1" s="1"/>
  <c r="K32" i="1"/>
  <c r="T32" i="1" s="1"/>
  <c r="J32" i="1"/>
  <c r="S32" i="1" s="1"/>
  <c r="K31" i="1"/>
  <c r="T31" i="1" s="1"/>
  <c r="J31" i="1"/>
  <c r="S31" i="1" s="1"/>
  <c r="K30" i="1"/>
  <c r="T30" i="1" s="1"/>
  <c r="J30" i="1"/>
  <c r="S30" i="1" s="1"/>
  <c r="K29" i="1"/>
  <c r="J29" i="1"/>
  <c r="Q12" i="1"/>
  <c r="Q16" i="1"/>
  <c r="Q17" i="1"/>
  <c r="Q19" i="1"/>
  <c r="Q21" i="1"/>
  <c r="Q22" i="1"/>
  <c r="Q18" i="1"/>
  <c r="N8" i="1"/>
  <c r="O8" i="1"/>
  <c r="N9" i="1"/>
  <c r="O9" i="1"/>
  <c r="N10" i="1"/>
  <c r="O10" i="1"/>
  <c r="N11" i="1"/>
  <c r="O11" i="1"/>
  <c r="N12" i="1"/>
  <c r="O12" i="1"/>
  <c r="N13" i="1"/>
  <c r="O13" i="1"/>
  <c r="N15" i="1"/>
  <c r="O15" i="1"/>
  <c r="N16" i="1"/>
  <c r="O16" i="1"/>
  <c r="N17" i="1"/>
  <c r="O17" i="1"/>
  <c r="N19" i="1"/>
  <c r="O19" i="1"/>
  <c r="N21" i="1"/>
  <c r="O21" i="1"/>
  <c r="N22" i="1"/>
  <c r="O22" i="1"/>
  <c r="N14" i="1"/>
  <c r="O14" i="1"/>
  <c r="N18" i="1"/>
  <c r="O18" i="1"/>
  <c r="N20" i="1"/>
  <c r="O20" i="1"/>
  <c r="O7" i="1"/>
  <c r="N7" i="1"/>
  <c r="J20" i="1"/>
  <c r="K20" i="1"/>
  <c r="J8" i="1"/>
  <c r="K8" i="1"/>
  <c r="J9" i="1"/>
  <c r="K9" i="1"/>
  <c r="J10" i="1"/>
  <c r="K10" i="1"/>
  <c r="J11" i="1"/>
  <c r="K11" i="1"/>
  <c r="J12" i="1"/>
  <c r="K12" i="1"/>
  <c r="J13" i="1"/>
  <c r="K13" i="1"/>
  <c r="J15" i="1"/>
  <c r="K15" i="1"/>
  <c r="J16" i="1"/>
  <c r="K16" i="1"/>
  <c r="J17" i="1"/>
  <c r="K17" i="1"/>
  <c r="J19" i="1"/>
  <c r="K19" i="1"/>
  <c r="J21" i="1"/>
  <c r="K21" i="1"/>
  <c r="J22" i="1"/>
  <c r="K22" i="1"/>
  <c r="J14" i="1"/>
  <c r="K14" i="1"/>
  <c r="J18" i="1"/>
  <c r="K18" i="1"/>
  <c r="K7" i="1"/>
  <c r="J7" i="1"/>
  <c r="R6" i="3" l="1"/>
  <c r="S29" i="3"/>
  <c r="S33" i="3"/>
  <c r="S30" i="3"/>
  <c r="R5" i="3"/>
  <c r="S5" i="3"/>
  <c r="S9" i="3"/>
  <c r="S12" i="3"/>
  <c r="S15" i="3"/>
  <c r="S18" i="3"/>
  <c r="R30" i="3"/>
  <c r="R33" i="3"/>
  <c r="S36" i="3"/>
  <c r="R43" i="3"/>
  <c r="R40" i="3"/>
  <c r="S43" i="3"/>
  <c r="R13" i="3"/>
  <c r="R37" i="3"/>
  <c r="S40" i="3"/>
  <c r="R7" i="3"/>
  <c r="S7" i="3"/>
  <c r="R10" i="3"/>
  <c r="S13" i="3"/>
  <c r="R16" i="3"/>
  <c r="S19" i="3"/>
  <c r="T37" i="1"/>
  <c r="T36" i="1"/>
  <c r="S37" i="1"/>
  <c r="S29" i="1"/>
  <c r="R31" i="3"/>
  <c r="R34" i="3"/>
  <c r="S37" i="3"/>
  <c r="S31" i="3"/>
  <c r="S34" i="3"/>
  <c r="R41" i="3"/>
  <c r="R38" i="3"/>
  <c r="S41" i="3"/>
  <c r="R42" i="3"/>
  <c r="R39" i="3"/>
  <c r="S42" i="3"/>
  <c r="R36" i="3"/>
  <c r="S39" i="3"/>
  <c r="S17" i="3"/>
  <c r="R19" i="3"/>
  <c r="S8" i="3"/>
  <c r="S10" i="3"/>
  <c r="S16" i="3"/>
  <c r="R8" i="3"/>
  <c r="R11" i="3"/>
  <c r="R14" i="3"/>
  <c r="R17" i="3"/>
  <c r="S6" i="3"/>
  <c r="R9" i="3"/>
  <c r="R12" i="3"/>
  <c r="R15" i="3"/>
  <c r="R18" i="3"/>
  <c r="S11" i="3"/>
  <c r="S14" i="3"/>
  <c r="S44" i="1"/>
  <c r="S34" i="1"/>
  <c r="T34" i="1"/>
  <c r="S35" i="1"/>
  <c r="T29" i="1"/>
  <c r="R16" i="1"/>
  <c r="S20" i="1"/>
  <c r="S7" i="1"/>
  <c r="R13" i="1"/>
  <c r="S13" i="1"/>
  <c r="R18" i="1"/>
  <c r="R10" i="1"/>
  <c r="S18" i="1"/>
  <c r="R12" i="1"/>
  <c r="S9" i="1"/>
  <c r="S19" i="1"/>
  <c r="R19" i="1"/>
  <c r="R9" i="1"/>
  <c r="S14" i="1"/>
  <c r="S22" i="1"/>
  <c r="S10" i="1"/>
  <c r="S17" i="1"/>
  <c r="S8" i="1"/>
  <c r="R14" i="1"/>
  <c r="S21" i="1"/>
  <c r="R17" i="1"/>
  <c r="R8" i="1"/>
  <c r="R7" i="1"/>
  <c r="S16" i="1"/>
  <c r="R22" i="1"/>
  <c r="S11" i="1"/>
  <c r="R21" i="1"/>
  <c r="S15" i="1"/>
  <c r="S12" i="1"/>
  <c r="R11" i="1"/>
  <c r="R20" i="1"/>
  <c r="R15" i="1"/>
</calcChain>
</file>

<file path=xl/sharedStrings.xml><?xml version="1.0" encoding="utf-8"?>
<sst xmlns="http://schemas.openxmlformats.org/spreadsheetml/2006/main" count="118" uniqueCount="18">
  <si>
    <t>PT</t>
  </si>
  <si>
    <t>X</t>
  </si>
  <si>
    <t>Y</t>
  </si>
  <si>
    <t>Z</t>
  </si>
  <si>
    <t>2014 (reference)</t>
  </si>
  <si>
    <t>dx/dy (mm)</t>
  </si>
  <si>
    <t>dx/dy (dao)</t>
  </si>
  <si>
    <t>base vecteur</t>
  </si>
  <si>
    <t>pointe vecteur</t>
  </si>
  <si>
    <t>SYSTÈME CC49</t>
  </si>
  <si>
    <t>SYSTÈME DAO</t>
  </si>
  <si>
    <t>2023.05 (reference)</t>
  </si>
  <si>
    <t xml:space="preserve">CONVERSION CHARTRAIN </t>
  </si>
  <si>
    <t>dy</t>
  </si>
  <si>
    <t>pt</t>
  </si>
  <si>
    <t>x</t>
  </si>
  <si>
    <t>y</t>
  </si>
  <si>
    <t>BARRAGE ROUCHAIN SYSTÈME CC49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</si>
</sst>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3980-9262-45B0-A50B-1A9E5955A8CE}">
  <dimension ref="A1:U45"/>
  <sheetViews>
    <sheetView workbookViewId="0">
      <selection activeCell="G5" sqref="G5:S6"/>
    </sheetView>
  </sheetViews>
  <sheetFormatPr baseColWidth="10" defaultRowHeight="15" x14ac:dyDescent="0.25"/>
  <cols>
    <col min="1" max="2" width="11.42578125" style="1"/>
    <col min="3" max="4" width="11.42578125" style="2"/>
    <col min="5" max="20" width="11.42578125" style="1"/>
    <col min="21" max="21" width="11.42578125" style="6"/>
    <col min="22" max="16384" width="11.42578125" style="1"/>
  </cols>
  <sheetData>
    <row r="1" spans="1:21" x14ac:dyDescent="0.25">
      <c r="A1" s="6"/>
      <c r="B1" s="6"/>
      <c r="C1" s="7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1" ht="23.25" x14ac:dyDescent="0.25">
      <c r="A2" s="6"/>
      <c r="B2" s="8" t="s">
        <v>12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x14ac:dyDescent="0.25">
      <c r="A3" s="6"/>
      <c r="B3" s="6"/>
      <c r="C3" s="7"/>
      <c r="D3" s="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1" x14ac:dyDescent="0.25">
      <c r="A4" s="6"/>
      <c r="B4" s="5" t="s">
        <v>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1" ht="18.75" x14ac:dyDescent="0.25">
      <c r="A5" s="6"/>
      <c r="B5" s="25" t="s">
        <v>4</v>
      </c>
      <c r="C5" s="25"/>
      <c r="D5" s="25"/>
      <c r="E5" s="25"/>
      <c r="F5" s="12"/>
      <c r="G5" s="25" t="s">
        <v>5</v>
      </c>
      <c r="H5" s="25"/>
      <c r="I5" s="12"/>
      <c r="J5" s="25" t="s">
        <v>6</v>
      </c>
      <c r="K5" s="25"/>
      <c r="L5" s="12"/>
      <c r="M5" s="25" t="s">
        <v>7</v>
      </c>
      <c r="N5" s="25"/>
      <c r="O5" s="25"/>
      <c r="P5" s="12"/>
      <c r="Q5" s="25" t="s">
        <v>8</v>
      </c>
      <c r="R5" s="25"/>
      <c r="S5" s="25"/>
    </row>
    <row r="6" spans="1:21" x14ac:dyDescent="0.25">
      <c r="A6" s="6"/>
      <c r="B6" s="15" t="s">
        <v>0</v>
      </c>
      <c r="C6" s="16" t="s">
        <v>1</v>
      </c>
      <c r="D6" s="16" t="s">
        <v>2</v>
      </c>
      <c r="E6" s="15" t="s">
        <v>3</v>
      </c>
      <c r="F6" s="13"/>
      <c r="G6" s="19" t="s">
        <v>5</v>
      </c>
      <c r="H6" s="19" t="s">
        <v>13</v>
      </c>
      <c r="I6" s="11"/>
      <c r="J6" s="21" t="s">
        <v>6</v>
      </c>
      <c r="K6" s="21"/>
      <c r="L6" s="11"/>
      <c r="M6" s="19" t="s">
        <v>14</v>
      </c>
      <c r="N6" s="19" t="s">
        <v>15</v>
      </c>
      <c r="O6" s="19" t="s">
        <v>16</v>
      </c>
      <c r="P6" s="11"/>
      <c r="Q6" s="19" t="s">
        <v>14</v>
      </c>
      <c r="R6" s="19" t="s">
        <v>15</v>
      </c>
      <c r="S6" s="19" t="s">
        <v>16</v>
      </c>
      <c r="T6" s="11"/>
      <c r="U6" s="14"/>
    </row>
    <row r="7" spans="1:21" x14ac:dyDescent="0.25">
      <c r="A7" s="6"/>
      <c r="B7" s="17">
        <v>11</v>
      </c>
      <c r="C7" s="18">
        <v>12038.46</v>
      </c>
      <c r="D7" s="18">
        <v>20201.61</v>
      </c>
      <c r="E7" s="17">
        <v>0</v>
      </c>
      <c r="F7" s="9">
        <v>11</v>
      </c>
      <c r="G7" s="20">
        <v>0.49999981092696544</v>
      </c>
      <c r="H7" s="20">
        <v>-2.7000003319699317</v>
      </c>
      <c r="I7" s="9"/>
      <c r="J7" s="22">
        <f t="shared" ref="J7:J22" si="0">G7*10</f>
        <v>4.9999981092696544</v>
      </c>
      <c r="K7" s="22">
        <f t="shared" ref="K7:K22" si="1">H7*10</f>
        <v>-27.000003319699317</v>
      </c>
      <c r="L7" s="10"/>
      <c r="M7" s="23" t="str">
        <f>B7&amp;".1"</f>
        <v>11.1</v>
      </c>
      <c r="N7" s="24">
        <f>C7</f>
        <v>12038.46</v>
      </c>
      <c r="O7" s="24">
        <f>D7</f>
        <v>20201.61</v>
      </c>
      <c r="P7" s="10"/>
      <c r="Q7" s="23">
        <f t="shared" ref="Q7:Q22" si="2">M7+0.1</f>
        <v>11.2</v>
      </c>
      <c r="R7" s="24">
        <f>N7+J7</f>
        <v>12043.459998109269</v>
      </c>
      <c r="S7" s="24">
        <f>O7+K7</f>
        <v>20174.609996680301</v>
      </c>
      <c r="T7" s="2"/>
    </row>
    <row r="8" spans="1:21" x14ac:dyDescent="0.25">
      <c r="A8" s="6"/>
      <c r="B8" s="17">
        <v>21</v>
      </c>
      <c r="C8" s="18">
        <v>12061.2</v>
      </c>
      <c r="D8" s="18">
        <v>20205.09</v>
      </c>
      <c r="E8" s="17">
        <v>0</v>
      </c>
      <c r="F8" s="9">
        <v>21</v>
      </c>
      <c r="G8" s="20">
        <v>-0.69999994957470335</v>
      </c>
      <c r="H8" s="20">
        <v>-3.5999998290208168</v>
      </c>
      <c r="I8" s="9"/>
      <c r="J8" s="22">
        <f t="shared" si="0"/>
        <v>-6.9999994957470335</v>
      </c>
      <c r="K8" s="22">
        <f t="shared" si="1"/>
        <v>-35.999998290208168</v>
      </c>
      <c r="L8" s="10"/>
      <c r="M8" s="23" t="str">
        <f>B8&amp;".1"</f>
        <v>21.1</v>
      </c>
      <c r="N8" s="24">
        <f>C8</f>
        <v>12061.2</v>
      </c>
      <c r="O8" s="24">
        <f>D8</f>
        <v>20205.09</v>
      </c>
      <c r="P8" s="10"/>
      <c r="Q8" s="23">
        <f t="shared" si="2"/>
        <v>21.200000000000003</v>
      </c>
      <c r="R8" s="24">
        <f>N8+J8</f>
        <v>12054.200000504254</v>
      </c>
      <c r="S8" s="24">
        <f>O8+K8</f>
        <v>20169.090001709792</v>
      </c>
      <c r="T8" s="2"/>
    </row>
    <row r="9" spans="1:21" x14ac:dyDescent="0.25">
      <c r="A9" s="6"/>
      <c r="B9" s="17">
        <v>22</v>
      </c>
      <c r="C9" s="18">
        <v>12062.08</v>
      </c>
      <c r="D9" s="18">
        <v>20196.77</v>
      </c>
      <c r="E9" s="17">
        <v>0</v>
      </c>
      <c r="F9" s="9">
        <v>22</v>
      </c>
      <c r="G9" s="20">
        <v>1.499999994848622</v>
      </c>
      <c r="H9" s="20">
        <v>-3.399999226530781</v>
      </c>
      <c r="I9" s="9"/>
      <c r="J9" s="22">
        <f t="shared" si="0"/>
        <v>14.99999994848622</v>
      </c>
      <c r="K9" s="22">
        <f t="shared" si="1"/>
        <v>-33.99999226530781</v>
      </c>
      <c r="L9" s="10"/>
      <c r="M9" s="23" t="str">
        <f>B9&amp;".1"</f>
        <v>22.1</v>
      </c>
      <c r="N9" s="24">
        <f>C9</f>
        <v>12062.08</v>
      </c>
      <c r="O9" s="24">
        <f>D9</f>
        <v>20196.77</v>
      </c>
      <c r="P9" s="10"/>
      <c r="Q9" s="23">
        <f t="shared" si="2"/>
        <v>22.200000000000003</v>
      </c>
      <c r="R9" s="24">
        <f>N9+J9</f>
        <v>12077.079999948486</v>
      </c>
      <c r="S9" s="24">
        <f>O9+K9</f>
        <v>20162.770007734693</v>
      </c>
      <c r="T9" s="2"/>
    </row>
    <row r="10" spans="1:21" x14ac:dyDescent="0.25">
      <c r="A10" s="6"/>
      <c r="B10" s="17">
        <v>31</v>
      </c>
      <c r="C10" s="18">
        <v>12091.51</v>
      </c>
      <c r="D10" s="18">
        <v>20207.64</v>
      </c>
      <c r="E10" s="17">
        <v>0</v>
      </c>
      <c r="F10" s="9">
        <v>31</v>
      </c>
      <c r="G10" s="20">
        <v>-1.6999997988023097</v>
      </c>
      <c r="H10" s="20">
        <v>-4.3000001714972313</v>
      </c>
      <c r="I10" s="9"/>
      <c r="J10" s="22">
        <f t="shared" si="0"/>
        <v>-16.999997988023097</v>
      </c>
      <c r="K10" s="22">
        <f t="shared" si="1"/>
        <v>-43.000001714972313</v>
      </c>
      <c r="L10" s="10"/>
      <c r="M10" s="23" t="str">
        <f>B10&amp;".1"</f>
        <v>31.1</v>
      </c>
      <c r="N10" s="24">
        <f>C10</f>
        <v>12091.51</v>
      </c>
      <c r="O10" s="24">
        <f>D10</f>
        <v>20207.64</v>
      </c>
      <c r="P10" s="10"/>
      <c r="Q10" s="23">
        <f t="shared" si="2"/>
        <v>31.200000000000003</v>
      </c>
      <c r="R10" s="24">
        <f>N10+J10</f>
        <v>12074.510002011977</v>
      </c>
      <c r="S10" s="24">
        <f>O10+K10</f>
        <v>20164.639998285027</v>
      </c>
      <c r="T10" s="2"/>
    </row>
    <row r="11" spans="1:21" x14ac:dyDescent="0.25">
      <c r="A11" s="6"/>
      <c r="B11" s="17">
        <v>32</v>
      </c>
      <c r="C11" s="18">
        <v>12091.81</v>
      </c>
      <c r="D11" s="18">
        <v>20199.310000000001</v>
      </c>
      <c r="E11" s="17">
        <v>0</v>
      </c>
      <c r="F11" s="9">
        <v>32</v>
      </c>
      <c r="G11" s="20">
        <v>-2.0008883439004421E-8</v>
      </c>
      <c r="H11" s="20">
        <v>-1.8999991589225829</v>
      </c>
      <c r="I11" s="9"/>
      <c r="J11" s="22">
        <f t="shared" si="0"/>
        <v>-2.0008883439004421E-7</v>
      </c>
      <c r="K11" s="22">
        <f t="shared" si="1"/>
        <v>-18.999991589225829</v>
      </c>
      <c r="L11" s="10"/>
      <c r="M11" s="23" t="str">
        <f>B11&amp;".1"</f>
        <v>32.1</v>
      </c>
      <c r="N11" s="24">
        <f>C11</f>
        <v>12091.81</v>
      </c>
      <c r="O11" s="24">
        <f>D11</f>
        <v>20199.310000000001</v>
      </c>
      <c r="P11" s="10"/>
      <c r="Q11" s="23">
        <f t="shared" si="2"/>
        <v>32.200000000000003</v>
      </c>
      <c r="R11" s="24">
        <f>N11+J11</f>
        <v>12091.809999799911</v>
      </c>
      <c r="S11" s="24">
        <f>O11+K11</f>
        <v>20180.310008410775</v>
      </c>
      <c r="T11" s="2"/>
    </row>
    <row r="12" spans="1:21" x14ac:dyDescent="0.25">
      <c r="A12" s="6"/>
      <c r="B12" s="17">
        <v>33</v>
      </c>
      <c r="C12" s="18">
        <v>12092.36</v>
      </c>
      <c r="D12" s="18">
        <v>20190.37</v>
      </c>
      <c r="E12" s="17">
        <v>0</v>
      </c>
      <c r="F12" s="9">
        <v>33</v>
      </c>
      <c r="G12" s="20">
        <v>0.60000012490490917</v>
      </c>
      <c r="H12" s="20">
        <v>-1.7999997435254045</v>
      </c>
      <c r="I12" s="9"/>
      <c r="J12" s="22">
        <f t="shared" si="0"/>
        <v>6.0000012490490917</v>
      </c>
      <c r="K12" s="22">
        <f t="shared" si="1"/>
        <v>-17.999997435254045</v>
      </c>
      <c r="L12" s="10"/>
      <c r="M12" s="23" t="str">
        <f>B12&amp;".1"</f>
        <v>33.1</v>
      </c>
      <c r="N12" s="24">
        <f>C12</f>
        <v>12092.36</v>
      </c>
      <c r="O12" s="24">
        <f>D12</f>
        <v>20190.37</v>
      </c>
      <c r="P12" s="10"/>
      <c r="Q12" s="23">
        <f t="shared" si="2"/>
        <v>33.200000000000003</v>
      </c>
      <c r="R12" s="24">
        <f>N12+J12</f>
        <v>12098.36000124905</v>
      </c>
      <c r="S12" s="24">
        <f>O12+K12</f>
        <v>20172.370002564745</v>
      </c>
      <c r="T12" s="2"/>
    </row>
    <row r="13" spans="1:21" x14ac:dyDescent="0.25">
      <c r="A13" s="6"/>
      <c r="B13" s="17">
        <v>41</v>
      </c>
      <c r="C13" s="18">
        <v>12114.31</v>
      </c>
      <c r="D13" s="18">
        <v>20207.78</v>
      </c>
      <c r="E13" s="17">
        <v>0</v>
      </c>
      <c r="F13" s="9">
        <v>41</v>
      </c>
      <c r="G13" s="20">
        <v>-2.1000001579523087</v>
      </c>
      <c r="H13" s="20">
        <v>-5.1000005078094546</v>
      </c>
      <c r="I13" s="9"/>
      <c r="J13" s="22">
        <f t="shared" si="0"/>
        <v>-21.000001579523087</v>
      </c>
      <c r="K13" s="22">
        <f t="shared" si="1"/>
        <v>-51.000005078094546</v>
      </c>
      <c r="L13" s="10"/>
      <c r="M13" s="23" t="str">
        <f>B13&amp;".1"</f>
        <v>41.1</v>
      </c>
      <c r="N13" s="24">
        <f>C13</f>
        <v>12114.31</v>
      </c>
      <c r="O13" s="24">
        <f>D13</f>
        <v>20207.78</v>
      </c>
      <c r="P13" s="10"/>
      <c r="Q13" s="23">
        <f t="shared" si="2"/>
        <v>41.2</v>
      </c>
      <c r="R13" s="24">
        <f>N13+J13</f>
        <v>12093.309998420476</v>
      </c>
      <c r="S13" s="24">
        <f>O13+K13</f>
        <v>20156.779994921904</v>
      </c>
      <c r="T13" s="2"/>
    </row>
    <row r="14" spans="1:21" x14ac:dyDescent="0.25">
      <c r="A14" s="6"/>
      <c r="B14" s="17">
        <v>42</v>
      </c>
      <c r="C14" s="18">
        <v>12114.46</v>
      </c>
      <c r="D14" s="18">
        <v>20199.560000000001</v>
      </c>
      <c r="E14" s="17">
        <v>0</v>
      </c>
      <c r="F14" s="9">
        <v>42</v>
      </c>
      <c r="G14" s="20">
        <v>-0.69999995685066096</v>
      </c>
      <c r="H14" s="20">
        <v>-1.5000000857980922</v>
      </c>
      <c r="I14" s="9"/>
      <c r="J14" s="22">
        <f t="shared" si="0"/>
        <v>-6.9999995685066096</v>
      </c>
      <c r="K14" s="22">
        <f t="shared" si="1"/>
        <v>-15.000000857980922</v>
      </c>
      <c r="L14" s="10"/>
      <c r="M14" s="23" t="str">
        <f>B14&amp;".1"</f>
        <v>42.1</v>
      </c>
      <c r="N14" s="24">
        <f>C14</f>
        <v>12114.46</v>
      </c>
      <c r="O14" s="24">
        <f>D14</f>
        <v>20199.560000000001</v>
      </c>
      <c r="P14" s="10"/>
      <c r="Q14" s="23">
        <f t="shared" si="2"/>
        <v>42.2</v>
      </c>
      <c r="R14" s="24">
        <f>N14+J14</f>
        <v>12107.460000431493</v>
      </c>
      <c r="S14" s="24">
        <f>O14+K14</f>
        <v>20184.55999914202</v>
      </c>
      <c r="T14" s="2"/>
    </row>
    <row r="15" spans="1:21" x14ac:dyDescent="0.25">
      <c r="A15" s="6"/>
      <c r="B15" s="17">
        <v>43</v>
      </c>
      <c r="C15" s="18">
        <v>12114.21</v>
      </c>
      <c r="D15" s="18">
        <v>20190.46</v>
      </c>
      <c r="E15" s="17">
        <v>0</v>
      </c>
      <c r="F15" s="9">
        <v>43</v>
      </c>
      <c r="G15" s="20">
        <v>0.59999995573889464</v>
      </c>
      <c r="H15" s="20">
        <v>-0.50000034025288187</v>
      </c>
      <c r="I15" s="9"/>
      <c r="J15" s="22">
        <f t="shared" si="0"/>
        <v>5.9999995573889464</v>
      </c>
      <c r="K15" s="22">
        <f t="shared" si="1"/>
        <v>-5.0000034025288187</v>
      </c>
      <c r="L15" s="10"/>
      <c r="M15" s="23" t="str">
        <f>B15&amp;".1"</f>
        <v>43.1</v>
      </c>
      <c r="N15" s="24">
        <f>C15</f>
        <v>12114.21</v>
      </c>
      <c r="O15" s="24">
        <f>D15</f>
        <v>20190.46</v>
      </c>
      <c r="P15" s="10"/>
      <c r="Q15" s="23">
        <f t="shared" si="2"/>
        <v>43.2</v>
      </c>
      <c r="R15" s="24">
        <f>N15+J15</f>
        <v>12120.209999557388</v>
      </c>
      <c r="S15" s="24">
        <f>O15+K15</f>
        <v>20185.45999659747</v>
      </c>
      <c r="T15" s="2"/>
    </row>
    <row r="16" spans="1:21" x14ac:dyDescent="0.25">
      <c r="A16" s="6"/>
      <c r="B16" s="17">
        <v>44</v>
      </c>
      <c r="C16" s="18">
        <v>12113.95</v>
      </c>
      <c r="D16" s="18">
        <v>20180.75</v>
      </c>
      <c r="E16" s="17">
        <v>0</v>
      </c>
      <c r="F16" s="9">
        <v>44</v>
      </c>
      <c r="G16" s="20">
        <v>0.59999974291713443</v>
      </c>
      <c r="H16" s="20">
        <v>-0.69999991319491528</v>
      </c>
      <c r="I16" s="9"/>
      <c r="J16" s="22">
        <f t="shared" si="0"/>
        <v>5.9999974291713443</v>
      </c>
      <c r="K16" s="22">
        <f t="shared" si="1"/>
        <v>-6.9999991319491528</v>
      </c>
      <c r="L16" s="10"/>
      <c r="M16" s="23" t="str">
        <f>B16&amp;".1"</f>
        <v>44.1</v>
      </c>
      <c r="N16" s="24">
        <f>C16</f>
        <v>12113.95</v>
      </c>
      <c r="O16" s="24">
        <f>D16</f>
        <v>20180.75</v>
      </c>
      <c r="P16" s="10"/>
      <c r="Q16" s="23">
        <f t="shared" si="2"/>
        <v>44.2</v>
      </c>
      <c r="R16" s="24">
        <f>N16+J16</f>
        <v>12119.949997429172</v>
      </c>
      <c r="S16" s="24">
        <f>O16+K16</f>
        <v>20173.750000868051</v>
      </c>
      <c r="T16" s="2"/>
    </row>
    <row r="17" spans="1:20" x14ac:dyDescent="0.25">
      <c r="A17" s="6"/>
      <c r="B17" s="17">
        <v>51</v>
      </c>
      <c r="C17" s="18">
        <v>12137.14</v>
      </c>
      <c r="D17" s="18">
        <v>20206.89</v>
      </c>
      <c r="E17" s="17">
        <v>0</v>
      </c>
      <c r="F17" s="9">
        <v>51</v>
      </c>
      <c r="G17" s="20">
        <v>-1.3000001817999873</v>
      </c>
      <c r="H17" s="20">
        <v>-2.2000005155859981</v>
      </c>
      <c r="I17" s="9"/>
      <c r="J17" s="22">
        <f t="shared" si="0"/>
        <v>-13.000001817999873</v>
      </c>
      <c r="K17" s="22">
        <f t="shared" si="1"/>
        <v>-22.000005155859981</v>
      </c>
      <c r="L17" s="10"/>
      <c r="M17" s="23" t="str">
        <f>B17&amp;".1"</f>
        <v>51.1</v>
      </c>
      <c r="N17" s="24">
        <f>C17</f>
        <v>12137.14</v>
      </c>
      <c r="O17" s="24">
        <f>D17</f>
        <v>20206.89</v>
      </c>
      <c r="P17" s="10"/>
      <c r="Q17" s="23">
        <f t="shared" si="2"/>
        <v>51.2</v>
      </c>
      <c r="R17" s="24">
        <f>N17+J17</f>
        <v>12124.139998182</v>
      </c>
      <c r="S17" s="24">
        <f>O17+K17</f>
        <v>20184.889994844139</v>
      </c>
      <c r="T17" s="2"/>
    </row>
    <row r="18" spans="1:20" x14ac:dyDescent="0.25">
      <c r="A18" s="6"/>
      <c r="B18" s="17">
        <v>52</v>
      </c>
      <c r="C18" s="18">
        <v>12136.57</v>
      </c>
      <c r="D18" s="18">
        <v>20198.560000000001</v>
      </c>
      <c r="E18" s="17">
        <v>0</v>
      </c>
      <c r="F18" s="9">
        <v>52</v>
      </c>
      <c r="G18" s="20">
        <v>-9.9999981102882884E-2</v>
      </c>
      <c r="H18" s="20">
        <v>-0.70000008781789802</v>
      </c>
      <c r="I18" s="9"/>
      <c r="J18" s="22">
        <f t="shared" si="0"/>
        <v>-0.99999981102882884</v>
      </c>
      <c r="K18" s="22">
        <f t="shared" si="1"/>
        <v>-7.0000008781789802</v>
      </c>
      <c r="L18" s="10"/>
      <c r="M18" s="23" t="str">
        <f>B18&amp;".1"</f>
        <v>52.1</v>
      </c>
      <c r="N18" s="24">
        <f>C18</f>
        <v>12136.57</v>
      </c>
      <c r="O18" s="24">
        <f>D18</f>
        <v>20198.560000000001</v>
      </c>
      <c r="P18" s="10"/>
      <c r="Q18" s="23">
        <f t="shared" si="2"/>
        <v>52.2</v>
      </c>
      <c r="R18" s="24">
        <f>N18+J18</f>
        <v>12135.570000188971</v>
      </c>
      <c r="S18" s="24">
        <f>O18+K18</f>
        <v>20191.559999121822</v>
      </c>
      <c r="T18" s="2"/>
    </row>
    <row r="19" spans="1:20" x14ac:dyDescent="0.25">
      <c r="A19" s="6"/>
      <c r="B19" s="17">
        <v>53</v>
      </c>
      <c r="C19" s="18">
        <v>12135.99</v>
      </c>
      <c r="D19" s="18">
        <v>20189.57</v>
      </c>
      <c r="E19" s="17">
        <v>0</v>
      </c>
      <c r="F19" s="9">
        <v>53</v>
      </c>
      <c r="G19" s="20">
        <v>-0.10000002657761797</v>
      </c>
      <c r="H19" s="20">
        <v>-1.2000004207948223</v>
      </c>
      <c r="I19" s="9"/>
      <c r="J19" s="22">
        <f t="shared" si="0"/>
        <v>-1.0000002657761797</v>
      </c>
      <c r="K19" s="22">
        <f t="shared" si="1"/>
        <v>-12.000004207948223</v>
      </c>
      <c r="L19" s="10"/>
      <c r="M19" s="23" t="str">
        <f>B19&amp;".1"</f>
        <v>53.1</v>
      </c>
      <c r="N19" s="24">
        <f>C19</f>
        <v>12135.99</v>
      </c>
      <c r="O19" s="24">
        <f>D19</f>
        <v>20189.57</v>
      </c>
      <c r="P19" s="10"/>
      <c r="Q19" s="23">
        <f t="shared" si="2"/>
        <v>53.2</v>
      </c>
      <c r="R19" s="24">
        <f>N19+J19</f>
        <v>12134.989999734224</v>
      </c>
      <c r="S19" s="24">
        <f>O19+K19</f>
        <v>20177.569995792051</v>
      </c>
      <c r="T19" s="2"/>
    </row>
    <row r="20" spans="1:20" x14ac:dyDescent="0.25">
      <c r="A20" s="6"/>
      <c r="B20" s="17">
        <v>61</v>
      </c>
      <c r="C20" s="18">
        <v>12167.39</v>
      </c>
      <c r="D20" s="18">
        <v>20203.27</v>
      </c>
      <c r="E20" s="17">
        <v>0</v>
      </c>
      <c r="F20" s="9">
        <v>61</v>
      </c>
      <c r="G20" s="20">
        <v>0.1000001448119292</v>
      </c>
      <c r="H20" s="20">
        <v>-0.19999992218799889</v>
      </c>
      <c r="I20" s="9"/>
      <c r="J20" s="22">
        <f t="shared" si="0"/>
        <v>1.000001448119292</v>
      </c>
      <c r="K20" s="22">
        <f t="shared" si="1"/>
        <v>-1.9999992218799889</v>
      </c>
      <c r="L20" s="10"/>
      <c r="M20" s="23" t="str">
        <f>B20&amp;".1"</f>
        <v>61.1</v>
      </c>
      <c r="N20" s="24">
        <f>C20</f>
        <v>12167.39</v>
      </c>
      <c r="O20" s="24">
        <f>D20</f>
        <v>20203.27</v>
      </c>
      <c r="P20" s="10"/>
      <c r="Q20" s="23">
        <f t="shared" si="2"/>
        <v>61.2</v>
      </c>
      <c r="R20" s="24">
        <f>N20+J20</f>
        <v>12168.390001448119</v>
      </c>
      <c r="S20" s="24">
        <f>O20+K20</f>
        <v>20201.27000077812</v>
      </c>
      <c r="T20" s="2"/>
    </row>
    <row r="21" spans="1:20" x14ac:dyDescent="0.25">
      <c r="A21" s="6"/>
      <c r="B21" s="17">
        <v>63</v>
      </c>
      <c r="C21" s="18">
        <v>12166.24</v>
      </c>
      <c r="D21" s="18">
        <v>20195.03</v>
      </c>
      <c r="E21" s="17">
        <v>0</v>
      </c>
      <c r="F21" s="9">
        <v>63</v>
      </c>
      <c r="G21" s="20">
        <v>-0.40000021908781491</v>
      </c>
      <c r="H21" s="20">
        <v>1.1999993148492649</v>
      </c>
      <c r="I21" s="9"/>
      <c r="J21" s="22">
        <f t="shared" si="0"/>
        <v>-4.0000021908781491</v>
      </c>
      <c r="K21" s="22">
        <f t="shared" si="1"/>
        <v>11.999993148492649</v>
      </c>
      <c r="L21" s="10"/>
      <c r="M21" s="23" t="str">
        <f>B21&amp;".1"</f>
        <v>63.1</v>
      </c>
      <c r="N21" s="24">
        <f>C21</f>
        <v>12166.24</v>
      </c>
      <c r="O21" s="24">
        <f>D21</f>
        <v>20195.03</v>
      </c>
      <c r="P21" s="10"/>
      <c r="Q21" s="23">
        <f t="shared" si="2"/>
        <v>63.2</v>
      </c>
      <c r="R21" s="24">
        <f>N21+J21</f>
        <v>12162.239997809122</v>
      </c>
      <c r="S21" s="24">
        <f>O21+K21</f>
        <v>20207.029993148491</v>
      </c>
      <c r="T21" s="2"/>
    </row>
    <row r="22" spans="1:20" x14ac:dyDescent="0.25">
      <c r="A22" s="6"/>
      <c r="B22" s="17">
        <v>72</v>
      </c>
      <c r="C22" s="18">
        <v>12189.69</v>
      </c>
      <c r="D22" s="18">
        <v>20199.37</v>
      </c>
      <c r="E22" s="17">
        <v>0</v>
      </c>
      <c r="F22" s="9">
        <v>72</v>
      </c>
      <c r="G22" s="20">
        <v>0.79999983063316904</v>
      </c>
      <c r="H22" s="20">
        <v>-0.90000008640345186</v>
      </c>
      <c r="I22" s="9"/>
      <c r="J22" s="22">
        <f t="shared" si="0"/>
        <v>7.9999983063316904</v>
      </c>
      <c r="K22" s="22">
        <f t="shared" si="1"/>
        <v>-9.0000008640345186</v>
      </c>
      <c r="L22" s="10"/>
      <c r="M22" s="23" t="str">
        <f>B22&amp;".1"</f>
        <v>72.1</v>
      </c>
      <c r="N22" s="24">
        <f>C22</f>
        <v>12189.69</v>
      </c>
      <c r="O22" s="24">
        <f>D22</f>
        <v>20199.37</v>
      </c>
      <c r="P22" s="10"/>
      <c r="Q22" s="23">
        <f t="shared" si="2"/>
        <v>72.199999999999989</v>
      </c>
      <c r="R22" s="24">
        <f>N22+J22</f>
        <v>12197.689998306332</v>
      </c>
      <c r="S22" s="24">
        <f>O22+K22</f>
        <v>20190.369999135964</v>
      </c>
      <c r="T22" s="2"/>
    </row>
    <row r="23" spans="1:20" x14ac:dyDescent="0.25">
      <c r="A23" s="6"/>
    </row>
    <row r="24" spans="1:2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25">
      <c r="A25" s="6"/>
    </row>
    <row r="26" spans="1:20" x14ac:dyDescent="0.25">
      <c r="A26" s="6"/>
      <c r="B26" s="5" t="s">
        <v>10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x14ac:dyDescent="0.25">
      <c r="A27" s="6"/>
      <c r="B27" s="5" t="s">
        <v>4</v>
      </c>
      <c r="C27" s="5"/>
      <c r="D27" s="5"/>
      <c r="E27" s="5"/>
      <c r="G27" s="5" t="s">
        <v>5</v>
      </c>
      <c r="H27" s="5"/>
      <c r="J27" s="5" t="s">
        <v>6</v>
      </c>
      <c r="K27" s="5"/>
      <c r="N27" s="5" t="s">
        <v>7</v>
      </c>
      <c r="O27" s="5"/>
      <c r="P27" s="5"/>
      <c r="R27" s="5" t="s">
        <v>8</v>
      </c>
      <c r="S27" s="5"/>
      <c r="T27" s="5"/>
    </row>
    <row r="28" spans="1:20" x14ac:dyDescent="0.25">
      <c r="A28" s="6"/>
      <c r="B28" s="1" t="s">
        <v>0</v>
      </c>
      <c r="C28" s="2" t="s">
        <v>1</v>
      </c>
      <c r="D28" s="2" t="s">
        <v>2</v>
      </c>
      <c r="E28" s="1" t="s">
        <v>3</v>
      </c>
    </row>
    <row r="29" spans="1:20" x14ac:dyDescent="0.25">
      <c r="A29" s="6"/>
      <c r="B29" s="1">
        <v>11</v>
      </c>
      <c r="C29" s="2">
        <v>-35.957000000000001</v>
      </c>
      <c r="D29" s="2">
        <v>-193.245</v>
      </c>
      <c r="E29" s="1">
        <v>0</v>
      </c>
      <c r="G29" s="3">
        <v>0.49999981092696544</v>
      </c>
      <c r="H29" s="3">
        <v>-2.7000003319699317</v>
      </c>
      <c r="J29" s="4">
        <f t="shared" ref="J29:J44" si="3">G29*10</f>
        <v>4.9999981092696544</v>
      </c>
      <c r="K29" s="4">
        <f t="shared" ref="K29:K44" si="4">H29*10</f>
        <v>-27.000003319699317</v>
      </c>
      <c r="N29" s="1" t="str">
        <f>B29&amp;".1"</f>
        <v>11.1</v>
      </c>
      <c r="O29" s="2">
        <f t="shared" ref="O29:O44" si="5">C29</f>
        <v>-35.957000000000001</v>
      </c>
      <c r="P29" s="2">
        <f t="shared" ref="P29:P44" si="6">D29</f>
        <v>-193.245</v>
      </c>
      <c r="R29" s="1">
        <f t="shared" ref="R29:R44" si="7">N29+0.1</f>
        <v>11.2</v>
      </c>
      <c r="S29" s="2">
        <f t="shared" ref="S29:S44" si="8">O29+J29</f>
        <v>-30.957001890730346</v>
      </c>
      <c r="T29" s="2">
        <f t="shared" ref="T29:T44" si="9">P29+K29</f>
        <v>-220.24500331969932</v>
      </c>
    </row>
    <row r="30" spans="1:20" x14ac:dyDescent="0.25">
      <c r="A30" s="6"/>
      <c r="B30" s="1">
        <v>21</v>
      </c>
      <c r="C30" s="2">
        <v>-27.001000000000001</v>
      </c>
      <c r="D30" s="2">
        <v>-172.05500000000001</v>
      </c>
      <c r="E30" s="1">
        <v>0</v>
      </c>
      <c r="G30" s="3">
        <v>-0.69999994957470335</v>
      </c>
      <c r="H30" s="3">
        <v>-3.5999998290208168</v>
      </c>
      <c r="J30" s="4">
        <f t="shared" si="3"/>
        <v>-6.9999994957470335</v>
      </c>
      <c r="K30" s="4">
        <f t="shared" si="4"/>
        <v>-35.999998290208168</v>
      </c>
      <c r="N30" s="1" t="str">
        <f t="shared" ref="N30:N44" si="10">B30&amp;".1"</f>
        <v>21.1</v>
      </c>
      <c r="O30" s="2">
        <f t="shared" si="5"/>
        <v>-27.001000000000001</v>
      </c>
      <c r="P30" s="2">
        <f t="shared" si="6"/>
        <v>-172.05500000000001</v>
      </c>
      <c r="R30" s="1">
        <f t="shared" si="7"/>
        <v>21.200000000000003</v>
      </c>
      <c r="S30" s="2">
        <f t="shared" si="8"/>
        <v>-34.000999495747038</v>
      </c>
      <c r="T30" s="2">
        <f t="shared" si="9"/>
        <v>-208.05499829020818</v>
      </c>
    </row>
    <row r="31" spans="1:20" x14ac:dyDescent="0.25">
      <c r="A31" s="6"/>
      <c r="B31" s="1">
        <v>22</v>
      </c>
      <c r="C31" s="2">
        <v>-19.452000000000002</v>
      </c>
      <c r="D31" s="2">
        <v>-175.66900000000001</v>
      </c>
      <c r="E31" s="1">
        <v>0</v>
      </c>
      <c r="G31" s="3">
        <v>1.499999994848622</v>
      </c>
      <c r="H31" s="3">
        <v>-3.399999226530781</v>
      </c>
      <c r="J31" s="4">
        <f t="shared" si="3"/>
        <v>14.99999994848622</v>
      </c>
      <c r="K31" s="4">
        <f t="shared" si="4"/>
        <v>-33.99999226530781</v>
      </c>
      <c r="N31" s="1" t="str">
        <f t="shared" si="10"/>
        <v>22.1</v>
      </c>
      <c r="O31" s="2">
        <f t="shared" si="5"/>
        <v>-19.452000000000002</v>
      </c>
      <c r="P31" s="2">
        <f t="shared" si="6"/>
        <v>-175.66900000000001</v>
      </c>
      <c r="R31" s="1">
        <f t="shared" si="7"/>
        <v>22.200000000000003</v>
      </c>
      <c r="S31" s="2">
        <f t="shared" si="8"/>
        <v>-4.4520000515137816</v>
      </c>
      <c r="T31" s="2">
        <f t="shared" si="9"/>
        <v>-209.66899226530782</v>
      </c>
    </row>
    <row r="32" spans="1:20" x14ac:dyDescent="0.25">
      <c r="A32" s="6"/>
      <c r="B32" s="1">
        <v>31</v>
      </c>
      <c r="C32" s="2">
        <v>-13.28</v>
      </c>
      <c r="D32" s="2">
        <v>-144.90899999999999</v>
      </c>
      <c r="E32" s="1">
        <v>0</v>
      </c>
      <c r="G32" s="3">
        <v>-1.6999997988023097</v>
      </c>
      <c r="H32" s="3">
        <v>-4.3000001714972313</v>
      </c>
      <c r="J32" s="4">
        <f t="shared" si="3"/>
        <v>-16.999997988023097</v>
      </c>
      <c r="K32" s="4">
        <f t="shared" si="4"/>
        <v>-43.000001714972313</v>
      </c>
      <c r="N32" s="1" t="str">
        <f t="shared" si="10"/>
        <v>31.1</v>
      </c>
      <c r="O32" s="2">
        <f t="shared" si="5"/>
        <v>-13.28</v>
      </c>
      <c r="P32" s="2">
        <f t="shared" si="6"/>
        <v>-144.90899999999999</v>
      </c>
      <c r="R32" s="1">
        <f t="shared" si="7"/>
        <v>31.200000000000003</v>
      </c>
      <c r="S32" s="2">
        <f t="shared" si="8"/>
        <v>-30.279997988023098</v>
      </c>
      <c r="T32" s="2">
        <f t="shared" si="9"/>
        <v>-187.90900171497231</v>
      </c>
    </row>
    <row r="33" spans="1:20" x14ac:dyDescent="0.25">
      <c r="A33" s="6"/>
      <c r="B33" s="1">
        <v>32</v>
      </c>
      <c r="C33" s="2">
        <v>-6.0289999999999999</v>
      </c>
      <c r="D33" s="2">
        <v>-149.02099999999999</v>
      </c>
      <c r="E33" s="1">
        <v>0</v>
      </c>
      <c r="G33" s="3">
        <v>-2.0008883439004421E-8</v>
      </c>
      <c r="H33" s="3">
        <v>-1.8999991589225829</v>
      </c>
      <c r="J33" s="4">
        <f t="shared" si="3"/>
        <v>-2.0008883439004421E-7</v>
      </c>
      <c r="K33" s="4">
        <f t="shared" si="4"/>
        <v>-18.999991589225829</v>
      </c>
      <c r="N33" s="1" t="str">
        <f t="shared" si="10"/>
        <v>32.1</v>
      </c>
      <c r="O33" s="2">
        <f t="shared" si="5"/>
        <v>-6.0289999999999999</v>
      </c>
      <c r="P33" s="2">
        <f t="shared" si="6"/>
        <v>-149.02099999999999</v>
      </c>
      <c r="R33" s="1">
        <f t="shared" si="7"/>
        <v>32.200000000000003</v>
      </c>
      <c r="S33" s="2">
        <f t="shared" si="8"/>
        <v>-6.0290002000888343</v>
      </c>
      <c r="T33" s="2">
        <f t="shared" si="9"/>
        <v>-168.02099158922582</v>
      </c>
    </row>
    <row r="34" spans="1:20" x14ac:dyDescent="0.25">
      <c r="A34" s="6"/>
      <c r="B34" s="1">
        <v>33</v>
      </c>
      <c r="C34" s="2">
        <v>1.8720000000000001</v>
      </c>
      <c r="D34" s="2">
        <v>-153.239</v>
      </c>
      <c r="E34" s="1">
        <v>0</v>
      </c>
      <c r="G34" s="3">
        <v>0.60000012490490917</v>
      </c>
      <c r="H34" s="3">
        <v>-1.7999997435254045</v>
      </c>
      <c r="J34" s="4">
        <f t="shared" si="3"/>
        <v>6.0000012490490917</v>
      </c>
      <c r="K34" s="4">
        <f t="shared" si="4"/>
        <v>-17.999997435254045</v>
      </c>
      <c r="N34" s="1" t="str">
        <f t="shared" si="10"/>
        <v>33.1</v>
      </c>
      <c r="O34" s="2">
        <f t="shared" si="5"/>
        <v>1.8720000000000001</v>
      </c>
      <c r="P34" s="2">
        <f t="shared" si="6"/>
        <v>-153.239</v>
      </c>
      <c r="R34" s="1">
        <f t="shared" si="7"/>
        <v>33.200000000000003</v>
      </c>
      <c r="S34" s="2">
        <f t="shared" si="8"/>
        <v>7.8720012490490916</v>
      </c>
      <c r="T34" s="2">
        <f t="shared" si="9"/>
        <v>-171.23899743525405</v>
      </c>
    </row>
    <row r="35" spans="1:20" x14ac:dyDescent="0.25">
      <c r="A35" s="6"/>
      <c r="B35" s="1">
        <v>41</v>
      </c>
      <c r="C35" s="2">
        <v>-1.446</v>
      </c>
      <c r="D35" s="2">
        <v>-125.42</v>
      </c>
      <c r="E35" s="1">
        <v>0</v>
      </c>
      <c r="G35" s="3">
        <v>-2.1000001579523087</v>
      </c>
      <c r="H35" s="3">
        <v>-5.1000005078094546</v>
      </c>
      <c r="J35" s="4">
        <f t="shared" si="3"/>
        <v>-21.000001579523087</v>
      </c>
      <c r="K35" s="4">
        <f t="shared" si="4"/>
        <v>-51.000005078094546</v>
      </c>
      <c r="N35" s="1" t="str">
        <f t="shared" si="10"/>
        <v>41.1</v>
      </c>
      <c r="O35" s="2">
        <f t="shared" si="5"/>
        <v>-1.446</v>
      </c>
      <c r="P35" s="2">
        <f t="shared" si="6"/>
        <v>-125.42</v>
      </c>
      <c r="R35" s="1">
        <f t="shared" si="7"/>
        <v>41.2</v>
      </c>
      <c r="S35" s="2">
        <f t="shared" si="8"/>
        <v>-22.446001579523088</v>
      </c>
      <c r="T35" s="2">
        <f t="shared" si="9"/>
        <v>-176.42000507809456</v>
      </c>
    </row>
    <row r="36" spans="1:20" x14ac:dyDescent="0.25">
      <c r="A36" s="6"/>
      <c r="B36" s="1">
        <v>42</v>
      </c>
      <c r="C36" s="2">
        <v>5.633</v>
      </c>
      <c r="D36" s="2">
        <v>-129.602</v>
      </c>
      <c r="E36" s="1">
        <v>0</v>
      </c>
      <c r="G36" s="3">
        <v>-0.69999995685066096</v>
      </c>
      <c r="H36" s="3">
        <v>-1.5000000857980922</v>
      </c>
      <c r="J36" s="4">
        <f t="shared" si="3"/>
        <v>-6.9999995685066096</v>
      </c>
      <c r="K36" s="4">
        <f t="shared" si="4"/>
        <v>-15.000000857980922</v>
      </c>
      <c r="N36" s="1" t="str">
        <f t="shared" si="10"/>
        <v>42.1</v>
      </c>
      <c r="O36" s="2">
        <f t="shared" si="5"/>
        <v>5.633</v>
      </c>
      <c r="P36" s="2">
        <f t="shared" si="6"/>
        <v>-129.602</v>
      </c>
      <c r="R36" s="1">
        <f t="shared" si="7"/>
        <v>42.2</v>
      </c>
      <c r="S36" s="2">
        <f t="shared" si="8"/>
        <v>-1.3669995685066096</v>
      </c>
      <c r="T36" s="2">
        <f t="shared" si="9"/>
        <v>-144.60200085798093</v>
      </c>
    </row>
    <row r="37" spans="1:20" x14ac:dyDescent="0.25">
      <c r="A37" s="6"/>
      <c r="B37" s="1">
        <v>43</v>
      </c>
      <c r="C37" s="2">
        <v>13.250999999999999</v>
      </c>
      <c r="D37" s="2">
        <v>-134.58600000000001</v>
      </c>
      <c r="E37" s="1">
        <v>0</v>
      </c>
      <c r="G37" s="3">
        <v>0.59999995573889464</v>
      </c>
      <c r="H37" s="3">
        <v>-0.50000034025288187</v>
      </c>
      <c r="J37" s="4">
        <f t="shared" si="3"/>
        <v>5.9999995573889464</v>
      </c>
      <c r="K37" s="4">
        <f t="shared" si="4"/>
        <v>-5.0000034025288187</v>
      </c>
      <c r="N37" s="1" t="str">
        <f t="shared" si="10"/>
        <v>43.1</v>
      </c>
      <c r="O37" s="2">
        <f t="shared" si="5"/>
        <v>13.250999999999999</v>
      </c>
      <c r="P37" s="2">
        <f t="shared" si="6"/>
        <v>-134.58600000000001</v>
      </c>
      <c r="R37" s="1">
        <f t="shared" si="7"/>
        <v>43.2</v>
      </c>
      <c r="S37" s="2">
        <f t="shared" si="8"/>
        <v>19.250999557388944</v>
      </c>
      <c r="T37" s="2">
        <f t="shared" si="9"/>
        <v>-139.58600340252883</v>
      </c>
    </row>
    <row r="38" spans="1:20" x14ac:dyDescent="0.25">
      <c r="A38" s="6"/>
      <c r="B38" s="1">
        <v>44</v>
      </c>
      <c r="C38" s="2">
        <v>21.382999999999999</v>
      </c>
      <c r="D38" s="2">
        <v>-139.898</v>
      </c>
      <c r="E38" s="1">
        <v>0</v>
      </c>
      <c r="G38" s="3">
        <v>0.59999974291713443</v>
      </c>
      <c r="H38" s="3">
        <v>-0.69999991319491528</v>
      </c>
      <c r="J38" s="4">
        <f t="shared" si="3"/>
        <v>5.9999974291713443</v>
      </c>
      <c r="K38" s="4">
        <f t="shared" si="4"/>
        <v>-6.9999991319491528</v>
      </c>
      <c r="N38" s="1" t="str">
        <f t="shared" si="10"/>
        <v>44.1</v>
      </c>
      <c r="O38" s="2">
        <f t="shared" si="5"/>
        <v>21.382999999999999</v>
      </c>
      <c r="P38" s="2">
        <f t="shared" si="6"/>
        <v>-139.898</v>
      </c>
      <c r="R38" s="1">
        <f t="shared" si="7"/>
        <v>44.2</v>
      </c>
      <c r="S38" s="2">
        <f t="shared" si="8"/>
        <v>27.382997429171343</v>
      </c>
      <c r="T38" s="2">
        <f t="shared" si="9"/>
        <v>-146.89799913194915</v>
      </c>
    </row>
    <row r="39" spans="1:20" x14ac:dyDescent="0.25">
      <c r="A39" s="6"/>
      <c r="B39" s="1">
        <v>51</v>
      </c>
      <c r="C39" s="2">
        <v>11.281000000000001</v>
      </c>
      <c r="D39" s="2">
        <v>-106.446</v>
      </c>
      <c r="E39" s="1">
        <v>0</v>
      </c>
      <c r="G39" s="3">
        <v>-1.3000001817999873</v>
      </c>
      <c r="H39" s="3">
        <v>-2.2000005155859981</v>
      </c>
      <c r="J39" s="4">
        <f t="shared" si="3"/>
        <v>-13.000001817999873</v>
      </c>
      <c r="K39" s="4">
        <f t="shared" si="4"/>
        <v>-22.000005155859981</v>
      </c>
      <c r="N39" s="1" t="str">
        <f t="shared" si="10"/>
        <v>51.1</v>
      </c>
      <c r="O39" s="2">
        <f t="shared" si="5"/>
        <v>11.281000000000001</v>
      </c>
      <c r="P39" s="2">
        <f t="shared" si="6"/>
        <v>-106.446</v>
      </c>
      <c r="R39" s="1">
        <f t="shared" si="7"/>
        <v>51.2</v>
      </c>
      <c r="S39" s="2">
        <f t="shared" si="8"/>
        <v>-1.7190018179998727</v>
      </c>
      <c r="T39" s="2">
        <f t="shared" si="9"/>
        <v>-128.44600515585998</v>
      </c>
    </row>
    <row r="40" spans="1:20" x14ac:dyDescent="0.25">
      <c r="A40" s="6"/>
      <c r="B40" s="1">
        <v>52</v>
      </c>
      <c r="C40" s="2">
        <v>18.076000000000001</v>
      </c>
      <c r="D40" s="2">
        <v>-111.29900000000001</v>
      </c>
      <c r="E40" s="1">
        <v>0</v>
      </c>
      <c r="G40" s="3">
        <v>-9.9999981102882884E-2</v>
      </c>
      <c r="H40" s="3">
        <v>-0.70000008781789802</v>
      </c>
      <c r="J40" s="4">
        <f t="shared" si="3"/>
        <v>-0.99999981102882884</v>
      </c>
      <c r="K40" s="4">
        <f t="shared" si="4"/>
        <v>-7.0000008781789802</v>
      </c>
      <c r="N40" s="1" t="str">
        <f t="shared" si="10"/>
        <v>52.1</v>
      </c>
      <c r="O40" s="2">
        <f t="shared" si="5"/>
        <v>18.076000000000001</v>
      </c>
      <c r="P40" s="2">
        <f t="shared" si="6"/>
        <v>-111.29900000000001</v>
      </c>
      <c r="R40" s="1">
        <f t="shared" si="7"/>
        <v>52.2</v>
      </c>
      <c r="S40" s="2">
        <f t="shared" si="8"/>
        <v>17.076000188971172</v>
      </c>
      <c r="T40" s="2">
        <f t="shared" si="9"/>
        <v>-118.29900087817899</v>
      </c>
    </row>
    <row r="41" spans="1:20" x14ac:dyDescent="0.25">
      <c r="A41" s="6"/>
      <c r="B41" s="1">
        <v>53</v>
      </c>
      <c r="C41" s="2">
        <v>25.427</v>
      </c>
      <c r="D41" s="2">
        <v>-116.506</v>
      </c>
      <c r="E41" s="1">
        <v>0</v>
      </c>
      <c r="G41" s="3">
        <v>-0.10000002657761797</v>
      </c>
      <c r="H41" s="3">
        <v>-1.2000004207948223</v>
      </c>
      <c r="J41" s="4">
        <f t="shared" si="3"/>
        <v>-1.0000002657761797</v>
      </c>
      <c r="K41" s="4">
        <f t="shared" si="4"/>
        <v>-12.000004207948223</v>
      </c>
      <c r="N41" s="1" t="str">
        <f t="shared" si="10"/>
        <v>53.1</v>
      </c>
      <c r="O41" s="2">
        <f t="shared" si="5"/>
        <v>25.427</v>
      </c>
      <c r="P41" s="2">
        <f t="shared" si="6"/>
        <v>-116.506</v>
      </c>
      <c r="R41" s="1">
        <f t="shared" si="7"/>
        <v>53.2</v>
      </c>
      <c r="S41" s="2">
        <f t="shared" si="8"/>
        <v>24.42699973422382</v>
      </c>
      <c r="T41" s="2">
        <f t="shared" si="9"/>
        <v>-128.50600420794822</v>
      </c>
    </row>
    <row r="42" spans="1:20" x14ac:dyDescent="0.25">
      <c r="A42" s="6"/>
      <c r="B42" s="1">
        <v>61</v>
      </c>
      <c r="C42" s="2">
        <v>30.222999999999999</v>
      </c>
      <c r="D42" s="2">
        <v>-82.584000000000003</v>
      </c>
      <c r="E42" s="1">
        <v>0</v>
      </c>
      <c r="G42" s="3">
        <v>0.1000001448119292</v>
      </c>
      <c r="H42" s="3">
        <v>-0.19999992218799889</v>
      </c>
      <c r="J42" s="4">
        <f t="shared" si="3"/>
        <v>1.000001448119292</v>
      </c>
      <c r="K42" s="4">
        <f t="shared" si="4"/>
        <v>-1.9999992218799889</v>
      </c>
      <c r="N42" s="1" t="str">
        <f t="shared" si="10"/>
        <v>61.1</v>
      </c>
      <c r="O42" s="2">
        <f t="shared" si="5"/>
        <v>30.222999999999999</v>
      </c>
      <c r="P42" s="2">
        <f t="shared" si="6"/>
        <v>-82.584000000000003</v>
      </c>
      <c r="R42" s="1">
        <f t="shared" si="7"/>
        <v>61.2</v>
      </c>
      <c r="S42" s="2">
        <f t="shared" si="8"/>
        <v>31.223001448119291</v>
      </c>
      <c r="T42" s="2">
        <f t="shared" si="9"/>
        <v>-84.583999221879992</v>
      </c>
    </row>
    <row r="43" spans="1:20" x14ac:dyDescent="0.25">
      <c r="A43" s="6"/>
      <c r="B43" s="1">
        <v>63</v>
      </c>
      <c r="C43" s="2">
        <v>36.637</v>
      </c>
      <c r="D43" s="2">
        <v>-87.884</v>
      </c>
      <c r="E43" s="1">
        <v>0</v>
      </c>
      <c r="G43" s="3">
        <v>-0.40000021908781491</v>
      </c>
      <c r="H43" s="3">
        <v>1.1999993148492649</v>
      </c>
      <c r="J43" s="4">
        <f t="shared" si="3"/>
        <v>-4.0000021908781491</v>
      </c>
      <c r="K43" s="4">
        <f t="shared" si="4"/>
        <v>11.999993148492649</v>
      </c>
      <c r="N43" s="1" t="str">
        <f t="shared" si="10"/>
        <v>63.1</v>
      </c>
      <c r="O43" s="2">
        <f t="shared" si="5"/>
        <v>36.637</v>
      </c>
      <c r="P43" s="2">
        <f t="shared" si="6"/>
        <v>-87.884</v>
      </c>
      <c r="R43" s="1">
        <f t="shared" si="7"/>
        <v>63.2</v>
      </c>
      <c r="S43" s="2">
        <f t="shared" si="8"/>
        <v>32.636997809121851</v>
      </c>
      <c r="T43" s="2">
        <f t="shared" si="9"/>
        <v>-75.884006851507351</v>
      </c>
    </row>
    <row r="44" spans="1:20" x14ac:dyDescent="0.25">
      <c r="A44" s="6"/>
      <c r="B44" s="1">
        <v>72</v>
      </c>
      <c r="C44" s="2">
        <v>45.234999999999999</v>
      </c>
      <c r="D44" s="2">
        <v>-65.638999999999996</v>
      </c>
      <c r="E44" s="1">
        <v>0</v>
      </c>
      <c r="G44" s="3">
        <v>0.79999983063316904</v>
      </c>
      <c r="H44" s="3">
        <v>-0.90000008640345186</v>
      </c>
      <c r="J44" s="4">
        <f t="shared" si="3"/>
        <v>7.9999983063316904</v>
      </c>
      <c r="K44" s="4">
        <f t="shared" si="4"/>
        <v>-9.0000008640345186</v>
      </c>
      <c r="N44" s="1" t="str">
        <f t="shared" si="10"/>
        <v>72.1</v>
      </c>
      <c r="O44" s="2">
        <f t="shared" si="5"/>
        <v>45.234999999999999</v>
      </c>
      <c r="P44" s="2">
        <f t="shared" si="6"/>
        <v>-65.638999999999996</v>
      </c>
      <c r="R44" s="1">
        <f t="shared" si="7"/>
        <v>72.199999999999989</v>
      </c>
      <c r="S44" s="2">
        <f t="shared" si="8"/>
        <v>53.23499830633169</v>
      </c>
      <c r="T44" s="2">
        <f t="shared" si="9"/>
        <v>-74.639000864034514</v>
      </c>
    </row>
    <row r="45" spans="1:20" x14ac:dyDescent="0.25">
      <c r="A45" s="6"/>
    </row>
  </sheetData>
  <sortState xmlns:xlrd2="http://schemas.microsoft.com/office/spreadsheetml/2017/richdata2" ref="B29:T44">
    <sortCondition ref="B29:B44"/>
  </sortState>
  <mergeCells count="14">
    <mergeCell ref="B2:U2"/>
    <mergeCell ref="J6:K6"/>
    <mergeCell ref="B26:T26"/>
    <mergeCell ref="B27:E27"/>
    <mergeCell ref="G27:H27"/>
    <mergeCell ref="J27:K27"/>
    <mergeCell ref="N27:P27"/>
    <mergeCell ref="R27:T27"/>
    <mergeCell ref="B4:T4"/>
    <mergeCell ref="B5:E5"/>
    <mergeCell ref="G5:H5"/>
    <mergeCell ref="J5:K5"/>
    <mergeCell ref="M5:O5"/>
    <mergeCell ref="Q5:S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167D-1DEC-49B3-9EC2-06EE950DBE5A}">
  <dimension ref="A1:U46"/>
  <sheetViews>
    <sheetView workbookViewId="0">
      <selection activeCell="I54" sqref="I54:J54"/>
    </sheetView>
  </sheetViews>
  <sheetFormatPr baseColWidth="10" defaultRowHeight="15" x14ac:dyDescent="0.25"/>
  <cols>
    <col min="1" max="2" width="11.42578125" style="1"/>
    <col min="3" max="4" width="11.42578125" style="2"/>
    <col min="5" max="20" width="11.42578125" style="1"/>
    <col min="21" max="21" width="11.42578125" style="6"/>
    <col min="22" max="16384" width="11.42578125" style="1"/>
  </cols>
  <sheetData>
    <row r="1" spans="1:21" x14ac:dyDescent="0.25">
      <c r="A1" s="6"/>
      <c r="B1" s="6"/>
      <c r="C1" s="7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1" ht="23.25" x14ac:dyDescent="0.25">
      <c r="A2" s="6"/>
      <c r="B2" s="8" t="s">
        <v>12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x14ac:dyDescent="0.25">
      <c r="A3" s="6"/>
      <c r="B3" s="6"/>
      <c r="C3" s="7"/>
      <c r="D3" s="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1" x14ac:dyDescent="0.25">
      <c r="A4" s="6"/>
      <c r="B4" s="5" t="s">
        <v>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1" ht="18.75" x14ac:dyDescent="0.25">
      <c r="A5" s="6"/>
      <c r="B5" s="25" t="s">
        <v>4</v>
      </c>
      <c r="C5" s="25"/>
      <c r="D5" s="25"/>
      <c r="E5" s="25"/>
      <c r="F5" s="12"/>
      <c r="G5" s="25" t="s">
        <v>5</v>
      </c>
      <c r="H5" s="25"/>
      <c r="I5" s="12"/>
      <c r="J5" s="25" t="s">
        <v>6</v>
      </c>
      <c r="K5" s="25"/>
      <c r="L5" s="12"/>
      <c r="M5" s="25" t="s">
        <v>7</v>
      </c>
      <c r="N5" s="25"/>
      <c r="O5" s="25"/>
      <c r="P5" s="12"/>
      <c r="Q5" s="25" t="s">
        <v>8</v>
      </c>
      <c r="R5" s="25"/>
      <c r="S5" s="25"/>
    </row>
    <row r="6" spans="1:21" x14ac:dyDescent="0.25">
      <c r="A6" s="6"/>
      <c r="B6" s="15" t="s">
        <v>0</v>
      </c>
      <c r="C6" s="16" t="s">
        <v>1</v>
      </c>
      <c r="D6" s="16" t="s">
        <v>2</v>
      </c>
      <c r="E6" s="15" t="s">
        <v>3</v>
      </c>
      <c r="F6" s="13"/>
      <c r="G6" s="19" t="s">
        <v>5</v>
      </c>
      <c r="H6" s="19" t="s">
        <v>13</v>
      </c>
      <c r="I6" s="11"/>
      <c r="J6" s="21" t="s">
        <v>6</v>
      </c>
      <c r="K6" s="21"/>
      <c r="L6" s="11"/>
      <c r="M6" s="19" t="s">
        <v>14</v>
      </c>
      <c r="N6" s="19" t="s">
        <v>15</v>
      </c>
      <c r="O6" s="19" t="s">
        <v>16</v>
      </c>
      <c r="P6" s="11"/>
      <c r="Q6" s="19" t="s">
        <v>14</v>
      </c>
      <c r="R6" s="19" t="s">
        <v>15</v>
      </c>
      <c r="S6" s="19" t="s">
        <v>16</v>
      </c>
      <c r="T6" s="11"/>
      <c r="U6" s="14"/>
    </row>
    <row r="7" spans="1:21" x14ac:dyDescent="0.25">
      <c r="A7" s="6"/>
      <c r="B7" s="17">
        <v>11</v>
      </c>
      <c r="C7" s="18">
        <v>12038.46</v>
      </c>
      <c r="D7" s="18">
        <v>20201.61</v>
      </c>
      <c r="E7" s="17">
        <v>0</v>
      </c>
      <c r="F7" s="9">
        <v>11</v>
      </c>
      <c r="G7" s="20">
        <v>0.49999981092696544</v>
      </c>
      <c r="H7" s="20">
        <v>-2.7000003319699317</v>
      </c>
      <c r="I7" s="9"/>
      <c r="J7" s="22">
        <f t="shared" ref="J7:K22" si="0">G7*10</f>
        <v>4.9999981092696544</v>
      </c>
      <c r="K7" s="22">
        <f t="shared" si="0"/>
        <v>-27.000003319699317</v>
      </c>
      <c r="L7" s="10"/>
      <c r="M7" s="23" t="str">
        <f>B7&amp;".1"</f>
        <v>11.1</v>
      </c>
      <c r="N7" s="24">
        <f>C7</f>
        <v>12038.46</v>
      </c>
      <c r="O7" s="24">
        <f>D7</f>
        <v>20201.61</v>
      </c>
      <c r="P7" s="10"/>
      <c r="Q7" s="23">
        <f t="shared" ref="Q7:Q22" si="1">M7+0.1</f>
        <v>11.2</v>
      </c>
      <c r="R7" s="24">
        <f>N7+J7</f>
        <v>12043.459998109269</v>
      </c>
      <c r="S7" s="24">
        <f>O7+K7</f>
        <v>20174.609996680301</v>
      </c>
      <c r="T7" s="2"/>
    </row>
    <row r="8" spans="1:21" x14ac:dyDescent="0.25">
      <c r="A8" s="6"/>
      <c r="B8" s="17">
        <v>21</v>
      </c>
      <c r="C8" s="18">
        <v>12061.2</v>
      </c>
      <c r="D8" s="18">
        <v>20205.09</v>
      </c>
      <c r="E8" s="17">
        <v>0</v>
      </c>
      <c r="F8" s="9">
        <v>21</v>
      </c>
      <c r="G8" s="20">
        <v>-0.69999994957470335</v>
      </c>
      <c r="H8" s="20">
        <v>-3.5999998290208168</v>
      </c>
      <c r="I8" s="9"/>
      <c r="J8" s="22">
        <f t="shared" si="0"/>
        <v>-6.9999994957470335</v>
      </c>
      <c r="K8" s="22">
        <f t="shared" si="0"/>
        <v>-35.999998290208168</v>
      </c>
      <c r="L8" s="10"/>
      <c r="M8" s="23" t="str">
        <f>B8&amp;".1"</f>
        <v>21.1</v>
      </c>
      <c r="N8" s="24">
        <f>C8</f>
        <v>12061.2</v>
      </c>
      <c r="O8" s="24">
        <f>D8</f>
        <v>20205.09</v>
      </c>
      <c r="P8" s="10"/>
      <c r="Q8" s="23">
        <f t="shared" si="1"/>
        <v>21.200000000000003</v>
      </c>
      <c r="R8" s="24">
        <f>N8+J8</f>
        <v>12054.200000504254</v>
      </c>
      <c r="S8" s="24">
        <f>O8+K8</f>
        <v>20169.090001709792</v>
      </c>
      <c r="T8" s="2"/>
    </row>
    <row r="9" spans="1:21" x14ac:dyDescent="0.25">
      <c r="A9" s="6"/>
      <c r="B9" s="17">
        <v>22</v>
      </c>
      <c r="C9" s="18">
        <v>12062.08</v>
      </c>
      <c r="D9" s="18">
        <v>20196.77</v>
      </c>
      <c r="E9" s="17">
        <v>0</v>
      </c>
      <c r="F9" s="9">
        <v>22</v>
      </c>
      <c r="G9" s="20">
        <v>1.499999994848622</v>
      </c>
      <c r="H9" s="20">
        <v>-3.399999226530781</v>
      </c>
      <c r="I9" s="9"/>
      <c r="J9" s="22">
        <f t="shared" si="0"/>
        <v>14.99999994848622</v>
      </c>
      <c r="K9" s="22">
        <f t="shared" si="0"/>
        <v>-33.99999226530781</v>
      </c>
      <c r="L9" s="10"/>
      <c r="M9" s="23" t="str">
        <f>B9&amp;".1"</f>
        <v>22.1</v>
      </c>
      <c r="N9" s="24">
        <f>C9</f>
        <v>12062.08</v>
      </c>
      <c r="O9" s="24">
        <f>D9</f>
        <v>20196.77</v>
      </c>
      <c r="P9" s="10"/>
      <c r="Q9" s="23">
        <f t="shared" si="1"/>
        <v>22.200000000000003</v>
      </c>
      <c r="R9" s="24">
        <f>N9+J9</f>
        <v>12077.079999948486</v>
      </c>
      <c r="S9" s="24">
        <f>O9+K9</f>
        <v>20162.770007734693</v>
      </c>
      <c r="T9" s="2"/>
    </row>
    <row r="10" spans="1:21" x14ac:dyDescent="0.25">
      <c r="A10" s="6"/>
      <c r="B10" s="17">
        <v>31</v>
      </c>
      <c r="C10" s="18">
        <v>12091.51</v>
      </c>
      <c r="D10" s="18">
        <v>20207.64</v>
      </c>
      <c r="E10" s="17">
        <v>0</v>
      </c>
      <c r="F10" s="9">
        <v>31</v>
      </c>
      <c r="G10" s="20">
        <v>-1.6999997988023097</v>
      </c>
      <c r="H10" s="20">
        <v>-4.3000001714972313</v>
      </c>
      <c r="I10" s="9"/>
      <c r="J10" s="22">
        <f t="shared" si="0"/>
        <v>-16.999997988023097</v>
      </c>
      <c r="K10" s="22">
        <f t="shared" si="0"/>
        <v>-43.000001714972313</v>
      </c>
      <c r="L10" s="10"/>
      <c r="M10" s="23" t="str">
        <f>B10&amp;".1"</f>
        <v>31.1</v>
      </c>
      <c r="N10" s="24">
        <f>C10</f>
        <v>12091.51</v>
      </c>
      <c r="O10" s="24">
        <f>D10</f>
        <v>20207.64</v>
      </c>
      <c r="P10" s="10"/>
      <c r="Q10" s="23">
        <f t="shared" si="1"/>
        <v>31.200000000000003</v>
      </c>
      <c r="R10" s="24">
        <f>N10+J10</f>
        <v>12074.510002011977</v>
      </c>
      <c r="S10" s="24">
        <f>O10+K10</f>
        <v>20164.639998285027</v>
      </c>
      <c r="T10" s="2"/>
    </row>
    <row r="11" spans="1:21" x14ac:dyDescent="0.25">
      <c r="A11" s="6"/>
      <c r="B11" s="17">
        <v>32</v>
      </c>
      <c r="C11" s="18">
        <v>12091.81</v>
      </c>
      <c r="D11" s="18">
        <v>20199.310000000001</v>
      </c>
      <c r="E11" s="17">
        <v>0</v>
      </c>
      <c r="F11" s="9">
        <v>32</v>
      </c>
      <c r="G11" s="20">
        <v>-2.0008883439004421E-8</v>
      </c>
      <c r="H11" s="20">
        <v>-1.8999991589225829</v>
      </c>
      <c r="I11" s="9"/>
      <c r="J11" s="22">
        <f t="shared" si="0"/>
        <v>-2.0008883439004421E-7</v>
      </c>
      <c r="K11" s="22">
        <f t="shared" si="0"/>
        <v>-18.999991589225829</v>
      </c>
      <c r="L11" s="10"/>
      <c r="M11" s="23" t="str">
        <f>B11&amp;".1"</f>
        <v>32.1</v>
      </c>
      <c r="N11" s="24">
        <f>C11</f>
        <v>12091.81</v>
      </c>
      <c r="O11" s="24">
        <f>D11</f>
        <v>20199.310000000001</v>
      </c>
      <c r="P11" s="10"/>
      <c r="Q11" s="23">
        <f t="shared" si="1"/>
        <v>32.200000000000003</v>
      </c>
      <c r="R11" s="24">
        <f>N11+J11</f>
        <v>12091.809999799911</v>
      </c>
      <c r="S11" s="24">
        <f>O11+K11</f>
        <v>20180.310008410775</v>
      </c>
      <c r="T11" s="2"/>
    </row>
    <row r="12" spans="1:21" x14ac:dyDescent="0.25">
      <c r="A12" s="6"/>
      <c r="B12" s="17">
        <v>33</v>
      </c>
      <c r="C12" s="18">
        <v>12092.36</v>
      </c>
      <c r="D12" s="18">
        <v>20190.37</v>
      </c>
      <c r="E12" s="17">
        <v>0</v>
      </c>
      <c r="F12" s="9">
        <v>33</v>
      </c>
      <c r="G12" s="20">
        <v>0.60000012490490917</v>
      </c>
      <c r="H12" s="20">
        <v>-1.7999997435254045</v>
      </c>
      <c r="I12" s="9"/>
      <c r="J12" s="22">
        <f t="shared" si="0"/>
        <v>6.0000012490490917</v>
      </c>
      <c r="K12" s="22">
        <f t="shared" si="0"/>
        <v>-17.999997435254045</v>
      </c>
      <c r="L12" s="10"/>
      <c r="M12" s="23" t="str">
        <f>B12&amp;".1"</f>
        <v>33.1</v>
      </c>
      <c r="N12" s="24">
        <f>C12</f>
        <v>12092.36</v>
      </c>
      <c r="O12" s="24">
        <f>D12</f>
        <v>20190.37</v>
      </c>
      <c r="P12" s="10"/>
      <c r="Q12" s="23">
        <f t="shared" si="1"/>
        <v>33.200000000000003</v>
      </c>
      <c r="R12" s="24">
        <f>N12+J12</f>
        <v>12098.36000124905</v>
      </c>
      <c r="S12" s="24">
        <f>O12+K12</f>
        <v>20172.370002564745</v>
      </c>
      <c r="T12" s="2"/>
    </row>
    <row r="13" spans="1:21" x14ac:dyDescent="0.25">
      <c r="A13" s="6"/>
      <c r="B13" s="17">
        <v>41</v>
      </c>
      <c r="C13" s="18">
        <v>12114.31</v>
      </c>
      <c r="D13" s="18">
        <v>20207.78</v>
      </c>
      <c r="E13" s="17">
        <v>0</v>
      </c>
      <c r="F13" s="9">
        <v>41</v>
      </c>
      <c r="G13" s="20">
        <v>-2.1000001579523087</v>
      </c>
      <c r="H13" s="20">
        <v>-5.1000005078094546</v>
      </c>
      <c r="I13" s="9"/>
      <c r="J13" s="22">
        <f t="shared" si="0"/>
        <v>-21.000001579523087</v>
      </c>
      <c r="K13" s="22">
        <f t="shared" si="0"/>
        <v>-51.000005078094546</v>
      </c>
      <c r="L13" s="10"/>
      <c r="M13" s="23" t="str">
        <f>B13&amp;".1"</f>
        <v>41.1</v>
      </c>
      <c r="N13" s="24">
        <f>C13</f>
        <v>12114.31</v>
      </c>
      <c r="O13" s="24">
        <f>D13</f>
        <v>20207.78</v>
      </c>
      <c r="P13" s="10"/>
      <c r="Q13" s="23">
        <f t="shared" si="1"/>
        <v>41.2</v>
      </c>
      <c r="R13" s="24">
        <f>N13+J13</f>
        <v>12093.309998420476</v>
      </c>
      <c r="S13" s="24">
        <f>O13+K13</f>
        <v>20156.779994921904</v>
      </c>
      <c r="T13" s="2"/>
    </row>
    <row r="14" spans="1:21" x14ac:dyDescent="0.25">
      <c r="A14" s="6"/>
      <c r="B14" s="17">
        <v>42</v>
      </c>
      <c r="C14" s="18">
        <v>12114.46</v>
      </c>
      <c r="D14" s="18">
        <v>20199.560000000001</v>
      </c>
      <c r="E14" s="17">
        <v>0</v>
      </c>
      <c r="F14" s="9">
        <v>42</v>
      </c>
      <c r="G14" s="20">
        <v>-0.69999995685066096</v>
      </c>
      <c r="H14" s="20">
        <v>-1.5000000857980922</v>
      </c>
      <c r="I14" s="9"/>
      <c r="J14" s="22">
        <f t="shared" si="0"/>
        <v>-6.9999995685066096</v>
      </c>
      <c r="K14" s="22">
        <f t="shared" si="0"/>
        <v>-15.000000857980922</v>
      </c>
      <c r="L14" s="10"/>
      <c r="M14" s="23" t="str">
        <f>B14&amp;".1"</f>
        <v>42.1</v>
      </c>
      <c r="N14" s="24">
        <f>C14</f>
        <v>12114.46</v>
      </c>
      <c r="O14" s="24">
        <f>D14</f>
        <v>20199.560000000001</v>
      </c>
      <c r="P14" s="10"/>
      <c r="Q14" s="23">
        <f t="shared" si="1"/>
        <v>42.2</v>
      </c>
      <c r="R14" s="24">
        <f>N14+J14</f>
        <v>12107.460000431493</v>
      </c>
      <c r="S14" s="24">
        <f>O14+K14</f>
        <v>20184.55999914202</v>
      </c>
      <c r="T14" s="2"/>
    </row>
    <row r="15" spans="1:21" x14ac:dyDescent="0.25">
      <c r="A15" s="6"/>
      <c r="B15" s="17">
        <v>43</v>
      </c>
      <c r="C15" s="18">
        <v>12114.21</v>
      </c>
      <c r="D15" s="18">
        <v>20190.46</v>
      </c>
      <c r="E15" s="17">
        <v>0</v>
      </c>
      <c r="F15" s="9">
        <v>43</v>
      </c>
      <c r="G15" s="20">
        <v>0.59999995573889464</v>
      </c>
      <c r="H15" s="20">
        <v>-0.50000034025288187</v>
      </c>
      <c r="I15" s="9"/>
      <c r="J15" s="22">
        <f t="shared" si="0"/>
        <v>5.9999995573889464</v>
      </c>
      <c r="K15" s="22">
        <f t="shared" si="0"/>
        <v>-5.0000034025288187</v>
      </c>
      <c r="L15" s="10"/>
      <c r="M15" s="23" t="str">
        <f>B15&amp;".1"</f>
        <v>43.1</v>
      </c>
      <c r="N15" s="24">
        <f>C15</f>
        <v>12114.21</v>
      </c>
      <c r="O15" s="24">
        <f>D15</f>
        <v>20190.46</v>
      </c>
      <c r="P15" s="10"/>
      <c r="Q15" s="23">
        <f t="shared" si="1"/>
        <v>43.2</v>
      </c>
      <c r="R15" s="24">
        <f>N15+J15</f>
        <v>12120.209999557388</v>
      </c>
      <c r="S15" s="24">
        <f>O15+K15</f>
        <v>20185.45999659747</v>
      </c>
      <c r="T15" s="2"/>
    </row>
    <row r="16" spans="1:21" x14ac:dyDescent="0.25">
      <c r="A16" s="6"/>
      <c r="B16" s="17">
        <v>44</v>
      </c>
      <c r="C16" s="18">
        <v>12113.95</v>
      </c>
      <c r="D16" s="18">
        <v>20180.75</v>
      </c>
      <c r="E16" s="17">
        <v>0</v>
      </c>
      <c r="F16" s="9">
        <v>44</v>
      </c>
      <c r="G16" s="20">
        <v>0.59999974291713443</v>
      </c>
      <c r="H16" s="20">
        <v>-0.69999991319491528</v>
      </c>
      <c r="I16" s="9"/>
      <c r="J16" s="22">
        <f t="shared" si="0"/>
        <v>5.9999974291713443</v>
      </c>
      <c r="K16" s="22">
        <f t="shared" si="0"/>
        <v>-6.9999991319491528</v>
      </c>
      <c r="L16" s="10"/>
      <c r="M16" s="23" t="str">
        <f>B16&amp;".1"</f>
        <v>44.1</v>
      </c>
      <c r="N16" s="24">
        <f>C16</f>
        <v>12113.95</v>
      </c>
      <c r="O16" s="24">
        <f>D16</f>
        <v>20180.75</v>
      </c>
      <c r="P16" s="10"/>
      <c r="Q16" s="23">
        <f t="shared" si="1"/>
        <v>44.2</v>
      </c>
      <c r="R16" s="24">
        <f>N16+J16</f>
        <v>12119.949997429172</v>
      </c>
      <c r="S16" s="24">
        <f>O16+K16</f>
        <v>20173.750000868051</v>
      </c>
      <c r="T16" s="2"/>
    </row>
    <row r="17" spans="1:20" x14ac:dyDescent="0.25">
      <c r="A17" s="6"/>
      <c r="B17" s="17">
        <v>51</v>
      </c>
      <c r="C17" s="18">
        <v>12137.14</v>
      </c>
      <c r="D17" s="18">
        <v>20206.89</v>
      </c>
      <c r="E17" s="17">
        <v>0</v>
      </c>
      <c r="F17" s="9">
        <v>51</v>
      </c>
      <c r="G17" s="20">
        <v>-1.3000001817999873</v>
      </c>
      <c r="H17" s="20">
        <v>-2.2000005155859981</v>
      </c>
      <c r="I17" s="9"/>
      <c r="J17" s="22">
        <f t="shared" si="0"/>
        <v>-13.000001817999873</v>
      </c>
      <c r="K17" s="22">
        <f t="shared" si="0"/>
        <v>-22.000005155859981</v>
      </c>
      <c r="L17" s="10"/>
      <c r="M17" s="23" t="str">
        <f>B17&amp;".1"</f>
        <v>51.1</v>
      </c>
      <c r="N17" s="24">
        <f>C17</f>
        <v>12137.14</v>
      </c>
      <c r="O17" s="24">
        <f>D17</f>
        <v>20206.89</v>
      </c>
      <c r="P17" s="10"/>
      <c r="Q17" s="23">
        <f t="shared" si="1"/>
        <v>51.2</v>
      </c>
      <c r="R17" s="24">
        <f>N17+J17</f>
        <v>12124.139998182</v>
      </c>
      <c r="S17" s="24">
        <f>O17+K17</f>
        <v>20184.889994844139</v>
      </c>
      <c r="T17" s="2"/>
    </row>
    <row r="18" spans="1:20" x14ac:dyDescent="0.25">
      <c r="A18" s="6"/>
      <c r="B18" s="17">
        <v>52</v>
      </c>
      <c r="C18" s="18">
        <v>12136.57</v>
      </c>
      <c r="D18" s="18">
        <v>20198.560000000001</v>
      </c>
      <c r="E18" s="17">
        <v>0</v>
      </c>
      <c r="F18" s="9">
        <v>52</v>
      </c>
      <c r="G18" s="20">
        <v>-9.9999981102882884E-2</v>
      </c>
      <c r="H18" s="20">
        <v>-0.70000008781789802</v>
      </c>
      <c r="I18" s="9"/>
      <c r="J18" s="22">
        <f t="shared" si="0"/>
        <v>-0.99999981102882884</v>
      </c>
      <c r="K18" s="22">
        <f t="shared" si="0"/>
        <v>-7.0000008781789802</v>
      </c>
      <c r="L18" s="10"/>
      <c r="M18" s="23" t="str">
        <f>B18&amp;".1"</f>
        <v>52.1</v>
      </c>
      <c r="N18" s="24">
        <f>C18</f>
        <v>12136.57</v>
      </c>
      <c r="O18" s="24">
        <f>D18</f>
        <v>20198.560000000001</v>
      </c>
      <c r="P18" s="10"/>
      <c r="Q18" s="23">
        <f t="shared" si="1"/>
        <v>52.2</v>
      </c>
      <c r="R18" s="24">
        <f>N18+J18</f>
        <v>12135.570000188971</v>
      </c>
      <c r="S18" s="24">
        <f>O18+K18</f>
        <v>20191.559999121822</v>
      </c>
      <c r="T18" s="2"/>
    </row>
    <row r="19" spans="1:20" x14ac:dyDescent="0.25">
      <c r="A19" s="6"/>
      <c r="B19" s="17">
        <v>53</v>
      </c>
      <c r="C19" s="18">
        <v>12135.99</v>
      </c>
      <c r="D19" s="18">
        <v>20189.57</v>
      </c>
      <c r="E19" s="17">
        <v>0</v>
      </c>
      <c r="F19" s="9">
        <v>53</v>
      </c>
      <c r="G19" s="20">
        <v>-0.10000002657761797</v>
      </c>
      <c r="H19" s="20">
        <v>-1.2000004207948223</v>
      </c>
      <c r="I19" s="9"/>
      <c r="J19" s="22">
        <f t="shared" si="0"/>
        <v>-1.0000002657761797</v>
      </c>
      <c r="K19" s="22">
        <f t="shared" si="0"/>
        <v>-12.000004207948223</v>
      </c>
      <c r="L19" s="10"/>
      <c r="M19" s="23" t="str">
        <f>B19&amp;".1"</f>
        <v>53.1</v>
      </c>
      <c r="N19" s="24">
        <f>C19</f>
        <v>12135.99</v>
      </c>
      <c r="O19" s="24">
        <f>D19</f>
        <v>20189.57</v>
      </c>
      <c r="P19" s="10"/>
      <c r="Q19" s="23">
        <f t="shared" si="1"/>
        <v>53.2</v>
      </c>
      <c r="R19" s="24">
        <f>N19+J19</f>
        <v>12134.989999734224</v>
      </c>
      <c r="S19" s="24">
        <f>O19+K19</f>
        <v>20177.569995792051</v>
      </c>
      <c r="T19" s="2"/>
    </row>
    <row r="20" spans="1:20" x14ac:dyDescent="0.25">
      <c r="A20" s="6"/>
      <c r="B20" s="17">
        <v>61</v>
      </c>
      <c r="C20" s="18">
        <v>12167.39</v>
      </c>
      <c r="D20" s="18">
        <v>20203.27</v>
      </c>
      <c r="E20" s="17">
        <v>0</v>
      </c>
      <c r="F20" s="9">
        <v>61</v>
      </c>
      <c r="G20" s="20">
        <v>0.1000001448119292</v>
      </c>
      <c r="H20" s="20">
        <v>-0.19999992218799889</v>
      </c>
      <c r="I20" s="9"/>
      <c r="J20" s="22">
        <f t="shared" si="0"/>
        <v>1.000001448119292</v>
      </c>
      <c r="K20" s="22">
        <f t="shared" si="0"/>
        <v>-1.9999992218799889</v>
      </c>
      <c r="L20" s="10"/>
      <c r="M20" s="23" t="str">
        <f>B20&amp;".1"</f>
        <v>61.1</v>
      </c>
      <c r="N20" s="24">
        <f>C20</f>
        <v>12167.39</v>
      </c>
      <c r="O20" s="24">
        <f>D20</f>
        <v>20203.27</v>
      </c>
      <c r="P20" s="10"/>
      <c r="Q20" s="23">
        <f t="shared" si="1"/>
        <v>61.2</v>
      </c>
      <c r="R20" s="24">
        <f>N20+J20</f>
        <v>12168.390001448119</v>
      </c>
      <c r="S20" s="24">
        <f>O20+K20</f>
        <v>20201.27000077812</v>
      </c>
      <c r="T20" s="2"/>
    </row>
    <row r="21" spans="1:20" x14ac:dyDescent="0.25">
      <c r="A21" s="6"/>
      <c r="B21" s="17">
        <v>63</v>
      </c>
      <c r="C21" s="18">
        <v>12166.24</v>
      </c>
      <c r="D21" s="18">
        <v>20195.03</v>
      </c>
      <c r="E21" s="17">
        <v>0</v>
      </c>
      <c r="F21" s="9">
        <v>63</v>
      </c>
      <c r="G21" s="20">
        <v>-0.40000021908781491</v>
      </c>
      <c r="H21" s="20">
        <v>1.1999993148492649</v>
      </c>
      <c r="I21" s="9"/>
      <c r="J21" s="22">
        <f t="shared" si="0"/>
        <v>-4.0000021908781491</v>
      </c>
      <c r="K21" s="22">
        <f t="shared" si="0"/>
        <v>11.999993148492649</v>
      </c>
      <c r="L21" s="10"/>
      <c r="M21" s="23" t="str">
        <f>B21&amp;".1"</f>
        <v>63.1</v>
      </c>
      <c r="N21" s="24">
        <f>C21</f>
        <v>12166.24</v>
      </c>
      <c r="O21" s="24">
        <f>D21</f>
        <v>20195.03</v>
      </c>
      <c r="P21" s="10"/>
      <c r="Q21" s="23">
        <f t="shared" si="1"/>
        <v>63.2</v>
      </c>
      <c r="R21" s="24">
        <f>N21+J21</f>
        <v>12162.239997809122</v>
      </c>
      <c r="S21" s="24">
        <f>O21+K21</f>
        <v>20207.029993148491</v>
      </c>
      <c r="T21" s="2"/>
    </row>
    <row r="22" spans="1:20" x14ac:dyDescent="0.25">
      <c r="A22" s="6"/>
      <c r="B22" s="17">
        <v>72</v>
      </c>
      <c r="C22" s="18">
        <v>12189.69</v>
      </c>
      <c r="D22" s="18">
        <v>20199.37</v>
      </c>
      <c r="E22" s="17">
        <v>0</v>
      </c>
      <c r="F22" s="9">
        <v>72</v>
      </c>
      <c r="G22" s="20">
        <v>0.79999983063316904</v>
      </c>
      <c r="H22" s="20">
        <v>-0.90000008640345186</v>
      </c>
      <c r="I22" s="9"/>
      <c r="J22" s="22">
        <f t="shared" si="0"/>
        <v>7.9999983063316904</v>
      </c>
      <c r="K22" s="22">
        <f t="shared" si="0"/>
        <v>-9.0000008640345186</v>
      </c>
      <c r="L22" s="10"/>
      <c r="M22" s="23" t="str">
        <f>B22&amp;".1"</f>
        <v>72.1</v>
      </c>
      <c r="N22" s="24">
        <f>C22</f>
        <v>12189.69</v>
      </c>
      <c r="O22" s="24">
        <f>D22</f>
        <v>20199.37</v>
      </c>
      <c r="P22" s="10"/>
      <c r="Q22" s="23">
        <f t="shared" si="1"/>
        <v>72.199999999999989</v>
      </c>
      <c r="R22" s="24">
        <f>N22+J22</f>
        <v>12197.689998306332</v>
      </c>
      <c r="S22" s="24">
        <f>O22+K22</f>
        <v>20190.369999135964</v>
      </c>
      <c r="T22" s="2"/>
    </row>
    <row r="23" spans="1:20" x14ac:dyDescent="0.25">
      <c r="A23" s="6"/>
    </row>
    <row r="24" spans="1:2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25">
      <c r="A25" s="6"/>
    </row>
    <row r="26" spans="1:20" x14ac:dyDescent="0.25">
      <c r="A26" s="6"/>
      <c r="B26" s="5" t="s">
        <v>10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x14ac:dyDescent="0.25">
      <c r="A27" s="6"/>
      <c r="B27" s="5" t="s">
        <v>4</v>
      </c>
      <c r="C27" s="5"/>
      <c r="D27" s="5"/>
      <c r="E27" s="5"/>
      <c r="G27" s="5" t="s">
        <v>5</v>
      </c>
      <c r="H27" s="5"/>
      <c r="J27" s="5" t="s">
        <v>6</v>
      </c>
      <c r="K27" s="5"/>
      <c r="N27" s="5" t="s">
        <v>7</v>
      </c>
      <c r="O27" s="5"/>
      <c r="P27" s="5"/>
      <c r="R27" s="5" t="s">
        <v>8</v>
      </c>
      <c r="S27" s="5"/>
      <c r="T27" s="5"/>
    </row>
    <row r="28" spans="1:20" x14ac:dyDescent="0.25">
      <c r="A28" s="6"/>
      <c r="B28" s="1" t="s">
        <v>0</v>
      </c>
      <c r="C28" s="2" t="s">
        <v>1</v>
      </c>
      <c r="D28" s="2" t="s">
        <v>2</v>
      </c>
      <c r="E28" s="1" t="s">
        <v>3</v>
      </c>
    </row>
    <row r="29" spans="1:20" x14ac:dyDescent="0.25">
      <c r="A29" s="6"/>
      <c r="B29" s="1">
        <v>11</v>
      </c>
      <c r="C29" s="2">
        <v>-35.957000000000001</v>
      </c>
      <c r="D29" s="2">
        <v>-193.245</v>
      </c>
      <c r="E29" s="1">
        <v>0</v>
      </c>
      <c r="G29" s="3">
        <v>0.49999981092696544</v>
      </c>
      <c r="H29" s="3">
        <v>-2.7000003319699317</v>
      </c>
      <c r="J29" s="4">
        <f t="shared" ref="J29:K44" si="2">G29*10</f>
        <v>4.9999981092696544</v>
      </c>
      <c r="K29" s="4">
        <f t="shared" si="2"/>
        <v>-27.000003319699317</v>
      </c>
      <c r="N29" s="1" t="str">
        <f>B29&amp;".1"</f>
        <v>11.1</v>
      </c>
      <c r="O29" s="2">
        <f t="shared" ref="O29:P44" si="3">C29</f>
        <v>-35.957000000000001</v>
      </c>
      <c r="P29" s="2">
        <f t="shared" si="3"/>
        <v>-193.245</v>
      </c>
      <c r="R29" s="1">
        <f t="shared" ref="R29:R44" si="4">N29+0.1</f>
        <v>11.2</v>
      </c>
      <c r="S29" s="2">
        <f t="shared" ref="S29:T44" si="5">O29+J29</f>
        <v>-30.957001890730346</v>
      </c>
      <c r="T29" s="2">
        <f t="shared" si="5"/>
        <v>-220.24500331969932</v>
      </c>
    </row>
    <row r="30" spans="1:20" x14ac:dyDescent="0.25">
      <c r="A30" s="6"/>
      <c r="B30" s="1">
        <v>21</v>
      </c>
      <c r="C30" s="2">
        <v>-27.001000000000001</v>
      </c>
      <c r="D30" s="2">
        <v>-172.05500000000001</v>
      </c>
      <c r="E30" s="1">
        <v>0</v>
      </c>
      <c r="G30" s="3">
        <v>-0.69999994957470335</v>
      </c>
      <c r="H30" s="3">
        <v>-3.5999998290208168</v>
      </c>
      <c r="J30" s="4">
        <f t="shared" si="2"/>
        <v>-6.9999994957470335</v>
      </c>
      <c r="K30" s="4">
        <f t="shared" si="2"/>
        <v>-35.999998290208168</v>
      </c>
      <c r="N30" s="1" t="str">
        <f t="shared" ref="N30:N44" si="6">B30&amp;".1"</f>
        <v>21.1</v>
      </c>
      <c r="O30" s="2">
        <f t="shared" si="3"/>
        <v>-27.001000000000001</v>
      </c>
      <c r="P30" s="2">
        <f t="shared" si="3"/>
        <v>-172.05500000000001</v>
      </c>
      <c r="R30" s="1">
        <f t="shared" si="4"/>
        <v>21.200000000000003</v>
      </c>
      <c r="S30" s="2">
        <f t="shared" si="5"/>
        <v>-34.000999495747038</v>
      </c>
      <c r="T30" s="2">
        <f t="shared" si="5"/>
        <v>-208.05499829020818</v>
      </c>
    </row>
    <row r="31" spans="1:20" x14ac:dyDescent="0.25">
      <c r="A31" s="6"/>
      <c r="B31" s="1">
        <v>22</v>
      </c>
      <c r="C31" s="2">
        <v>-19.452000000000002</v>
      </c>
      <c r="D31" s="2">
        <v>-175.66900000000001</v>
      </c>
      <c r="E31" s="1">
        <v>0</v>
      </c>
      <c r="G31" s="3">
        <v>1.499999994848622</v>
      </c>
      <c r="H31" s="3">
        <v>-3.399999226530781</v>
      </c>
      <c r="J31" s="4">
        <f t="shared" si="2"/>
        <v>14.99999994848622</v>
      </c>
      <c r="K31" s="4">
        <f t="shared" si="2"/>
        <v>-33.99999226530781</v>
      </c>
      <c r="N31" s="1" t="str">
        <f t="shared" si="6"/>
        <v>22.1</v>
      </c>
      <c r="O31" s="2">
        <f t="shared" si="3"/>
        <v>-19.452000000000002</v>
      </c>
      <c r="P31" s="2">
        <f t="shared" si="3"/>
        <v>-175.66900000000001</v>
      </c>
      <c r="R31" s="1">
        <f t="shared" si="4"/>
        <v>22.200000000000003</v>
      </c>
      <c r="S31" s="2">
        <f t="shared" si="5"/>
        <v>-4.4520000515137816</v>
      </c>
      <c r="T31" s="2">
        <f t="shared" si="5"/>
        <v>-209.66899226530782</v>
      </c>
    </row>
    <row r="32" spans="1:20" x14ac:dyDescent="0.25">
      <c r="A32" s="6"/>
      <c r="B32" s="1">
        <v>31</v>
      </c>
      <c r="C32" s="2">
        <v>-13.28</v>
      </c>
      <c r="D32" s="2">
        <v>-144.90899999999999</v>
      </c>
      <c r="E32" s="1">
        <v>0</v>
      </c>
      <c r="G32" s="3">
        <v>-1.6999997988023097</v>
      </c>
      <c r="H32" s="3">
        <v>-4.3000001714972313</v>
      </c>
      <c r="J32" s="4">
        <f t="shared" si="2"/>
        <v>-16.999997988023097</v>
      </c>
      <c r="K32" s="4">
        <f t="shared" si="2"/>
        <v>-43.000001714972313</v>
      </c>
      <c r="N32" s="1" t="str">
        <f t="shared" si="6"/>
        <v>31.1</v>
      </c>
      <c r="O32" s="2">
        <f t="shared" si="3"/>
        <v>-13.28</v>
      </c>
      <c r="P32" s="2">
        <f t="shared" si="3"/>
        <v>-144.90899999999999</v>
      </c>
      <c r="R32" s="1">
        <f t="shared" si="4"/>
        <v>31.200000000000003</v>
      </c>
      <c r="S32" s="2">
        <f t="shared" si="5"/>
        <v>-30.279997988023098</v>
      </c>
      <c r="T32" s="2">
        <f t="shared" si="5"/>
        <v>-187.90900171497231</v>
      </c>
    </row>
    <row r="33" spans="1:21" x14ac:dyDescent="0.25">
      <c r="A33" s="6"/>
      <c r="B33" s="1">
        <v>32</v>
      </c>
      <c r="C33" s="2">
        <v>-6.0289999999999999</v>
      </c>
      <c r="D33" s="2">
        <v>-149.02099999999999</v>
      </c>
      <c r="E33" s="1">
        <v>0</v>
      </c>
      <c r="G33" s="3">
        <v>-2.0008883439004421E-8</v>
      </c>
      <c r="H33" s="3">
        <v>-1.8999991589225829</v>
      </c>
      <c r="J33" s="4">
        <f t="shared" si="2"/>
        <v>-2.0008883439004421E-7</v>
      </c>
      <c r="K33" s="4">
        <f t="shared" si="2"/>
        <v>-18.999991589225829</v>
      </c>
      <c r="N33" s="1" t="str">
        <f t="shared" si="6"/>
        <v>32.1</v>
      </c>
      <c r="O33" s="2">
        <f t="shared" si="3"/>
        <v>-6.0289999999999999</v>
      </c>
      <c r="P33" s="2">
        <f t="shared" si="3"/>
        <v>-149.02099999999999</v>
      </c>
      <c r="R33" s="1">
        <f t="shared" si="4"/>
        <v>32.200000000000003</v>
      </c>
      <c r="S33" s="2">
        <f t="shared" si="5"/>
        <v>-6.0290002000888343</v>
      </c>
      <c r="T33" s="2">
        <f t="shared" si="5"/>
        <v>-168.02099158922582</v>
      </c>
    </row>
    <row r="34" spans="1:21" x14ac:dyDescent="0.25">
      <c r="A34" s="6"/>
      <c r="B34" s="1">
        <v>33</v>
      </c>
      <c r="C34" s="2">
        <v>1.8720000000000001</v>
      </c>
      <c r="D34" s="2">
        <v>-153.239</v>
      </c>
      <c r="E34" s="1">
        <v>0</v>
      </c>
      <c r="G34" s="3">
        <v>0.60000012490490917</v>
      </c>
      <c r="H34" s="3">
        <v>-1.7999997435254045</v>
      </c>
      <c r="J34" s="4">
        <f t="shared" si="2"/>
        <v>6.0000012490490917</v>
      </c>
      <c r="K34" s="4">
        <f t="shared" si="2"/>
        <v>-17.999997435254045</v>
      </c>
      <c r="N34" s="1" t="str">
        <f t="shared" si="6"/>
        <v>33.1</v>
      </c>
      <c r="O34" s="2">
        <f t="shared" si="3"/>
        <v>1.8720000000000001</v>
      </c>
      <c r="P34" s="2">
        <f t="shared" si="3"/>
        <v>-153.239</v>
      </c>
      <c r="R34" s="1">
        <f t="shared" si="4"/>
        <v>33.200000000000003</v>
      </c>
      <c r="S34" s="2">
        <f t="shared" si="5"/>
        <v>7.8720012490490916</v>
      </c>
      <c r="T34" s="2">
        <f t="shared" si="5"/>
        <v>-171.23899743525405</v>
      </c>
    </row>
    <row r="35" spans="1:21" x14ac:dyDescent="0.25">
      <c r="A35" s="6"/>
      <c r="B35" s="1">
        <v>41</v>
      </c>
      <c r="C35" s="2">
        <v>-1.446</v>
      </c>
      <c r="D35" s="2">
        <v>-125.42</v>
      </c>
      <c r="E35" s="1">
        <v>0</v>
      </c>
      <c r="G35" s="3">
        <v>-2.1000001579523087</v>
      </c>
      <c r="H35" s="3">
        <v>-5.1000005078094546</v>
      </c>
      <c r="J35" s="4">
        <f t="shared" si="2"/>
        <v>-21.000001579523087</v>
      </c>
      <c r="K35" s="4">
        <f t="shared" si="2"/>
        <v>-51.000005078094546</v>
      </c>
      <c r="N35" s="1" t="str">
        <f t="shared" si="6"/>
        <v>41.1</v>
      </c>
      <c r="O35" s="2">
        <f t="shared" si="3"/>
        <v>-1.446</v>
      </c>
      <c r="P35" s="2">
        <f t="shared" si="3"/>
        <v>-125.42</v>
      </c>
      <c r="R35" s="1">
        <f t="shared" si="4"/>
        <v>41.2</v>
      </c>
      <c r="S35" s="2">
        <f t="shared" si="5"/>
        <v>-22.446001579523088</v>
      </c>
      <c r="T35" s="2">
        <f t="shared" si="5"/>
        <v>-176.42000507809456</v>
      </c>
    </row>
    <row r="36" spans="1:21" x14ac:dyDescent="0.25">
      <c r="A36" s="6"/>
      <c r="B36" s="1">
        <v>42</v>
      </c>
      <c r="C36" s="2">
        <v>5.633</v>
      </c>
      <c r="D36" s="2">
        <v>-129.602</v>
      </c>
      <c r="E36" s="1">
        <v>0</v>
      </c>
      <c r="G36" s="3">
        <v>-0.69999995685066096</v>
      </c>
      <c r="H36" s="3">
        <v>-1.5000000857980922</v>
      </c>
      <c r="J36" s="4">
        <f t="shared" si="2"/>
        <v>-6.9999995685066096</v>
      </c>
      <c r="K36" s="4">
        <f t="shared" si="2"/>
        <v>-15.000000857980922</v>
      </c>
      <c r="N36" s="1" t="str">
        <f t="shared" si="6"/>
        <v>42.1</v>
      </c>
      <c r="O36" s="2">
        <f t="shared" si="3"/>
        <v>5.633</v>
      </c>
      <c r="P36" s="2">
        <f t="shared" si="3"/>
        <v>-129.602</v>
      </c>
      <c r="R36" s="1">
        <f t="shared" si="4"/>
        <v>42.2</v>
      </c>
      <c r="S36" s="2">
        <f t="shared" si="5"/>
        <v>-1.3669995685066096</v>
      </c>
      <c r="T36" s="2">
        <f t="shared" si="5"/>
        <v>-144.60200085798093</v>
      </c>
    </row>
    <row r="37" spans="1:21" x14ac:dyDescent="0.25">
      <c r="A37" s="6"/>
      <c r="B37" s="1">
        <v>43</v>
      </c>
      <c r="C37" s="2">
        <v>13.250999999999999</v>
      </c>
      <c r="D37" s="2">
        <v>-134.58600000000001</v>
      </c>
      <c r="E37" s="1">
        <v>0</v>
      </c>
      <c r="G37" s="3">
        <v>0.59999995573889464</v>
      </c>
      <c r="H37" s="3">
        <v>-0.50000034025288187</v>
      </c>
      <c r="J37" s="4">
        <f t="shared" si="2"/>
        <v>5.9999995573889464</v>
      </c>
      <c r="K37" s="4">
        <f t="shared" si="2"/>
        <v>-5.0000034025288187</v>
      </c>
      <c r="N37" s="1" t="str">
        <f t="shared" si="6"/>
        <v>43.1</v>
      </c>
      <c r="O37" s="2">
        <f t="shared" si="3"/>
        <v>13.250999999999999</v>
      </c>
      <c r="P37" s="2">
        <f t="shared" si="3"/>
        <v>-134.58600000000001</v>
      </c>
      <c r="R37" s="1">
        <f t="shared" si="4"/>
        <v>43.2</v>
      </c>
      <c r="S37" s="2">
        <f t="shared" si="5"/>
        <v>19.250999557388944</v>
      </c>
      <c r="T37" s="2">
        <f t="shared" si="5"/>
        <v>-139.58600340252883</v>
      </c>
    </row>
    <row r="38" spans="1:21" x14ac:dyDescent="0.25">
      <c r="A38" s="6"/>
      <c r="B38" s="1">
        <v>44</v>
      </c>
      <c r="C38" s="2">
        <v>21.382999999999999</v>
      </c>
      <c r="D38" s="2">
        <v>-139.898</v>
      </c>
      <c r="E38" s="1">
        <v>0</v>
      </c>
      <c r="G38" s="3">
        <v>0.59999974291713443</v>
      </c>
      <c r="H38" s="3">
        <v>-0.69999991319491528</v>
      </c>
      <c r="J38" s="4">
        <f t="shared" si="2"/>
        <v>5.9999974291713443</v>
      </c>
      <c r="K38" s="4">
        <f t="shared" si="2"/>
        <v>-6.9999991319491528</v>
      </c>
      <c r="N38" s="1" t="str">
        <f t="shared" si="6"/>
        <v>44.1</v>
      </c>
      <c r="O38" s="2">
        <f t="shared" si="3"/>
        <v>21.382999999999999</v>
      </c>
      <c r="P38" s="2">
        <f t="shared" si="3"/>
        <v>-139.898</v>
      </c>
      <c r="R38" s="1">
        <f t="shared" si="4"/>
        <v>44.2</v>
      </c>
      <c r="S38" s="2">
        <f t="shared" si="5"/>
        <v>27.382997429171343</v>
      </c>
      <c r="T38" s="2">
        <f t="shared" si="5"/>
        <v>-146.89799913194915</v>
      </c>
    </row>
    <row r="39" spans="1:21" x14ac:dyDescent="0.25">
      <c r="A39" s="6"/>
      <c r="B39" s="1">
        <v>51</v>
      </c>
      <c r="C39" s="2">
        <v>11.281000000000001</v>
      </c>
      <c r="D39" s="2">
        <v>-106.446</v>
      </c>
      <c r="E39" s="1">
        <v>0</v>
      </c>
      <c r="G39" s="3">
        <v>-1.3000001817999873</v>
      </c>
      <c r="H39" s="3">
        <v>-2.2000005155859981</v>
      </c>
      <c r="J39" s="4">
        <f t="shared" si="2"/>
        <v>-13.000001817999873</v>
      </c>
      <c r="K39" s="4">
        <f t="shared" si="2"/>
        <v>-22.000005155859981</v>
      </c>
      <c r="N39" s="1" t="str">
        <f t="shared" si="6"/>
        <v>51.1</v>
      </c>
      <c r="O39" s="2">
        <f t="shared" si="3"/>
        <v>11.281000000000001</v>
      </c>
      <c r="P39" s="2">
        <f t="shared" si="3"/>
        <v>-106.446</v>
      </c>
      <c r="R39" s="1">
        <f t="shared" si="4"/>
        <v>51.2</v>
      </c>
      <c r="S39" s="2">
        <f t="shared" si="5"/>
        <v>-1.7190018179998727</v>
      </c>
      <c r="T39" s="2">
        <f t="shared" si="5"/>
        <v>-128.44600515585998</v>
      </c>
    </row>
    <row r="40" spans="1:21" x14ac:dyDescent="0.25">
      <c r="A40" s="6"/>
      <c r="B40" s="1">
        <v>52</v>
      </c>
      <c r="C40" s="2">
        <v>18.076000000000001</v>
      </c>
      <c r="D40" s="2">
        <v>-111.29900000000001</v>
      </c>
      <c r="E40" s="1">
        <v>0</v>
      </c>
      <c r="G40" s="3">
        <v>-9.9999981102882884E-2</v>
      </c>
      <c r="H40" s="3">
        <v>-0.70000008781789802</v>
      </c>
      <c r="J40" s="4">
        <f t="shared" si="2"/>
        <v>-0.99999981102882884</v>
      </c>
      <c r="K40" s="4">
        <f t="shared" si="2"/>
        <v>-7.0000008781789802</v>
      </c>
      <c r="N40" s="1" t="str">
        <f t="shared" si="6"/>
        <v>52.1</v>
      </c>
      <c r="O40" s="2">
        <f t="shared" si="3"/>
        <v>18.076000000000001</v>
      </c>
      <c r="P40" s="2">
        <f t="shared" si="3"/>
        <v>-111.29900000000001</v>
      </c>
      <c r="R40" s="1">
        <f t="shared" si="4"/>
        <v>52.2</v>
      </c>
      <c r="S40" s="2">
        <f t="shared" si="5"/>
        <v>17.076000188971172</v>
      </c>
      <c r="T40" s="2">
        <f t="shared" si="5"/>
        <v>-118.29900087817899</v>
      </c>
    </row>
    <row r="41" spans="1:21" x14ac:dyDescent="0.25">
      <c r="A41" s="6"/>
      <c r="B41" s="1">
        <v>53</v>
      </c>
      <c r="C41" s="2">
        <v>25.427</v>
      </c>
      <c r="D41" s="2">
        <v>-116.506</v>
      </c>
      <c r="E41" s="1">
        <v>0</v>
      </c>
      <c r="G41" s="3">
        <v>-0.10000002657761797</v>
      </c>
      <c r="H41" s="3">
        <v>-1.2000004207948223</v>
      </c>
      <c r="J41" s="4">
        <f t="shared" si="2"/>
        <v>-1.0000002657761797</v>
      </c>
      <c r="K41" s="4">
        <f t="shared" si="2"/>
        <v>-12.000004207948223</v>
      </c>
      <c r="N41" s="1" t="str">
        <f t="shared" si="6"/>
        <v>53.1</v>
      </c>
      <c r="O41" s="2">
        <f t="shared" si="3"/>
        <v>25.427</v>
      </c>
      <c r="P41" s="2">
        <f t="shared" si="3"/>
        <v>-116.506</v>
      </c>
      <c r="R41" s="1">
        <f t="shared" si="4"/>
        <v>53.2</v>
      </c>
      <c r="S41" s="2">
        <f t="shared" si="5"/>
        <v>24.42699973422382</v>
      </c>
      <c r="T41" s="2">
        <f t="shared" si="5"/>
        <v>-128.50600420794822</v>
      </c>
    </row>
    <row r="42" spans="1:21" x14ac:dyDescent="0.25">
      <c r="A42" s="6"/>
      <c r="B42" s="1">
        <v>61</v>
      </c>
      <c r="C42" s="2">
        <v>30.222999999999999</v>
      </c>
      <c r="D42" s="2">
        <v>-82.584000000000003</v>
      </c>
      <c r="E42" s="1">
        <v>0</v>
      </c>
      <c r="G42" s="3">
        <v>0.1000001448119292</v>
      </c>
      <c r="H42" s="3">
        <v>-0.19999992218799889</v>
      </c>
      <c r="J42" s="4">
        <f t="shared" si="2"/>
        <v>1.000001448119292</v>
      </c>
      <c r="K42" s="4">
        <f t="shared" si="2"/>
        <v>-1.9999992218799889</v>
      </c>
      <c r="N42" s="1" t="str">
        <f t="shared" si="6"/>
        <v>61.1</v>
      </c>
      <c r="O42" s="2">
        <f t="shared" si="3"/>
        <v>30.222999999999999</v>
      </c>
      <c r="P42" s="2">
        <f t="shared" si="3"/>
        <v>-82.584000000000003</v>
      </c>
      <c r="R42" s="1">
        <f t="shared" si="4"/>
        <v>61.2</v>
      </c>
      <c r="S42" s="2">
        <f t="shared" si="5"/>
        <v>31.223001448119291</v>
      </c>
      <c r="T42" s="2">
        <f t="shared" si="5"/>
        <v>-84.583999221879992</v>
      </c>
    </row>
    <row r="43" spans="1:21" x14ac:dyDescent="0.25">
      <c r="A43" s="6"/>
      <c r="B43" s="1">
        <v>63</v>
      </c>
      <c r="C43" s="2">
        <v>36.637</v>
      </c>
      <c r="D43" s="2">
        <v>-87.884</v>
      </c>
      <c r="E43" s="1">
        <v>0</v>
      </c>
      <c r="G43" s="3">
        <v>-0.40000021908781491</v>
      </c>
      <c r="H43" s="3">
        <v>1.1999993148492649</v>
      </c>
      <c r="J43" s="4">
        <f t="shared" si="2"/>
        <v>-4.0000021908781491</v>
      </c>
      <c r="K43" s="4">
        <f t="shared" si="2"/>
        <v>11.999993148492649</v>
      </c>
      <c r="N43" s="1" t="str">
        <f t="shared" si="6"/>
        <v>63.1</v>
      </c>
      <c r="O43" s="2">
        <f t="shared" si="3"/>
        <v>36.637</v>
      </c>
      <c r="P43" s="2">
        <f t="shared" si="3"/>
        <v>-87.884</v>
      </c>
      <c r="R43" s="1">
        <f t="shared" si="4"/>
        <v>63.2</v>
      </c>
      <c r="S43" s="2">
        <f t="shared" si="5"/>
        <v>32.636997809121851</v>
      </c>
      <c r="T43" s="2">
        <f t="shared" si="5"/>
        <v>-75.884006851507351</v>
      </c>
    </row>
    <row r="44" spans="1:21" x14ac:dyDescent="0.25">
      <c r="A44" s="6"/>
      <c r="B44" s="1">
        <v>72</v>
      </c>
      <c r="C44" s="2">
        <v>45.234999999999999</v>
      </c>
      <c r="D44" s="2">
        <v>-65.638999999999996</v>
      </c>
      <c r="E44" s="1">
        <v>0</v>
      </c>
      <c r="G44" s="3">
        <v>0.79999983063316904</v>
      </c>
      <c r="H44" s="3">
        <v>-0.90000008640345186</v>
      </c>
      <c r="J44" s="4">
        <f t="shared" si="2"/>
        <v>7.9999983063316904</v>
      </c>
      <c r="K44" s="4">
        <f t="shared" si="2"/>
        <v>-9.0000008640345186</v>
      </c>
      <c r="N44" s="1" t="str">
        <f t="shared" si="6"/>
        <v>72.1</v>
      </c>
      <c r="O44" s="2">
        <f t="shared" si="3"/>
        <v>45.234999999999999</v>
      </c>
      <c r="P44" s="2">
        <f t="shared" si="3"/>
        <v>-65.638999999999996</v>
      </c>
      <c r="R44" s="1">
        <f t="shared" si="4"/>
        <v>72.199999999999989</v>
      </c>
      <c r="S44" s="2">
        <f t="shared" si="5"/>
        <v>53.23499830633169</v>
      </c>
      <c r="T44" s="2">
        <f t="shared" si="5"/>
        <v>-74.639000864034514</v>
      </c>
    </row>
    <row r="45" spans="1:21" x14ac:dyDescent="0.25">
      <c r="A45" s="10"/>
      <c r="B45" s="10"/>
      <c r="C45" s="26"/>
      <c r="D45" s="26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 x14ac:dyDescent="0.25">
      <c r="A46" s="10"/>
      <c r="B46" s="10"/>
      <c r="C46" s="26"/>
      <c r="D46" s="26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</sheetData>
  <mergeCells count="14">
    <mergeCell ref="J6:K6"/>
    <mergeCell ref="B26:T26"/>
    <mergeCell ref="B27:E27"/>
    <mergeCell ref="G27:H27"/>
    <mergeCell ref="J27:K27"/>
    <mergeCell ref="N27:P27"/>
    <mergeCell ref="R27:T27"/>
    <mergeCell ref="B4:T4"/>
    <mergeCell ref="B5:E5"/>
    <mergeCell ref="G5:H5"/>
    <mergeCell ref="J5:K5"/>
    <mergeCell ref="M5:O5"/>
    <mergeCell ref="Q5:S5"/>
    <mergeCell ref="B2:U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3C4E-BA2F-468B-AFEE-B04AED04344C}">
  <dimension ref="A1:T45"/>
  <sheetViews>
    <sheetView workbookViewId="0">
      <selection sqref="A1:XFD1048576"/>
    </sheetView>
  </sheetViews>
  <sheetFormatPr baseColWidth="10" defaultRowHeight="15" x14ac:dyDescent="0.25"/>
  <cols>
    <col min="1" max="1" width="11.42578125" style="10"/>
    <col min="2" max="2" width="11.42578125" style="1"/>
    <col min="3" max="4" width="11.42578125" style="2"/>
    <col min="5" max="5" width="11.42578125" style="1"/>
    <col min="6" max="6" width="11.42578125" style="10"/>
    <col min="7" max="8" width="11.42578125" style="1"/>
    <col min="9" max="9" width="11.42578125" style="10"/>
    <col min="10" max="11" width="11.42578125" style="1"/>
    <col min="12" max="12" width="11.42578125" style="10"/>
    <col min="13" max="16384" width="11.42578125" style="1"/>
  </cols>
  <sheetData>
    <row r="1" spans="2:20" s="10" customFormat="1" x14ac:dyDescent="0.25">
      <c r="C1" s="26"/>
      <c r="D1" s="26"/>
    </row>
    <row r="2" spans="2:20" ht="18.75" x14ac:dyDescent="0.25">
      <c r="B2" s="27" t="s">
        <v>17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2:20" ht="18.75" x14ac:dyDescent="0.25">
      <c r="B3" s="25" t="s">
        <v>11</v>
      </c>
      <c r="C3" s="25"/>
      <c r="D3" s="25"/>
      <c r="E3" s="25"/>
      <c r="G3" s="25" t="s">
        <v>5</v>
      </c>
      <c r="H3" s="25"/>
      <c r="I3" s="12"/>
      <c r="J3" s="25" t="s">
        <v>6</v>
      </c>
      <c r="K3" s="25"/>
      <c r="L3" s="12"/>
      <c r="M3" s="25" t="s">
        <v>7</v>
      </c>
      <c r="N3" s="25"/>
      <c r="O3" s="25"/>
      <c r="P3" s="12"/>
      <c r="Q3" s="25" t="s">
        <v>8</v>
      </c>
      <c r="R3" s="25"/>
      <c r="S3" s="25"/>
    </row>
    <row r="4" spans="2:20" x14ac:dyDescent="0.25">
      <c r="B4" s="15" t="s">
        <v>0</v>
      </c>
      <c r="C4" s="16" t="s">
        <v>1</v>
      </c>
      <c r="D4" s="16" t="s">
        <v>2</v>
      </c>
      <c r="E4" s="15" t="s">
        <v>3</v>
      </c>
      <c r="G4" s="19" t="s">
        <v>5</v>
      </c>
      <c r="H4" s="19" t="s">
        <v>13</v>
      </c>
      <c r="I4" s="11"/>
      <c r="J4" s="21" t="s">
        <v>6</v>
      </c>
      <c r="K4" s="21"/>
      <c r="L4" s="11"/>
      <c r="M4" s="19" t="s">
        <v>14</v>
      </c>
      <c r="N4" s="19" t="s">
        <v>15</v>
      </c>
      <c r="O4" s="19" t="s">
        <v>16</v>
      </c>
      <c r="P4" s="11"/>
      <c r="Q4" s="19" t="s">
        <v>14</v>
      </c>
      <c r="R4" s="19" t="s">
        <v>15</v>
      </c>
      <c r="S4" s="19" t="s">
        <v>16</v>
      </c>
    </row>
    <row r="5" spans="2:20" x14ac:dyDescent="0.25">
      <c r="B5" s="17">
        <v>1</v>
      </c>
      <c r="C5" s="18">
        <v>18644.16</v>
      </c>
      <c r="D5" s="18">
        <v>97030.99</v>
      </c>
      <c r="E5" s="17">
        <v>0</v>
      </c>
      <c r="G5" s="20">
        <v>-0.80000003799796104</v>
      </c>
      <c r="H5" s="20">
        <v>1.0999999940395355</v>
      </c>
      <c r="J5" s="22">
        <f>G5*10</f>
        <v>-8.0000003799796104</v>
      </c>
      <c r="K5" s="22">
        <f>H5*10</f>
        <v>10.999999940395355</v>
      </c>
      <c r="M5" s="23" t="str">
        <f>B5&amp;".1"</f>
        <v>1.1</v>
      </c>
      <c r="N5" s="24">
        <f>C5</f>
        <v>18644.16</v>
      </c>
      <c r="O5" s="24">
        <f>D5</f>
        <v>97030.99</v>
      </c>
      <c r="P5" s="10"/>
      <c r="Q5" s="23">
        <f>M5+0.1</f>
        <v>1.2000000000000002</v>
      </c>
      <c r="R5" s="24">
        <f>N5+J5</f>
        <v>18636.15999962002</v>
      </c>
      <c r="S5" s="24">
        <f>O5+K5</f>
        <v>97041.989999940401</v>
      </c>
    </row>
    <row r="6" spans="2:20" x14ac:dyDescent="0.25">
      <c r="B6" s="17">
        <v>2</v>
      </c>
      <c r="C6" s="18">
        <v>18633.689999999999</v>
      </c>
      <c r="D6" s="18">
        <v>97064.51</v>
      </c>
      <c r="E6" s="17">
        <v>0</v>
      </c>
      <c r="G6" s="20">
        <v>-0.39999955333769321</v>
      </c>
      <c r="H6" s="20">
        <v>0.59999991208314896</v>
      </c>
      <c r="J6" s="22">
        <f t="shared" ref="J6:K19" si="0">G6*10</f>
        <v>-3.9999955333769321</v>
      </c>
      <c r="K6" s="22">
        <f t="shared" si="0"/>
        <v>5.9999991208314896</v>
      </c>
      <c r="M6" s="23" t="str">
        <f>B6&amp;".1"</f>
        <v>2.1</v>
      </c>
      <c r="N6" s="24">
        <f>C6</f>
        <v>18633.689999999999</v>
      </c>
      <c r="O6" s="24">
        <f>D6</f>
        <v>97064.51</v>
      </c>
      <c r="P6" s="10"/>
      <c r="Q6" s="23">
        <f t="shared" ref="Q6:Q19" si="1">M6+0.1</f>
        <v>2.2000000000000002</v>
      </c>
      <c r="R6" s="24">
        <f>N6+J6</f>
        <v>18629.690004466622</v>
      </c>
      <c r="S6" s="24">
        <f>O6+K6</f>
        <v>97070.509999120826</v>
      </c>
    </row>
    <row r="7" spans="2:20" x14ac:dyDescent="0.25">
      <c r="B7" s="17">
        <v>3</v>
      </c>
      <c r="C7" s="18">
        <v>18623.53</v>
      </c>
      <c r="D7" s="18">
        <v>97097.55</v>
      </c>
      <c r="E7" s="17">
        <v>0</v>
      </c>
      <c r="G7" s="20">
        <v>-0.90000010095536709</v>
      </c>
      <c r="H7" s="20">
        <v>1.4000004157423973</v>
      </c>
      <c r="J7" s="22">
        <f t="shared" si="0"/>
        <v>-9.0000010095536709</v>
      </c>
      <c r="K7" s="22">
        <f t="shared" si="0"/>
        <v>14.000004157423973</v>
      </c>
      <c r="M7" s="23" t="str">
        <f>B7&amp;".1"</f>
        <v>3.1</v>
      </c>
      <c r="N7" s="24">
        <f>C7</f>
        <v>18623.53</v>
      </c>
      <c r="O7" s="24">
        <f>D7</f>
        <v>97097.55</v>
      </c>
      <c r="P7" s="10"/>
      <c r="Q7" s="23">
        <f t="shared" si="1"/>
        <v>3.2</v>
      </c>
      <c r="R7" s="24">
        <f>N7+J7</f>
        <v>18614.529998990445</v>
      </c>
      <c r="S7" s="24">
        <f>O7+K7</f>
        <v>97111.550004157427</v>
      </c>
    </row>
    <row r="8" spans="2:20" x14ac:dyDescent="0.25">
      <c r="B8" s="17">
        <v>4</v>
      </c>
      <c r="C8" s="18">
        <v>18613.12</v>
      </c>
      <c r="D8" s="18">
        <v>97131.39</v>
      </c>
      <c r="E8" s="17">
        <v>0</v>
      </c>
      <c r="G8" s="20">
        <v>-1.5999996103346348</v>
      </c>
      <c r="H8" s="20">
        <v>1.8999995663762093</v>
      </c>
      <c r="J8" s="22">
        <f t="shared" si="0"/>
        <v>-15.999996103346348</v>
      </c>
      <c r="K8" s="22">
        <f t="shared" si="0"/>
        <v>18.999995663762093</v>
      </c>
      <c r="M8" s="23" t="str">
        <f>B8&amp;".1"</f>
        <v>4.1</v>
      </c>
      <c r="N8" s="24">
        <f>C8</f>
        <v>18613.12</v>
      </c>
      <c r="O8" s="24">
        <f>D8</f>
        <v>97131.39</v>
      </c>
      <c r="P8" s="10"/>
      <c r="Q8" s="23">
        <f t="shared" si="1"/>
        <v>4.1999999999999993</v>
      </c>
      <c r="R8" s="24">
        <f>N8+J8</f>
        <v>18597.120003896653</v>
      </c>
      <c r="S8" s="24">
        <f>O8+K8</f>
        <v>97150.389995663762</v>
      </c>
    </row>
    <row r="9" spans="2:20" x14ac:dyDescent="0.25">
      <c r="B9" s="17">
        <v>5</v>
      </c>
      <c r="C9" s="18">
        <v>18602.98</v>
      </c>
      <c r="D9" s="18">
        <v>97164.54</v>
      </c>
      <c r="E9" s="17">
        <v>0</v>
      </c>
      <c r="G9" s="20">
        <v>-1.1000004597008228</v>
      </c>
      <c r="H9" s="20">
        <v>2.099999226629734</v>
      </c>
      <c r="J9" s="22">
        <f t="shared" si="0"/>
        <v>-11.000004597008228</v>
      </c>
      <c r="K9" s="22">
        <f t="shared" si="0"/>
        <v>20.99999226629734</v>
      </c>
      <c r="M9" s="23" t="str">
        <f>B9&amp;".1"</f>
        <v>5.1</v>
      </c>
      <c r="N9" s="24">
        <f>C9</f>
        <v>18602.98</v>
      </c>
      <c r="O9" s="24">
        <f>D9</f>
        <v>97164.54</v>
      </c>
      <c r="P9" s="10"/>
      <c r="Q9" s="23">
        <f t="shared" si="1"/>
        <v>5.1999999999999993</v>
      </c>
      <c r="R9" s="24">
        <f>N9+J9</f>
        <v>18591.979995402991</v>
      </c>
      <c r="S9" s="24">
        <f>O9+K9</f>
        <v>97185.539992266291</v>
      </c>
    </row>
    <row r="10" spans="2:20" x14ac:dyDescent="0.25">
      <c r="B10" s="17">
        <v>6</v>
      </c>
      <c r="C10" s="18">
        <v>18592.560000000001</v>
      </c>
      <c r="D10" s="18">
        <v>97198.12</v>
      </c>
      <c r="E10" s="17">
        <v>0</v>
      </c>
      <c r="G10" s="20">
        <v>-0.5999996792525053</v>
      </c>
      <c r="H10" s="20">
        <v>1.0000001639127731</v>
      </c>
      <c r="J10" s="22">
        <f t="shared" si="0"/>
        <v>-5.999996792525053</v>
      </c>
      <c r="K10" s="22">
        <f t="shared" si="0"/>
        <v>10.000001639127731</v>
      </c>
      <c r="M10" s="23" t="str">
        <f>B10&amp;".1"</f>
        <v>6.1</v>
      </c>
      <c r="N10" s="24">
        <f>C10</f>
        <v>18592.560000000001</v>
      </c>
      <c r="O10" s="24">
        <f>D10</f>
        <v>97198.12</v>
      </c>
      <c r="P10" s="10"/>
      <c r="Q10" s="23">
        <f t="shared" si="1"/>
        <v>6.1999999999999993</v>
      </c>
      <c r="R10" s="24">
        <f>N10+J10</f>
        <v>18586.560003207476</v>
      </c>
      <c r="S10" s="24">
        <f>O10+K10</f>
        <v>97208.120001639123</v>
      </c>
    </row>
    <row r="11" spans="2:20" x14ac:dyDescent="0.25">
      <c r="B11" s="17">
        <v>7</v>
      </c>
      <c r="C11" s="18">
        <v>18659.099999999999</v>
      </c>
      <c r="D11" s="18">
        <v>97072.24</v>
      </c>
      <c r="E11" s="17">
        <v>0</v>
      </c>
      <c r="G11" s="20">
        <v>9.999983012676239E-2</v>
      </c>
      <c r="H11" s="20">
        <v>0.70000067353248596</v>
      </c>
      <c r="J11" s="22">
        <f t="shared" si="0"/>
        <v>0.9999983012676239</v>
      </c>
      <c r="K11" s="22">
        <f t="shared" si="0"/>
        <v>7.0000067353248596</v>
      </c>
      <c r="M11" s="23" t="str">
        <f>B11&amp;".1"</f>
        <v>7.1</v>
      </c>
      <c r="N11" s="24">
        <f>C11</f>
        <v>18659.099999999999</v>
      </c>
      <c r="O11" s="24">
        <f>D11</f>
        <v>97072.24</v>
      </c>
      <c r="P11" s="10"/>
      <c r="Q11" s="23">
        <f t="shared" si="1"/>
        <v>7.1999999999999993</v>
      </c>
      <c r="R11" s="24">
        <f>N11+J11</f>
        <v>18660.099998301266</v>
      </c>
      <c r="S11" s="24">
        <f>O11+K11</f>
        <v>97079.24000673533</v>
      </c>
    </row>
    <row r="12" spans="2:20" x14ac:dyDescent="0.25">
      <c r="B12" s="17">
        <v>8</v>
      </c>
      <c r="C12" s="18">
        <v>18648.63</v>
      </c>
      <c r="D12" s="18">
        <v>97105.57</v>
      </c>
      <c r="E12" s="17">
        <v>0</v>
      </c>
      <c r="G12" s="20">
        <v>-1.3000001199543476</v>
      </c>
      <c r="H12" s="20">
        <v>2.1000001579523087</v>
      </c>
      <c r="J12" s="22">
        <f t="shared" si="0"/>
        <v>-13.000001199543476</v>
      </c>
      <c r="K12" s="22">
        <f t="shared" si="0"/>
        <v>21.000001579523087</v>
      </c>
      <c r="M12" s="23" t="str">
        <f>B12&amp;".1"</f>
        <v>8.1</v>
      </c>
      <c r="N12" s="24">
        <f>C12</f>
        <v>18648.63</v>
      </c>
      <c r="O12" s="24">
        <f>D12</f>
        <v>97105.57</v>
      </c>
      <c r="P12" s="10"/>
      <c r="Q12" s="23">
        <f t="shared" si="1"/>
        <v>8.1999999999999993</v>
      </c>
      <c r="R12" s="24">
        <f>N12+J12</f>
        <v>18635.629998800458</v>
      </c>
      <c r="S12" s="24">
        <f>O12+K12</f>
        <v>97126.57000157953</v>
      </c>
    </row>
    <row r="13" spans="2:20" x14ac:dyDescent="0.25">
      <c r="B13" s="17">
        <v>9</v>
      </c>
      <c r="C13" s="18">
        <v>18638.21</v>
      </c>
      <c r="D13" s="18">
        <v>97138.96</v>
      </c>
      <c r="E13" s="17">
        <v>0</v>
      </c>
      <c r="G13" s="20">
        <v>-0.40000025182962418</v>
      </c>
      <c r="H13" s="20">
        <v>1.4999993145465851</v>
      </c>
      <c r="J13" s="22">
        <f t="shared" si="0"/>
        <v>-4.0000025182962418</v>
      </c>
      <c r="K13" s="22">
        <f t="shared" si="0"/>
        <v>14.999993145465851</v>
      </c>
      <c r="M13" s="23" t="str">
        <f>B13&amp;".1"</f>
        <v>9.1</v>
      </c>
      <c r="N13" s="24">
        <f>C13</f>
        <v>18638.21</v>
      </c>
      <c r="O13" s="24">
        <f>D13</f>
        <v>97138.96</v>
      </c>
      <c r="P13" s="10"/>
      <c r="Q13" s="23">
        <f t="shared" si="1"/>
        <v>9.1999999999999993</v>
      </c>
      <c r="R13" s="24">
        <f>N13+J13</f>
        <v>18634.209997481703</v>
      </c>
      <c r="S13" s="24">
        <f>O13+K13</f>
        <v>97153.959993145472</v>
      </c>
    </row>
    <row r="14" spans="2:20" x14ac:dyDescent="0.25">
      <c r="B14" s="17">
        <v>10</v>
      </c>
      <c r="C14" s="18">
        <v>18627.75</v>
      </c>
      <c r="D14" s="18">
        <v>97172.41</v>
      </c>
      <c r="E14" s="17">
        <v>0</v>
      </c>
      <c r="G14" s="20">
        <v>0.2000005915760994</v>
      </c>
      <c r="H14" s="20">
        <v>2.3999996483325958</v>
      </c>
      <c r="J14" s="22">
        <f t="shared" si="0"/>
        <v>2.000005915760994</v>
      </c>
      <c r="K14" s="22">
        <f t="shared" si="0"/>
        <v>23.999996483325958</v>
      </c>
      <c r="M14" s="23" t="str">
        <f>B14&amp;".1"</f>
        <v>10.1</v>
      </c>
      <c r="N14" s="24">
        <f>C14</f>
        <v>18627.75</v>
      </c>
      <c r="O14" s="24">
        <f>D14</f>
        <v>97172.41</v>
      </c>
      <c r="P14" s="10"/>
      <c r="Q14" s="23">
        <f t="shared" si="1"/>
        <v>10.199999999999999</v>
      </c>
      <c r="R14" s="24">
        <f>N14+J14</f>
        <v>18629.750005915761</v>
      </c>
      <c r="S14" s="24">
        <f>O14+K14</f>
        <v>97196.409996483329</v>
      </c>
    </row>
    <row r="15" spans="2:20" x14ac:dyDescent="0.25">
      <c r="B15" s="17">
        <v>11</v>
      </c>
      <c r="C15" s="18">
        <v>18679.48</v>
      </c>
      <c r="D15" s="18">
        <v>97116.84</v>
      </c>
      <c r="E15" s="17">
        <v>0</v>
      </c>
      <c r="G15" s="20">
        <v>-0.30000065453350544</v>
      </c>
      <c r="H15" s="20">
        <v>1.9000004976987839</v>
      </c>
      <c r="J15" s="22">
        <f t="shared" si="0"/>
        <v>-3.0000065453350544</v>
      </c>
      <c r="K15" s="22">
        <f t="shared" si="0"/>
        <v>19.000004976987839</v>
      </c>
      <c r="M15" s="23" t="str">
        <f>B15&amp;".1"</f>
        <v>11.1</v>
      </c>
      <c r="N15" s="24">
        <f>C15</f>
        <v>18679.48</v>
      </c>
      <c r="O15" s="24">
        <f>D15</f>
        <v>97116.84</v>
      </c>
      <c r="P15" s="10"/>
      <c r="Q15" s="23">
        <f t="shared" si="1"/>
        <v>11.2</v>
      </c>
      <c r="R15" s="24">
        <f>N15+J15</f>
        <v>18676.479993454665</v>
      </c>
      <c r="S15" s="24">
        <f>O15+K15</f>
        <v>97135.840004976984</v>
      </c>
    </row>
    <row r="16" spans="2:20" x14ac:dyDescent="0.25">
      <c r="B16" s="17">
        <v>12</v>
      </c>
      <c r="C16" s="18">
        <v>18670.34</v>
      </c>
      <c r="D16" s="18">
        <v>97148.43</v>
      </c>
      <c r="E16" s="17">
        <v>0</v>
      </c>
      <c r="G16" s="20">
        <v>1.7999999690800905</v>
      </c>
      <c r="H16" s="20">
        <v>2.0000003278255463</v>
      </c>
      <c r="J16" s="22">
        <f t="shared" si="0"/>
        <v>17.999999690800905</v>
      </c>
      <c r="K16" s="22">
        <f t="shared" si="0"/>
        <v>20.000003278255463</v>
      </c>
      <c r="M16" s="23" t="str">
        <f>B16&amp;".1"</f>
        <v>12.1</v>
      </c>
      <c r="N16" s="24">
        <f>C16</f>
        <v>18670.34</v>
      </c>
      <c r="O16" s="24">
        <f>D16</f>
        <v>97148.43</v>
      </c>
      <c r="P16" s="10"/>
      <c r="Q16" s="23">
        <f t="shared" si="1"/>
        <v>12.2</v>
      </c>
      <c r="R16" s="24">
        <f>N16+J16</f>
        <v>18688.339999690801</v>
      </c>
      <c r="S16" s="24">
        <f>O16+K16</f>
        <v>97168.430003278248</v>
      </c>
    </row>
    <row r="17" spans="2:20" x14ac:dyDescent="0.25">
      <c r="B17" s="17">
        <v>13</v>
      </c>
      <c r="C17" s="18">
        <v>18659.330000000002</v>
      </c>
      <c r="D17" s="18">
        <v>97183.1</v>
      </c>
      <c r="E17" s="17">
        <v>0</v>
      </c>
      <c r="G17" s="20">
        <v>0.99999993108212948</v>
      </c>
      <c r="H17" s="20">
        <v>3.1000003218650818</v>
      </c>
      <c r="J17" s="22">
        <f t="shared" si="0"/>
        <v>9.9999993108212948</v>
      </c>
      <c r="K17" s="22">
        <f t="shared" si="0"/>
        <v>31.000003218650818</v>
      </c>
      <c r="M17" s="23" t="str">
        <f>B17&amp;".1"</f>
        <v>13.1</v>
      </c>
      <c r="N17" s="24">
        <f>C17</f>
        <v>18659.330000000002</v>
      </c>
      <c r="O17" s="24">
        <f>D17</f>
        <v>97183.1</v>
      </c>
      <c r="P17" s="10"/>
      <c r="Q17" s="23">
        <f t="shared" si="1"/>
        <v>13.2</v>
      </c>
      <c r="R17" s="24">
        <f>N17+J17</f>
        <v>18669.329999310823</v>
      </c>
      <c r="S17" s="24">
        <f>O17+K17</f>
        <v>97214.100003218657</v>
      </c>
    </row>
    <row r="18" spans="2:20" x14ac:dyDescent="0.25">
      <c r="B18" s="17">
        <v>901</v>
      </c>
      <c r="C18" s="18">
        <v>18526.41</v>
      </c>
      <c r="D18" s="18">
        <v>97156.98</v>
      </c>
      <c r="E18" s="17">
        <v>0</v>
      </c>
      <c r="G18" s="20">
        <v>1.999999862164259</v>
      </c>
      <c r="H18" s="20">
        <v>-7.6999999582767487</v>
      </c>
      <c r="J18" s="22">
        <f t="shared" si="0"/>
        <v>19.99999862164259</v>
      </c>
      <c r="K18" s="22">
        <f t="shared" si="0"/>
        <v>-76.999999582767487</v>
      </c>
      <c r="M18" s="23" t="str">
        <f>B18&amp;".1"</f>
        <v>901.1</v>
      </c>
      <c r="N18" s="24">
        <f>C18</f>
        <v>18526.41</v>
      </c>
      <c r="O18" s="24">
        <f>D18</f>
        <v>97156.98</v>
      </c>
      <c r="P18" s="10"/>
      <c r="Q18" s="23">
        <f t="shared" si="1"/>
        <v>901.2</v>
      </c>
      <c r="R18" s="24">
        <f>N18+J18</f>
        <v>18546.409998621642</v>
      </c>
      <c r="S18" s="24">
        <f>O18+K18</f>
        <v>97079.980000417228</v>
      </c>
    </row>
    <row r="19" spans="2:20" x14ac:dyDescent="0.25">
      <c r="B19" s="17">
        <v>902</v>
      </c>
      <c r="C19" s="18">
        <v>18525.18</v>
      </c>
      <c r="D19" s="18">
        <v>97159.05</v>
      </c>
      <c r="E19" s="17">
        <v>0</v>
      </c>
      <c r="G19" s="20">
        <v>1.8000004347413778</v>
      </c>
      <c r="H19" s="20">
        <v>-7.9999994486570358</v>
      </c>
      <c r="J19" s="22">
        <f t="shared" si="0"/>
        <v>18.000004347413778</v>
      </c>
      <c r="K19" s="22">
        <f t="shared" si="0"/>
        <v>-79.999994486570358</v>
      </c>
      <c r="M19" s="23" t="str">
        <f>B19&amp;".1"</f>
        <v>902.1</v>
      </c>
      <c r="N19" s="24">
        <f>C19</f>
        <v>18525.18</v>
      </c>
      <c r="O19" s="24">
        <f>D19</f>
        <v>97159.05</v>
      </c>
      <c r="P19" s="10"/>
      <c r="Q19" s="23">
        <f t="shared" si="1"/>
        <v>902.2</v>
      </c>
      <c r="R19" s="24">
        <f>N19+J19</f>
        <v>18543.180004347414</v>
      </c>
      <c r="S19" s="24">
        <f>O19+K19</f>
        <v>97079.050005513433</v>
      </c>
    </row>
    <row r="20" spans="2:20" x14ac:dyDescent="0.25">
      <c r="G20" s="3"/>
      <c r="H20" s="3"/>
      <c r="J20" s="4"/>
      <c r="K20" s="4"/>
      <c r="N20" s="2"/>
      <c r="O20" s="2"/>
      <c r="P20" s="10"/>
      <c r="R20" s="2"/>
      <c r="S20" s="2"/>
    </row>
    <row r="21" spans="2:20" x14ac:dyDescent="0.25">
      <c r="G21" s="3"/>
      <c r="H21" s="3"/>
      <c r="J21" s="4"/>
      <c r="K21" s="4"/>
      <c r="N21" s="2"/>
      <c r="O21" s="2"/>
      <c r="P21" s="10"/>
      <c r="R21" s="2"/>
      <c r="S21" s="2"/>
    </row>
    <row r="22" spans="2:20" x14ac:dyDescent="0.25">
      <c r="G22" s="3"/>
      <c r="H22" s="3"/>
      <c r="J22" s="4"/>
      <c r="K22" s="4"/>
      <c r="N22" s="2"/>
      <c r="O22" s="2"/>
      <c r="P22" s="10"/>
      <c r="R22" s="2"/>
      <c r="S22" s="2"/>
    </row>
    <row r="23" spans="2:20" x14ac:dyDescent="0.25">
      <c r="P23" s="10"/>
    </row>
    <row r="24" spans="2:20" x14ac:dyDescent="0.25">
      <c r="P24" s="10"/>
    </row>
    <row r="25" spans="2:20" x14ac:dyDescent="0.25">
      <c r="P25" s="10"/>
    </row>
    <row r="26" spans="2:20" x14ac:dyDescent="0.25">
      <c r="B26" s="5" t="s">
        <v>10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 x14ac:dyDescent="0.25">
      <c r="B27" s="5" t="s">
        <v>11</v>
      </c>
      <c r="C27" s="5"/>
      <c r="D27" s="5"/>
      <c r="E27" s="5"/>
      <c r="G27" s="5" t="s">
        <v>5</v>
      </c>
      <c r="H27" s="5"/>
      <c r="J27" s="5" t="s">
        <v>6</v>
      </c>
      <c r="K27" s="5"/>
      <c r="M27" s="5" t="s">
        <v>7</v>
      </c>
      <c r="N27" s="5"/>
      <c r="O27" s="5"/>
      <c r="P27" s="10"/>
      <c r="Q27" s="5" t="s">
        <v>8</v>
      </c>
      <c r="R27" s="5"/>
      <c r="S27" s="5"/>
    </row>
    <row r="28" spans="2:20" x14ac:dyDescent="0.25">
      <c r="B28" s="1" t="s">
        <v>0</v>
      </c>
      <c r="C28" s="2" t="s">
        <v>1</v>
      </c>
      <c r="D28" s="2" t="s">
        <v>2</v>
      </c>
      <c r="E28" s="1" t="s">
        <v>3</v>
      </c>
      <c r="P28" s="10"/>
    </row>
    <row r="29" spans="2:20" x14ac:dyDescent="0.25">
      <c r="B29" s="1">
        <v>1</v>
      </c>
      <c r="C29" s="2">
        <v>-33.47</v>
      </c>
      <c r="D29" s="2">
        <v>-239.78100000000001</v>
      </c>
      <c r="E29" s="1">
        <v>0</v>
      </c>
      <c r="G29" s="3">
        <v>-0.80000003799796104</v>
      </c>
      <c r="H29" s="3">
        <v>1.0999999940395355</v>
      </c>
      <c r="J29" s="4">
        <f>G29*10</f>
        <v>-8.0000003799796104</v>
      </c>
      <c r="K29" s="4">
        <f>H29*10</f>
        <v>10.999999940395355</v>
      </c>
      <c r="M29" s="1" t="str">
        <f>B29&amp;".1"</f>
        <v>1.1</v>
      </c>
      <c r="N29" s="2">
        <f>C29</f>
        <v>-33.47</v>
      </c>
      <c r="O29" s="2">
        <f>D29</f>
        <v>-239.78100000000001</v>
      </c>
      <c r="P29" s="10"/>
      <c r="Q29" s="1">
        <f>M29+0.1</f>
        <v>1.2000000000000002</v>
      </c>
      <c r="R29" s="2">
        <f>N29+J29</f>
        <v>-41.470000379979609</v>
      </c>
      <c r="S29" s="2">
        <f>O29+K29</f>
        <v>-228.78100005960465</v>
      </c>
    </row>
    <row r="30" spans="2:20" x14ac:dyDescent="0.25">
      <c r="B30" s="1">
        <v>2</v>
      </c>
      <c r="C30" s="2">
        <v>-43.648000000000003</v>
      </c>
      <c r="D30" s="2">
        <v>-206.172</v>
      </c>
      <c r="E30" s="1">
        <v>0</v>
      </c>
      <c r="G30" s="3">
        <v>-0.39999955333769321</v>
      </c>
      <c r="H30" s="3">
        <v>0.59999991208314896</v>
      </c>
      <c r="J30" s="4">
        <f t="shared" ref="J30:K43" si="2">G30*10</f>
        <v>-3.9999955333769321</v>
      </c>
      <c r="K30" s="4">
        <f t="shared" si="2"/>
        <v>5.9999991208314896</v>
      </c>
      <c r="M30" s="1" t="str">
        <f>B30&amp;".1"</f>
        <v>2.1</v>
      </c>
      <c r="N30" s="2">
        <f>C30</f>
        <v>-43.648000000000003</v>
      </c>
      <c r="O30" s="2">
        <f>D30</f>
        <v>-206.172</v>
      </c>
      <c r="P30" s="10"/>
      <c r="Q30" s="1">
        <f t="shared" ref="Q30:Q43" si="3">M30+0.1</f>
        <v>2.2000000000000002</v>
      </c>
      <c r="R30" s="2">
        <f>N30+J30</f>
        <v>-47.647995533376935</v>
      </c>
      <c r="S30" s="2">
        <f>O30+K30</f>
        <v>-200.17200087916851</v>
      </c>
    </row>
    <row r="31" spans="2:20" x14ac:dyDescent="0.25">
      <c r="B31" s="1">
        <v>3</v>
      </c>
      <c r="C31" s="2">
        <v>-53.52</v>
      </c>
      <c r="D31" s="2">
        <v>-173.04499999999999</v>
      </c>
      <c r="E31" s="1">
        <v>0</v>
      </c>
      <c r="G31" s="3">
        <v>-0.90000010095536709</v>
      </c>
      <c r="H31" s="3">
        <v>1.4000004157423973</v>
      </c>
      <c r="J31" s="4">
        <f t="shared" si="2"/>
        <v>-9.0000010095536709</v>
      </c>
      <c r="K31" s="4">
        <f t="shared" si="2"/>
        <v>14.000004157423973</v>
      </c>
      <c r="M31" s="1" t="str">
        <f>B31&amp;".1"</f>
        <v>3.1</v>
      </c>
      <c r="N31" s="2">
        <f>C31</f>
        <v>-53.52</v>
      </c>
      <c r="O31" s="2">
        <f>D31</f>
        <v>-173.04499999999999</v>
      </c>
      <c r="P31" s="10"/>
      <c r="Q31" s="1">
        <f t="shared" si="3"/>
        <v>3.2</v>
      </c>
      <c r="R31" s="2">
        <f>N31+J31</f>
        <v>-62.520001009553674</v>
      </c>
      <c r="S31" s="2">
        <f>O31+K31</f>
        <v>-159.04499584257601</v>
      </c>
    </row>
    <row r="32" spans="2:20" x14ac:dyDescent="0.25">
      <c r="B32" s="1">
        <v>4</v>
      </c>
      <c r="C32" s="2">
        <v>-63.636000000000003</v>
      </c>
      <c r="D32" s="2">
        <v>-139.11600000000001</v>
      </c>
      <c r="E32" s="1">
        <v>0</v>
      </c>
      <c r="G32" s="3">
        <v>-1.5999996103346348</v>
      </c>
      <c r="H32" s="3">
        <v>1.8999995663762093</v>
      </c>
      <c r="J32" s="4">
        <f t="shared" si="2"/>
        <v>-15.999996103346348</v>
      </c>
      <c r="K32" s="4">
        <f t="shared" si="2"/>
        <v>18.999995663762093</v>
      </c>
      <c r="M32" s="1" t="str">
        <f>B32&amp;".1"</f>
        <v>4.1</v>
      </c>
      <c r="N32" s="2">
        <f>C32</f>
        <v>-63.636000000000003</v>
      </c>
      <c r="O32" s="2">
        <f>D32</f>
        <v>-139.11600000000001</v>
      </c>
      <c r="P32" s="10"/>
      <c r="Q32" s="1">
        <f t="shared" si="3"/>
        <v>4.1999999999999993</v>
      </c>
      <c r="R32" s="2">
        <f>N32+J32</f>
        <v>-79.635996103346343</v>
      </c>
      <c r="S32" s="2">
        <f>O32+K32</f>
        <v>-120.11600433623792</v>
      </c>
    </row>
    <row r="33" spans="2:20" x14ac:dyDescent="0.25">
      <c r="B33" s="1">
        <v>5</v>
      </c>
      <c r="C33" s="2">
        <v>-73.488</v>
      </c>
      <c r="D33" s="2">
        <v>-105.879</v>
      </c>
      <c r="E33" s="1">
        <v>0</v>
      </c>
      <c r="G33" s="3">
        <v>-1.1000004597008228</v>
      </c>
      <c r="H33" s="3">
        <v>2.099999226629734</v>
      </c>
      <c r="J33" s="4">
        <f t="shared" si="2"/>
        <v>-11.000004597008228</v>
      </c>
      <c r="K33" s="4">
        <f t="shared" si="2"/>
        <v>20.99999226629734</v>
      </c>
      <c r="M33" s="1" t="str">
        <f>B33&amp;".1"</f>
        <v>5.1</v>
      </c>
      <c r="N33" s="2">
        <f>C33</f>
        <v>-73.488</v>
      </c>
      <c r="O33" s="2">
        <f>D33</f>
        <v>-105.879</v>
      </c>
      <c r="P33" s="10"/>
      <c r="Q33" s="1">
        <f t="shared" si="3"/>
        <v>5.1999999999999993</v>
      </c>
      <c r="R33" s="2">
        <f>N33+J33</f>
        <v>-84.488004597008228</v>
      </c>
      <c r="S33" s="2">
        <f>O33+K33</f>
        <v>-84.879007733702664</v>
      </c>
    </row>
    <row r="34" spans="2:20" x14ac:dyDescent="0.25">
      <c r="B34" s="1">
        <v>6</v>
      </c>
      <c r="C34" s="2">
        <v>-83.616</v>
      </c>
      <c r="D34" s="2">
        <v>-72.209000000000003</v>
      </c>
      <c r="E34" s="1">
        <v>0</v>
      </c>
      <c r="G34" s="3">
        <v>-0.5999996792525053</v>
      </c>
      <c r="H34" s="3">
        <v>1.0000001639127731</v>
      </c>
      <c r="J34" s="4">
        <f t="shared" si="2"/>
        <v>-5.999996792525053</v>
      </c>
      <c r="K34" s="4">
        <f t="shared" si="2"/>
        <v>10.000001639127731</v>
      </c>
      <c r="M34" s="1" t="str">
        <f>B34&amp;".1"</f>
        <v>6.1</v>
      </c>
      <c r="N34" s="2">
        <f>C34</f>
        <v>-83.616</v>
      </c>
      <c r="O34" s="2">
        <f>D34</f>
        <v>-72.209000000000003</v>
      </c>
      <c r="P34" s="10"/>
      <c r="Q34" s="1">
        <f t="shared" si="3"/>
        <v>6.1999999999999993</v>
      </c>
      <c r="R34" s="2">
        <f>N34+J34</f>
        <v>-89.615996792525053</v>
      </c>
      <c r="S34" s="2">
        <f>O34+K34</f>
        <v>-62.208998360872272</v>
      </c>
    </row>
    <row r="35" spans="2:20" x14ac:dyDescent="0.25">
      <c r="B35" s="1">
        <v>7</v>
      </c>
      <c r="C35" s="2">
        <v>-18.172000000000001</v>
      </c>
      <c r="D35" s="2">
        <v>-198.66300000000001</v>
      </c>
      <c r="E35" s="1">
        <v>0</v>
      </c>
      <c r="G35" s="3">
        <v>9.999983012676239E-2</v>
      </c>
      <c r="H35" s="3">
        <v>0.70000067353248596</v>
      </c>
      <c r="J35" s="4">
        <f t="shared" si="2"/>
        <v>0.9999983012676239</v>
      </c>
      <c r="K35" s="4">
        <f t="shared" si="2"/>
        <v>7.0000067353248596</v>
      </c>
      <c r="M35" s="1" t="str">
        <f>B35&amp;".1"</f>
        <v>7.1</v>
      </c>
      <c r="N35" s="2">
        <f>C35</f>
        <v>-18.172000000000001</v>
      </c>
      <c r="O35" s="2">
        <f>D35</f>
        <v>-198.66300000000001</v>
      </c>
      <c r="P35" s="10"/>
      <c r="Q35" s="1">
        <f t="shared" si="3"/>
        <v>7.1999999999999993</v>
      </c>
      <c r="R35" s="2">
        <f>N35+J35</f>
        <v>-17.172001698732377</v>
      </c>
      <c r="S35" s="2">
        <f>O35+K35</f>
        <v>-191.66299326467515</v>
      </c>
    </row>
    <row r="36" spans="2:20" x14ac:dyDescent="0.25">
      <c r="B36" s="1">
        <v>8</v>
      </c>
      <c r="C36" s="2">
        <v>-28.352</v>
      </c>
      <c r="D36" s="2">
        <v>-165.24299999999999</v>
      </c>
      <c r="E36" s="1">
        <v>0</v>
      </c>
      <c r="G36" s="3">
        <v>-1.3000001199543476</v>
      </c>
      <c r="H36" s="3">
        <v>2.1000001579523087</v>
      </c>
      <c r="J36" s="4">
        <f t="shared" si="2"/>
        <v>-13.000001199543476</v>
      </c>
      <c r="K36" s="4">
        <f t="shared" si="2"/>
        <v>21.000001579523087</v>
      </c>
      <c r="M36" s="1" t="str">
        <f>B36&amp;".1"</f>
        <v>8.1</v>
      </c>
      <c r="N36" s="2">
        <f>C36</f>
        <v>-28.352</v>
      </c>
      <c r="O36" s="2">
        <f>D36</f>
        <v>-165.24299999999999</v>
      </c>
      <c r="P36" s="10"/>
      <c r="Q36" s="1">
        <f t="shared" si="3"/>
        <v>8.1999999999999993</v>
      </c>
      <c r="R36" s="2">
        <f>N36+J36</f>
        <v>-41.35200119954348</v>
      </c>
      <c r="S36" s="2">
        <f>O36+K36</f>
        <v>-144.24299842047691</v>
      </c>
    </row>
    <row r="37" spans="2:20" x14ac:dyDescent="0.25">
      <c r="B37" s="1">
        <v>9</v>
      </c>
      <c r="C37" s="2">
        <v>-38.481000000000002</v>
      </c>
      <c r="D37" s="2">
        <v>-131.76400000000001</v>
      </c>
      <c r="E37" s="1">
        <v>0</v>
      </c>
      <c r="G37" s="3">
        <v>-0.40000025182962418</v>
      </c>
      <c r="H37" s="3">
        <v>1.4999993145465851</v>
      </c>
      <c r="J37" s="4">
        <f t="shared" si="2"/>
        <v>-4.0000025182962418</v>
      </c>
      <c r="K37" s="4">
        <f t="shared" si="2"/>
        <v>14.999993145465851</v>
      </c>
      <c r="M37" s="1" t="str">
        <f>B37&amp;".1"</f>
        <v>9.1</v>
      </c>
      <c r="N37" s="2">
        <f>C37</f>
        <v>-38.481000000000002</v>
      </c>
      <c r="O37" s="2">
        <f>D37</f>
        <v>-131.76400000000001</v>
      </c>
      <c r="P37" s="10"/>
      <c r="Q37" s="1">
        <f t="shared" si="3"/>
        <v>9.1999999999999993</v>
      </c>
      <c r="R37" s="2">
        <f>N37+J37</f>
        <v>-42.481002518296243</v>
      </c>
      <c r="S37" s="2">
        <f>O37+K37</f>
        <v>-116.76400685453416</v>
      </c>
    </row>
    <row r="38" spans="2:20" x14ac:dyDescent="0.25">
      <c r="B38" s="1">
        <v>10</v>
      </c>
      <c r="C38" s="2">
        <v>-48.65</v>
      </c>
      <c r="D38" s="2">
        <v>-98.224000000000004</v>
      </c>
      <c r="E38" s="1">
        <v>0</v>
      </c>
      <c r="G38" s="3">
        <v>0.2000005915760994</v>
      </c>
      <c r="H38" s="3">
        <v>2.3999996483325958</v>
      </c>
      <c r="J38" s="4">
        <f t="shared" si="2"/>
        <v>2.000005915760994</v>
      </c>
      <c r="K38" s="4">
        <f t="shared" si="2"/>
        <v>23.999996483325958</v>
      </c>
      <c r="M38" s="1" t="str">
        <f>B38&amp;".1"</f>
        <v>10.1</v>
      </c>
      <c r="N38" s="2">
        <f>C38</f>
        <v>-48.65</v>
      </c>
      <c r="O38" s="2">
        <f>D38</f>
        <v>-98.224000000000004</v>
      </c>
      <c r="P38" s="10"/>
      <c r="Q38" s="1">
        <f t="shared" si="3"/>
        <v>10.199999999999999</v>
      </c>
      <c r="R38" s="2">
        <f>N38+J38</f>
        <v>-46.649994084239005</v>
      </c>
      <c r="S38" s="2">
        <f>O38+K38</f>
        <v>-74.224003516674045</v>
      </c>
    </row>
    <row r="39" spans="2:20" x14ac:dyDescent="0.25">
      <c r="B39" s="1">
        <v>11</v>
      </c>
      <c r="C39" s="2">
        <v>2.5950000000000002</v>
      </c>
      <c r="D39" s="2">
        <v>-154.24199999999999</v>
      </c>
      <c r="E39" s="1">
        <v>0</v>
      </c>
      <c r="G39" s="3">
        <v>-0.30000065453350544</v>
      </c>
      <c r="H39" s="3">
        <v>1.9000004976987839</v>
      </c>
      <c r="J39" s="4">
        <f t="shared" si="2"/>
        <v>-3.0000065453350544</v>
      </c>
      <c r="K39" s="4">
        <f t="shared" si="2"/>
        <v>19.000004976987839</v>
      </c>
      <c r="M39" s="1" t="str">
        <f>B39&amp;".1"</f>
        <v>11.1</v>
      </c>
      <c r="N39" s="2">
        <f>C39</f>
        <v>2.5950000000000002</v>
      </c>
      <c r="O39" s="2">
        <f>D39</f>
        <v>-154.24199999999999</v>
      </c>
      <c r="P39" s="10"/>
      <c r="Q39" s="1">
        <f t="shared" si="3"/>
        <v>11.2</v>
      </c>
      <c r="R39" s="2">
        <f>N39+J39</f>
        <v>-0.4050065453350542</v>
      </c>
      <c r="S39" s="2">
        <f>O39+K39</f>
        <v>-135.24199502301215</v>
      </c>
    </row>
    <row r="40" spans="2:20" x14ac:dyDescent="0.25">
      <c r="B40" s="1">
        <v>12</v>
      </c>
      <c r="C40" s="2">
        <v>-6.27</v>
      </c>
      <c r="D40" s="2">
        <v>-122.57299999999999</v>
      </c>
      <c r="E40" s="1">
        <v>0</v>
      </c>
      <c r="G40" s="3">
        <v>1.7999999690800905</v>
      </c>
      <c r="H40" s="3">
        <v>2.0000003278255463</v>
      </c>
      <c r="J40" s="4">
        <f t="shared" si="2"/>
        <v>17.999999690800905</v>
      </c>
      <c r="K40" s="4">
        <f t="shared" si="2"/>
        <v>20.000003278255463</v>
      </c>
      <c r="M40" s="1" t="str">
        <f>B40&amp;".1"</f>
        <v>12.1</v>
      </c>
      <c r="N40" s="2">
        <f>C40</f>
        <v>-6.27</v>
      </c>
      <c r="O40" s="2">
        <f>D40</f>
        <v>-122.57299999999999</v>
      </c>
      <c r="P40" s="10"/>
      <c r="Q40" s="1">
        <f t="shared" si="3"/>
        <v>12.2</v>
      </c>
      <c r="R40" s="2">
        <f>N40+J40</f>
        <v>11.729999690800906</v>
      </c>
      <c r="S40" s="2">
        <f>O40+K40</f>
        <v>-102.57299672174453</v>
      </c>
    </row>
    <row r="41" spans="2:20" x14ac:dyDescent="0.25">
      <c r="B41" s="1">
        <v>13</v>
      </c>
      <c r="C41" s="2">
        <v>-16.978999999999999</v>
      </c>
      <c r="D41" s="2">
        <v>-87.808999999999997</v>
      </c>
      <c r="E41" s="1">
        <v>0</v>
      </c>
      <c r="G41" s="3">
        <v>0.99999993108212948</v>
      </c>
      <c r="H41" s="3">
        <v>3.1000003218650818</v>
      </c>
      <c r="J41" s="4">
        <f t="shared" si="2"/>
        <v>9.9999993108212948</v>
      </c>
      <c r="K41" s="4">
        <f t="shared" si="2"/>
        <v>31.000003218650818</v>
      </c>
      <c r="M41" s="1" t="str">
        <f>B41&amp;".1"</f>
        <v>13.1</v>
      </c>
      <c r="N41" s="2">
        <f>C41</f>
        <v>-16.978999999999999</v>
      </c>
      <c r="O41" s="2">
        <f>D41</f>
        <v>-87.808999999999997</v>
      </c>
      <c r="P41" s="10"/>
      <c r="Q41" s="1">
        <f t="shared" si="3"/>
        <v>13.2</v>
      </c>
      <c r="R41" s="2">
        <f>N41+J41</f>
        <v>-6.9790006891787044</v>
      </c>
      <c r="S41" s="2">
        <f>O41+K41</f>
        <v>-56.80899678134918</v>
      </c>
    </row>
    <row r="42" spans="2:20" x14ac:dyDescent="0.25">
      <c r="B42" s="1">
        <v>901</v>
      </c>
      <c r="C42" s="2">
        <v>-150.12</v>
      </c>
      <c r="D42" s="2">
        <v>-112.773</v>
      </c>
      <c r="E42" s="1">
        <v>0</v>
      </c>
      <c r="G42" s="3">
        <v>1.999999862164259</v>
      </c>
      <c r="H42" s="3">
        <v>-7.6999999582767487</v>
      </c>
      <c r="J42" s="4">
        <f t="shared" si="2"/>
        <v>19.99999862164259</v>
      </c>
      <c r="K42" s="4">
        <f t="shared" si="2"/>
        <v>-76.999999582767487</v>
      </c>
      <c r="M42" s="1" t="str">
        <f>B42&amp;".1"</f>
        <v>901.1</v>
      </c>
      <c r="N42" s="2">
        <f>C42</f>
        <v>-150.12</v>
      </c>
      <c r="O42" s="2">
        <f>D42</f>
        <v>-112.773</v>
      </c>
      <c r="P42" s="10"/>
      <c r="Q42" s="1">
        <f t="shared" si="3"/>
        <v>901.2</v>
      </c>
      <c r="R42" s="2">
        <f>N42+J42</f>
        <v>-130.12000137835741</v>
      </c>
      <c r="S42" s="2">
        <f>O42+K42</f>
        <v>-189.77299958276748</v>
      </c>
    </row>
    <row r="43" spans="2:20" x14ac:dyDescent="0.25">
      <c r="B43" s="1">
        <v>902</v>
      </c>
      <c r="C43" s="2">
        <v>-151.33199999999999</v>
      </c>
      <c r="D43" s="2">
        <v>-110.693</v>
      </c>
      <c r="E43" s="1">
        <v>0</v>
      </c>
      <c r="G43" s="3">
        <v>1.8000004347413778</v>
      </c>
      <c r="H43" s="3">
        <v>-7.9999994486570358</v>
      </c>
      <c r="J43" s="4">
        <f t="shared" si="2"/>
        <v>18.000004347413778</v>
      </c>
      <c r="K43" s="4">
        <f t="shared" si="2"/>
        <v>-79.999994486570358</v>
      </c>
      <c r="M43" s="1" t="str">
        <f>B43&amp;".1"</f>
        <v>902.1</v>
      </c>
      <c r="N43" s="2">
        <f>C43</f>
        <v>-151.33199999999999</v>
      </c>
      <c r="O43" s="2">
        <f>D43</f>
        <v>-110.693</v>
      </c>
      <c r="P43" s="10"/>
      <c r="Q43" s="1">
        <f t="shared" si="3"/>
        <v>902.2</v>
      </c>
      <c r="R43" s="2">
        <f>N43+J43</f>
        <v>-133.33199565258622</v>
      </c>
      <c r="S43" s="2">
        <f>O43+K43</f>
        <v>-190.69299448657034</v>
      </c>
    </row>
    <row r="44" spans="2:20" x14ac:dyDescent="0.25">
      <c r="G44" s="3"/>
      <c r="H44" s="3"/>
      <c r="J44" s="4"/>
      <c r="K44" s="4"/>
      <c r="O44" s="2"/>
      <c r="P44" s="10"/>
      <c r="S44" s="2"/>
      <c r="T44" s="2"/>
    </row>
    <row r="45" spans="2:20" x14ac:dyDescent="0.25">
      <c r="P45" s="10"/>
    </row>
  </sheetData>
  <mergeCells count="13">
    <mergeCell ref="J4:K4"/>
    <mergeCell ref="B26:T26"/>
    <mergeCell ref="B27:E27"/>
    <mergeCell ref="G27:H27"/>
    <mergeCell ref="J27:K27"/>
    <mergeCell ref="M27:O27"/>
    <mergeCell ref="Q27:S27"/>
    <mergeCell ref="B2:T2"/>
    <mergeCell ref="B3:E3"/>
    <mergeCell ref="G3:H3"/>
    <mergeCell ref="J3:K3"/>
    <mergeCell ref="M3:O3"/>
    <mergeCell ref="Q3:S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009F-EFE0-4460-B3ED-D82728273B14}">
  <dimension ref="A1:T45"/>
  <sheetViews>
    <sheetView tabSelected="1" workbookViewId="0">
      <selection activeCell="U15" sqref="U15"/>
    </sheetView>
  </sheetViews>
  <sheetFormatPr baseColWidth="10" defaultRowHeight="15" x14ac:dyDescent="0.25"/>
  <cols>
    <col min="1" max="1" width="11.42578125" style="10"/>
    <col min="2" max="2" width="11.42578125" style="1"/>
    <col min="3" max="4" width="11.42578125" style="2"/>
    <col min="5" max="5" width="11.42578125" style="1"/>
    <col min="6" max="6" width="11.42578125" style="10"/>
    <col min="7" max="8" width="11.42578125" style="1"/>
    <col min="9" max="9" width="11.42578125" style="10"/>
    <col min="10" max="11" width="11.42578125" style="1"/>
    <col min="12" max="12" width="11.42578125" style="10"/>
    <col min="13" max="16384" width="11.42578125" style="1"/>
  </cols>
  <sheetData>
    <row r="1" spans="2:20" s="10" customFormat="1" x14ac:dyDescent="0.25">
      <c r="C1" s="26"/>
      <c r="D1" s="26"/>
    </row>
    <row r="2" spans="2:20" ht="18.75" x14ac:dyDescent="0.25">
      <c r="B2" s="27" t="s">
        <v>17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2:20" ht="18.75" x14ac:dyDescent="0.25">
      <c r="B3" s="25" t="s">
        <v>11</v>
      </c>
      <c r="C3" s="25"/>
      <c r="D3" s="25"/>
      <c r="E3" s="25"/>
      <c r="G3" s="25" t="s">
        <v>5</v>
      </c>
      <c r="H3" s="25"/>
      <c r="I3" s="12"/>
      <c r="J3" s="25" t="s">
        <v>6</v>
      </c>
      <c r="K3" s="25"/>
      <c r="L3" s="12"/>
      <c r="M3" s="25" t="s">
        <v>7</v>
      </c>
      <c r="N3" s="25"/>
      <c r="O3" s="25"/>
      <c r="P3" s="12"/>
      <c r="Q3" s="25" t="s">
        <v>8</v>
      </c>
      <c r="R3" s="25"/>
      <c r="S3" s="25"/>
    </row>
    <row r="4" spans="2:20" x14ac:dyDescent="0.25">
      <c r="B4" s="15" t="s">
        <v>0</v>
      </c>
      <c r="C4" s="16" t="s">
        <v>1</v>
      </c>
      <c r="D4" s="16" t="s">
        <v>2</v>
      </c>
      <c r="E4" s="15" t="s">
        <v>3</v>
      </c>
      <c r="G4" s="19" t="s">
        <v>5</v>
      </c>
      <c r="H4" s="19" t="s">
        <v>13</v>
      </c>
      <c r="I4" s="11"/>
      <c r="J4" s="21" t="s">
        <v>6</v>
      </c>
      <c r="K4" s="21"/>
      <c r="L4" s="11"/>
      <c r="M4" s="19" t="s">
        <v>14</v>
      </c>
      <c r="N4" s="19" t="s">
        <v>15</v>
      </c>
      <c r="O4" s="19" t="s">
        <v>16</v>
      </c>
      <c r="P4" s="11"/>
      <c r="Q4" s="19" t="s">
        <v>14</v>
      </c>
      <c r="R4" s="19" t="s">
        <v>15</v>
      </c>
      <c r="S4" s="19" t="s">
        <v>16</v>
      </c>
    </row>
    <row r="5" spans="2:20" x14ac:dyDescent="0.25">
      <c r="B5" s="17">
        <v>1</v>
      </c>
      <c r="C5" s="18">
        <v>18644.16</v>
      </c>
      <c r="D5" s="18">
        <v>97030.99</v>
      </c>
      <c r="E5" s="17">
        <v>0</v>
      </c>
      <c r="G5" s="20">
        <v>-0.80000003799796104</v>
      </c>
      <c r="H5" s="20">
        <v>1.0999999940395355</v>
      </c>
      <c r="J5" s="22">
        <f>G5*10</f>
        <v>-8.0000003799796104</v>
      </c>
      <c r="K5" s="22">
        <f>H5*10</f>
        <v>10.999999940395355</v>
      </c>
      <c r="M5" s="23" t="str">
        <f>B5&amp;".1"</f>
        <v>1.1</v>
      </c>
      <c r="N5" s="24">
        <f>C5</f>
        <v>18644.16</v>
      </c>
      <c r="O5" s="24">
        <f>D5</f>
        <v>97030.99</v>
      </c>
      <c r="P5" s="10"/>
      <c r="Q5" s="23">
        <f>M5+0.1</f>
        <v>1.2000000000000002</v>
      </c>
      <c r="R5" s="24">
        <f>N5+J5</f>
        <v>18636.15999962002</v>
      </c>
      <c r="S5" s="24">
        <f>O5+K5</f>
        <v>97041.989999940401</v>
      </c>
    </row>
    <row r="6" spans="2:20" x14ac:dyDescent="0.25">
      <c r="B6" s="17">
        <v>2</v>
      </c>
      <c r="C6" s="18">
        <v>18633.689999999999</v>
      </c>
      <c r="D6" s="18">
        <v>97064.51</v>
      </c>
      <c r="E6" s="17">
        <v>0</v>
      </c>
      <c r="G6" s="20">
        <v>-0.39999955333769321</v>
      </c>
      <c r="H6" s="20">
        <v>0.59999991208314896</v>
      </c>
      <c r="J6" s="22">
        <f t="shared" ref="J6:K19" si="0">G6*10</f>
        <v>-3.9999955333769321</v>
      </c>
      <c r="K6" s="22">
        <f t="shared" si="0"/>
        <v>5.9999991208314896</v>
      </c>
      <c r="M6" s="23" t="str">
        <f>B6&amp;".1"</f>
        <v>2.1</v>
      </c>
      <c r="N6" s="24">
        <f>C6</f>
        <v>18633.689999999999</v>
      </c>
      <c r="O6" s="24">
        <f>D6</f>
        <v>97064.51</v>
      </c>
      <c r="P6" s="10"/>
      <c r="Q6" s="23">
        <f t="shared" ref="Q6:Q19" si="1">M6+0.1</f>
        <v>2.2000000000000002</v>
      </c>
      <c r="R6" s="24">
        <f>N6+J6</f>
        <v>18629.690004466622</v>
      </c>
      <c r="S6" s="24">
        <f>O6+K6</f>
        <v>97070.509999120826</v>
      </c>
    </row>
    <row r="7" spans="2:20" x14ac:dyDescent="0.25">
      <c r="B7" s="17">
        <v>3</v>
      </c>
      <c r="C7" s="18">
        <v>18623.53</v>
      </c>
      <c r="D7" s="18">
        <v>97097.55</v>
      </c>
      <c r="E7" s="17">
        <v>0</v>
      </c>
      <c r="G7" s="20">
        <v>-0.90000010095536709</v>
      </c>
      <c r="H7" s="20">
        <v>1.4000004157423973</v>
      </c>
      <c r="J7" s="22">
        <f t="shared" si="0"/>
        <v>-9.0000010095536709</v>
      </c>
      <c r="K7" s="22">
        <f t="shared" si="0"/>
        <v>14.000004157423973</v>
      </c>
      <c r="M7" s="23" t="str">
        <f>B7&amp;".1"</f>
        <v>3.1</v>
      </c>
      <c r="N7" s="24">
        <f>C7</f>
        <v>18623.53</v>
      </c>
      <c r="O7" s="24">
        <f>D7</f>
        <v>97097.55</v>
      </c>
      <c r="P7" s="10"/>
      <c r="Q7" s="23">
        <f t="shared" si="1"/>
        <v>3.2</v>
      </c>
      <c r="R7" s="24">
        <f>N7+J7</f>
        <v>18614.529998990445</v>
      </c>
      <c r="S7" s="24">
        <f>O7+K7</f>
        <v>97111.550004157427</v>
      </c>
    </row>
    <row r="8" spans="2:20" x14ac:dyDescent="0.25">
      <c r="B8" s="17">
        <v>4</v>
      </c>
      <c r="C8" s="18">
        <v>18613.12</v>
      </c>
      <c r="D8" s="18">
        <v>97131.39</v>
      </c>
      <c r="E8" s="17">
        <v>0</v>
      </c>
      <c r="G8" s="20">
        <v>-1.5999996103346348</v>
      </c>
      <c r="H8" s="20">
        <v>1.8999995663762093</v>
      </c>
      <c r="J8" s="22">
        <f t="shared" si="0"/>
        <v>-15.999996103346348</v>
      </c>
      <c r="K8" s="22">
        <f t="shared" si="0"/>
        <v>18.999995663762093</v>
      </c>
      <c r="M8" s="23" t="str">
        <f>B8&amp;".1"</f>
        <v>4.1</v>
      </c>
      <c r="N8" s="24">
        <f>C8</f>
        <v>18613.12</v>
      </c>
      <c r="O8" s="24">
        <f>D8</f>
        <v>97131.39</v>
      </c>
      <c r="P8" s="10"/>
      <c r="Q8" s="23">
        <f t="shared" si="1"/>
        <v>4.1999999999999993</v>
      </c>
      <c r="R8" s="24">
        <f>N8+J8</f>
        <v>18597.120003896653</v>
      </c>
      <c r="S8" s="24">
        <f>O8+K8</f>
        <v>97150.389995663762</v>
      </c>
    </row>
    <row r="9" spans="2:20" x14ac:dyDescent="0.25">
      <c r="B9" s="17">
        <v>5</v>
      </c>
      <c r="C9" s="18">
        <v>18602.98</v>
      </c>
      <c r="D9" s="18">
        <v>97164.54</v>
      </c>
      <c r="E9" s="17">
        <v>0</v>
      </c>
      <c r="G9" s="20">
        <v>-1.1000004597008228</v>
      </c>
      <c r="H9" s="20">
        <v>2.099999226629734</v>
      </c>
      <c r="J9" s="22">
        <f t="shared" si="0"/>
        <v>-11.000004597008228</v>
      </c>
      <c r="K9" s="22">
        <f t="shared" si="0"/>
        <v>20.99999226629734</v>
      </c>
      <c r="M9" s="23" t="str">
        <f>B9&amp;".1"</f>
        <v>5.1</v>
      </c>
      <c r="N9" s="24">
        <f>C9</f>
        <v>18602.98</v>
      </c>
      <c r="O9" s="24">
        <f>D9</f>
        <v>97164.54</v>
      </c>
      <c r="P9" s="10"/>
      <c r="Q9" s="23">
        <f t="shared" si="1"/>
        <v>5.1999999999999993</v>
      </c>
      <c r="R9" s="24">
        <f>N9+J9</f>
        <v>18591.979995402991</v>
      </c>
      <c r="S9" s="24">
        <f>O9+K9</f>
        <v>97185.539992266291</v>
      </c>
    </row>
    <row r="10" spans="2:20" x14ac:dyDescent="0.25">
      <c r="B10" s="17">
        <v>6</v>
      </c>
      <c r="C10" s="18">
        <v>18592.560000000001</v>
      </c>
      <c r="D10" s="18">
        <v>97198.12</v>
      </c>
      <c r="E10" s="17">
        <v>0</v>
      </c>
      <c r="G10" s="20">
        <v>-0.5999996792525053</v>
      </c>
      <c r="H10" s="20">
        <v>1.0000001639127731</v>
      </c>
      <c r="J10" s="22">
        <f t="shared" si="0"/>
        <v>-5.999996792525053</v>
      </c>
      <c r="K10" s="22">
        <f t="shared" si="0"/>
        <v>10.000001639127731</v>
      </c>
      <c r="M10" s="23" t="str">
        <f>B10&amp;".1"</f>
        <v>6.1</v>
      </c>
      <c r="N10" s="24">
        <f>C10</f>
        <v>18592.560000000001</v>
      </c>
      <c r="O10" s="24">
        <f>D10</f>
        <v>97198.12</v>
      </c>
      <c r="P10" s="10"/>
      <c r="Q10" s="23">
        <f t="shared" si="1"/>
        <v>6.1999999999999993</v>
      </c>
      <c r="R10" s="24">
        <f>N10+J10</f>
        <v>18586.560003207476</v>
      </c>
      <c r="S10" s="24">
        <f>O10+K10</f>
        <v>97208.120001639123</v>
      </c>
    </row>
    <row r="11" spans="2:20" x14ac:dyDescent="0.25">
      <c r="B11" s="17">
        <v>7</v>
      </c>
      <c r="C11" s="18">
        <v>18659.099999999999</v>
      </c>
      <c r="D11" s="18">
        <v>97072.24</v>
      </c>
      <c r="E11" s="17">
        <v>0</v>
      </c>
      <c r="G11" s="20">
        <v>9.999983012676239E-2</v>
      </c>
      <c r="H11" s="20">
        <v>0.70000067353248596</v>
      </c>
      <c r="J11" s="22">
        <f t="shared" si="0"/>
        <v>0.9999983012676239</v>
      </c>
      <c r="K11" s="22">
        <f t="shared" si="0"/>
        <v>7.0000067353248596</v>
      </c>
      <c r="M11" s="23" t="str">
        <f>B11&amp;".1"</f>
        <v>7.1</v>
      </c>
      <c r="N11" s="24">
        <f>C11</f>
        <v>18659.099999999999</v>
      </c>
      <c r="O11" s="24">
        <f>D11</f>
        <v>97072.24</v>
      </c>
      <c r="P11" s="10"/>
      <c r="Q11" s="23">
        <f t="shared" si="1"/>
        <v>7.1999999999999993</v>
      </c>
      <c r="R11" s="24">
        <f>N11+J11</f>
        <v>18660.099998301266</v>
      </c>
      <c r="S11" s="24">
        <f>O11+K11</f>
        <v>97079.24000673533</v>
      </c>
    </row>
    <row r="12" spans="2:20" x14ac:dyDescent="0.25">
      <c r="B12" s="17">
        <v>8</v>
      </c>
      <c r="C12" s="18">
        <v>18648.63</v>
      </c>
      <c r="D12" s="18">
        <v>97105.57</v>
      </c>
      <c r="E12" s="17">
        <v>0</v>
      </c>
      <c r="G12" s="20">
        <v>-1.3000001199543476</v>
      </c>
      <c r="H12" s="20">
        <v>2.1000001579523087</v>
      </c>
      <c r="J12" s="22">
        <f t="shared" si="0"/>
        <v>-13.000001199543476</v>
      </c>
      <c r="K12" s="22">
        <f t="shared" si="0"/>
        <v>21.000001579523087</v>
      </c>
      <c r="M12" s="23" t="str">
        <f>B12&amp;".1"</f>
        <v>8.1</v>
      </c>
      <c r="N12" s="24">
        <f>C12</f>
        <v>18648.63</v>
      </c>
      <c r="O12" s="24">
        <f>D12</f>
        <v>97105.57</v>
      </c>
      <c r="P12" s="10"/>
      <c r="Q12" s="23">
        <f t="shared" si="1"/>
        <v>8.1999999999999993</v>
      </c>
      <c r="R12" s="24">
        <f>N12+J12</f>
        <v>18635.629998800458</v>
      </c>
      <c r="S12" s="24">
        <f>O12+K12</f>
        <v>97126.57000157953</v>
      </c>
    </row>
    <row r="13" spans="2:20" x14ac:dyDescent="0.25">
      <c r="B13" s="17">
        <v>9</v>
      </c>
      <c r="C13" s="18">
        <v>18638.21</v>
      </c>
      <c r="D13" s="18">
        <v>97138.96</v>
      </c>
      <c r="E13" s="17">
        <v>0</v>
      </c>
      <c r="G13" s="20">
        <v>-0.40000025182962418</v>
      </c>
      <c r="H13" s="20">
        <v>1.4999993145465851</v>
      </c>
      <c r="J13" s="22">
        <f t="shared" si="0"/>
        <v>-4.0000025182962418</v>
      </c>
      <c r="K13" s="22">
        <f t="shared" si="0"/>
        <v>14.999993145465851</v>
      </c>
      <c r="M13" s="23" t="str">
        <f>B13&amp;".1"</f>
        <v>9.1</v>
      </c>
      <c r="N13" s="24">
        <f>C13</f>
        <v>18638.21</v>
      </c>
      <c r="O13" s="24">
        <f>D13</f>
        <v>97138.96</v>
      </c>
      <c r="P13" s="10"/>
      <c r="Q13" s="23">
        <f t="shared" si="1"/>
        <v>9.1999999999999993</v>
      </c>
      <c r="R13" s="24">
        <f>N13+J13</f>
        <v>18634.209997481703</v>
      </c>
      <c r="S13" s="24">
        <f>O13+K13</f>
        <v>97153.959993145472</v>
      </c>
    </row>
    <row r="14" spans="2:20" x14ac:dyDescent="0.25">
      <c r="B14" s="17">
        <v>10</v>
      </c>
      <c r="C14" s="18">
        <v>18627.75</v>
      </c>
      <c r="D14" s="18">
        <v>97172.41</v>
      </c>
      <c r="E14" s="17">
        <v>0</v>
      </c>
      <c r="G14" s="20">
        <v>0.2000005915760994</v>
      </c>
      <c r="H14" s="20">
        <v>2.3999996483325958</v>
      </c>
      <c r="J14" s="22">
        <f t="shared" si="0"/>
        <v>2.000005915760994</v>
      </c>
      <c r="K14" s="22">
        <f t="shared" si="0"/>
        <v>23.999996483325958</v>
      </c>
      <c r="M14" s="23" t="str">
        <f>B14&amp;".1"</f>
        <v>10.1</v>
      </c>
      <c r="N14" s="24">
        <f>C14</f>
        <v>18627.75</v>
      </c>
      <c r="O14" s="24">
        <f>D14</f>
        <v>97172.41</v>
      </c>
      <c r="P14" s="10"/>
      <c r="Q14" s="23">
        <f t="shared" si="1"/>
        <v>10.199999999999999</v>
      </c>
      <c r="R14" s="24">
        <f>N14+J14</f>
        <v>18629.750005915761</v>
      </c>
      <c r="S14" s="24">
        <f>O14+K14</f>
        <v>97196.409996483329</v>
      </c>
    </row>
    <row r="15" spans="2:20" x14ac:dyDescent="0.25">
      <c r="B15" s="17">
        <v>11</v>
      </c>
      <c r="C15" s="18">
        <v>18679.48</v>
      </c>
      <c r="D15" s="18">
        <v>97116.84</v>
      </c>
      <c r="E15" s="17">
        <v>0</v>
      </c>
      <c r="G15" s="20">
        <v>-0.30000065453350544</v>
      </c>
      <c r="H15" s="20">
        <v>1.9000004976987839</v>
      </c>
      <c r="J15" s="22">
        <f t="shared" si="0"/>
        <v>-3.0000065453350544</v>
      </c>
      <c r="K15" s="22">
        <f t="shared" si="0"/>
        <v>19.000004976987839</v>
      </c>
      <c r="M15" s="23" t="str">
        <f>B15&amp;".1"</f>
        <v>11.1</v>
      </c>
      <c r="N15" s="24">
        <f>C15</f>
        <v>18679.48</v>
      </c>
      <c r="O15" s="24">
        <f>D15</f>
        <v>97116.84</v>
      </c>
      <c r="P15" s="10"/>
      <c r="Q15" s="23">
        <f t="shared" si="1"/>
        <v>11.2</v>
      </c>
      <c r="R15" s="24">
        <f>N15+J15</f>
        <v>18676.479993454665</v>
      </c>
      <c r="S15" s="24">
        <f>O15+K15</f>
        <v>97135.840004976984</v>
      </c>
    </row>
    <row r="16" spans="2:20" x14ac:dyDescent="0.25">
      <c r="B16" s="17">
        <v>12</v>
      </c>
      <c r="C16" s="18">
        <v>18670.34</v>
      </c>
      <c r="D16" s="18">
        <v>97148.43</v>
      </c>
      <c r="E16" s="17">
        <v>0</v>
      </c>
      <c r="G16" s="20">
        <v>1.7999999690800905</v>
      </c>
      <c r="H16" s="20">
        <v>2.0000003278255463</v>
      </c>
      <c r="J16" s="22">
        <f t="shared" si="0"/>
        <v>17.999999690800905</v>
      </c>
      <c r="K16" s="22">
        <f t="shared" si="0"/>
        <v>20.000003278255463</v>
      </c>
      <c r="M16" s="23" t="str">
        <f>B16&amp;".1"</f>
        <v>12.1</v>
      </c>
      <c r="N16" s="24">
        <f>C16</f>
        <v>18670.34</v>
      </c>
      <c r="O16" s="24">
        <f>D16</f>
        <v>97148.43</v>
      </c>
      <c r="P16" s="10"/>
      <c r="Q16" s="23">
        <f t="shared" si="1"/>
        <v>12.2</v>
      </c>
      <c r="R16" s="24">
        <f>N16+J16</f>
        <v>18688.339999690801</v>
      </c>
      <c r="S16" s="24">
        <f>O16+K16</f>
        <v>97168.430003278248</v>
      </c>
    </row>
    <row r="17" spans="2:20" x14ac:dyDescent="0.25">
      <c r="B17" s="17">
        <v>13</v>
      </c>
      <c r="C17" s="18">
        <v>18659.330000000002</v>
      </c>
      <c r="D17" s="18">
        <v>97183.1</v>
      </c>
      <c r="E17" s="17">
        <v>0</v>
      </c>
      <c r="G17" s="20">
        <v>0.99999993108212948</v>
      </c>
      <c r="H17" s="20">
        <v>3.1000003218650818</v>
      </c>
      <c r="J17" s="22">
        <f t="shared" si="0"/>
        <v>9.9999993108212948</v>
      </c>
      <c r="K17" s="22">
        <f t="shared" si="0"/>
        <v>31.000003218650818</v>
      </c>
      <c r="M17" s="23" t="str">
        <f>B17&amp;".1"</f>
        <v>13.1</v>
      </c>
      <c r="N17" s="24">
        <f>C17</f>
        <v>18659.330000000002</v>
      </c>
      <c r="O17" s="24">
        <f>D17</f>
        <v>97183.1</v>
      </c>
      <c r="P17" s="10"/>
      <c r="Q17" s="23">
        <f t="shared" si="1"/>
        <v>13.2</v>
      </c>
      <c r="R17" s="24">
        <f>N17+J17</f>
        <v>18669.329999310823</v>
      </c>
      <c r="S17" s="24">
        <f>O17+K17</f>
        <v>97214.100003218657</v>
      </c>
    </row>
    <row r="18" spans="2:20" x14ac:dyDescent="0.25">
      <c r="B18" s="17">
        <v>901</v>
      </c>
      <c r="C18" s="18">
        <v>18526.41</v>
      </c>
      <c r="D18" s="18">
        <v>97156.98</v>
      </c>
      <c r="E18" s="17">
        <v>0</v>
      </c>
      <c r="G18" s="20">
        <v>1.999999862164259</v>
      </c>
      <c r="H18" s="20">
        <v>-7.6999999582767487</v>
      </c>
      <c r="J18" s="22">
        <f t="shared" si="0"/>
        <v>19.99999862164259</v>
      </c>
      <c r="K18" s="22">
        <f t="shared" si="0"/>
        <v>-76.999999582767487</v>
      </c>
      <c r="M18" s="23" t="str">
        <f>B18&amp;".1"</f>
        <v>901.1</v>
      </c>
      <c r="N18" s="24">
        <f>C18</f>
        <v>18526.41</v>
      </c>
      <c r="O18" s="24">
        <f>D18</f>
        <v>97156.98</v>
      </c>
      <c r="P18" s="10"/>
      <c r="Q18" s="23">
        <f t="shared" si="1"/>
        <v>901.2</v>
      </c>
      <c r="R18" s="24">
        <f>N18+J18</f>
        <v>18546.409998621642</v>
      </c>
      <c r="S18" s="24">
        <f>O18+K18</f>
        <v>97079.980000417228</v>
      </c>
    </row>
    <row r="19" spans="2:20" x14ac:dyDescent="0.25">
      <c r="B19" s="17">
        <v>902</v>
      </c>
      <c r="C19" s="18">
        <v>18525.18</v>
      </c>
      <c r="D19" s="18">
        <v>97159.05</v>
      </c>
      <c r="E19" s="17">
        <v>0</v>
      </c>
      <c r="G19" s="20">
        <v>1.8000004347413778</v>
      </c>
      <c r="H19" s="20">
        <v>-7.9999994486570358</v>
      </c>
      <c r="J19" s="22">
        <f t="shared" si="0"/>
        <v>18.000004347413778</v>
      </c>
      <c r="K19" s="22">
        <f t="shared" si="0"/>
        <v>-79.999994486570358</v>
      </c>
      <c r="M19" s="23" t="str">
        <f>B19&amp;".1"</f>
        <v>902.1</v>
      </c>
      <c r="N19" s="24">
        <f>C19</f>
        <v>18525.18</v>
      </c>
      <c r="O19" s="24">
        <f>D19</f>
        <v>97159.05</v>
      </c>
      <c r="P19" s="10"/>
      <c r="Q19" s="23">
        <f t="shared" si="1"/>
        <v>902.2</v>
      </c>
      <c r="R19" s="24">
        <f>N19+J19</f>
        <v>18543.180004347414</v>
      </c>
      <c r="S19" s="24">
        <f>O19+K19</f>
        <v>97079.050005513433</v>
      </c>
    </row>
    <row r="20" spans="2:20" x14ac:dyDescent="0.25">
      <c r="G20" s="3"/>
      <c r="H20" s="3"/>
      <c r="J20" s="4"/>
      <c r="K20" s="4"/>
      <c r="N20" s="2"/>
      <c r="O20" s="2"/>
      <c r="P20" s="10"/>
      <c r="R20" s="2"/>
      <c r="S20" s="2"/>
    </row>
    <row r="21" spans="2:20" x14ac:dyDescent="0.25">
      <c r="G21" s="3"/>
      <c r="H21" s="3"/>
      <c r="J21" s="4"/>
      <c r="K21" s="4"/>
      <c r="N21" s="2"/>
      <c r="O21" s="2"/>
      <c r="P21" s="10"/>
      <c r="R21" s="2"/>
      <c r="S21" s="2"/>
    </row>
    <row r="22" spans="2:20" x14ac:dyDescent="0.25">
      <c r="G22" s="3"/>
      <c r="H22" s="3"/>
      <c r="J22" s="4"/>
      <c r="K22" s="4"/>
      <c r="N22" s="2"/>
      <c r="O22" s="2"/>
      <c r="P22" s="10"/>
      <c r="R22" s="2"/>
      <c r="S22" s="2"/>
    </row>
    <row r="23" spans="2:20" x14ac:dyDescent="0.25">
      <c r="P23" s="10"/>
    </row>
    <row r="24" spans="2:20" x14ac:dyDescent="0.25">
      <c r="P24" s="10"/>
    </row>
    <row r="25" spans="2:20" x14ac:dyDescent="0.25">
      <c r="P25" s="10"/>
    </row>
    <row r="26" spans="2:20" x14ac:dyDescent="0.25">
      <c r="B26" s="5" t="s">
        <v>10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 x14ac:dyDescent="0.25">
      <c r="B27" s="5" t="s">
        <v>11</v>
      </c>
      <c r="C27" s="5"/>
      <c r="D27" s="5"/>
      <c r="E27" s="5"/>
      <c r="G27" s="5" t="s">
        <v>5</v>
      </c>
      <c r="H27" s="5"/>
      <c r="J27" s="5" t="s">
        <v>6</v>
      </c>
      <c r="K27" s="5"/>
      <c r="M27" s="5" t="s">
        <v>7</v>
      </c>
      <c r="N27" s="5"/>
      <c r="O27" s="5"/>
      <c r="P27" s="10"/>
      <c r="Q27" s="5" t="s">
        <v>8</v>
      </c>
      <c r="R27" s="5"/>
      <c r="S27" s="5"/>
    </row>
    <row r="28" spans="2:20" x14ac:dyDescent="0.25">
      <c r="B28" s="1" t="s">
        <v>0</v>
      </c>
      <c r="C28" s="2" t="s">
        <v>1</v>
      </c>
      <c r="D28" s="2" t="s">
        <v>2</v>
      </c>
      <c r="E28" s="1" t="s">
        <v>3</v>
      </c>
      <c r="P28" s="10"/>
    </row>
    <row r="29" spans="2:20" x14ac:dyDescent="0.25">
      <c r="B29" s="1">
        <v>1</v>
      </c>
      <c r="C29" s="2">
        <v>-33.47</v>
      </c>
      <c r="D29" s="2">
        <v>-239.78100000000001</v>
      </c>
      <c r="E29" s="1">
        <v>0</v>
      </c>
      <c r="G29" s="3">
        <v>-0.80000003799796104</v>
      </c>
      <c r="H29" s="3">
        <v>1.0999999940395355</v>
      </c>
      <c r="J29" s="4">
        <f>G29*10</f>
        <v>-8.0000003799796104</v>
      </c>
      <c r="K29" s="4">
        <f>H29*10</f>
        <v>10.999999940395355</v>
      </c>
      <c r="M29" s="1" t="str">
        <f>B29&amp;".1"</f>
        <v>1.1</v>
      </c>
      <c r="N29" s="2">
        <f>C29</f>
        <v>-33.47</v>
      </c>
      <c r="O29" s="2">
        <f>D29</f>
        <v>-239.78100000000001</v>
      </c>
      <c r="P29" s="10"/>
      <c r="Q29" s="1">
        <f>M29+0.1</f>
        <v>1.2000000000000002</v>
      </c>
      <c r="R29" s="2">
        <f>N29+J29</f>
        <v>-41.470000379979609</v>
      </c>
      <c r="S29" s="2">
        <f>O29+K29</f>
        <v>-228.78100005960465</v>
      </c>
    </row>
    <row r="30" spans="2:20" x14ac:dyDescent="0.25">
      <c r="B30" s="1">
        <v>2</v>
      </c>
      <c r="C30" s="2">
        <v>-43.648000000000003</v>
      </c>
      <c r="D30" s="2">
        <v>-206.172</v>
      </c>
      <c r="E30" s="1">
        <v>0</v>
      </c>
      <c r="G30" s="3">
        <v>-0.39999955333769321</v>
      </c>
      <c r="H30" s="3">
        <v>0.59999991208314896</v>
      </c>
      <c r="J30" s="4">
        <f t="shared" ref="J30:K43" si="2">G30*10</f>
        <v>-3.9999955333769321</v>
      </c>
      <c r="K30" s="4">
        <f t="shared" si="2"/>
        <v>5.9999991208314896</v>
      </c>
      <c r="M30" s="1" t="str">
        <f>B30&amp;".1"</f>
        <v>2.1</v>
      </c>
      <c r="N30" s="2">
        <f>C30</f>
        <v>-43.648000000000003</v>
      </c>
      <c r="O30" s="2">
        <f>D30</f>
        <v>-206.172</v>
      </c>
      <c r="P30" s="10"/>
      <c r="Q30" s="1">
        <f t="shared" ref="Q30:Q43" si="3">M30+0.1</f>
        <v>2.2000000000000002</v>
      </c>
      <c r="R30" s="2">
        <f>N30+J30</f>
        <v>-47.647995533376935</v>
      </c>
      <c r="S30" s="2">
        <f>O30+K30</f>
        <v>-200.17200087916851</v>
      </c>
    </row>
    <row r="31" spans="2:20" x14ac:dyDescent="0.25">
      <c r="B31" s="1">
        <v>3</v>
      </c>
      <c r="C31" s="2">
        <v>-53.52</v>
      </c>
      <c r="D31" s="2">
        <v>-173.04499999999999</v>
      </c>
      <c r="E31" s="1">
        <v>0</v>
      </c>
      <c r="G31" s="3">
        <v>-0.90000010095536709</v>
      </c>
      <c r="H31" s="3">
        <v>1.4000004157423973</v>
      </c>
      <c r="J31" s="4">
        <f t="shared" si="2"/>
        <v>-9.0000010095536709</v>
      </c>
      <c r="K31" s="4">
        <f t="shared" si="2"/>
        <v>14.000004157423973</v>
      </c>
      <c r="M31" s="1" t="str">
        <f>B31&amp;".1"</f>
        <v>3.1</v>
      </c>
      <c r="N31" s="2">
        <f>C31</f>
        <v>-53.52</v>
      </c>
      <c r="O31" s="2">
        <f>D31</f>
        <v>-173.04499999999999</v>
      </c>
      <c r="P31" s="10"/>
      <c r="Q31" s="1">
        <f t="shared" si="3"/>
        <v>3.2</v>
      </c>
      <c r="R31" s="2">
        <f>N31+J31</f>
        <v>-62.520001009553674</v>
      </c>
      <c r="S31" s="2">
        <f>O31+K31</f>
        <v>-159.04499584257601</v>
      </c>
    </row>
    <row r="32" spans="2:20" x14ac:dyDescent="0.25">
      <c r="B32" s="1">
        <v>4</v>
      </c>
      <c r="C32" s="2">
        <v>-63.636000000000003</v>
      </c>
      <c r="D32" s="2">
        <v>-139.11600000000001</v>
      </c>
      <c r="E32" s="1">
        <v>0</v>
      </c>
      <c r="G32" s="3">
        <v>-1.5999996103346348</v>
      </c>
      <c r="H32" s="3">
        <v>1.8999995663762093</v>
      </c>
      <c r="J32" s="4">
        <f t="shared" si="2"/>
        <v>-15.999996103346348</v>
      </c>
      <c r="K32" s="4">
        <f t="shared" si="2"/>
        <v>18.999995663762093</v>
      </c>
      <c r="M32" s="1" t="str">
        <f>B32&amp;".1"</f>
        <v>4.1</v>
      </c>
      <c r="N32" s="2">
        <f>C32</f>
        <v>-63.636000000000003</v>
      </c>
      <c r="O32" s="2">
        <f>D32</f>
        <v>-139.11600000000001</v>
      </c>
      <c r="P32" s="10"/>
      <c r="Q32" s="1">
        <f t="shared" si="3"/>
        <v>4.1999999999999993</v>
      </c>
      <c r="R32" s="2">
        <f>N32+J32</f>
        <v>-79.635996103346343</v>
      </c>
      <c r="S32" s="2">
        <f>O32+K32</f>
        <v>-120.11600433623792</v>
      </c>
    </row>
    <row r="33" spans="2:20" x14ac:dyDescent="0.25">
      <c r="B33" s="1">
        <v>5</v>
      </c>
      <c r="C33" s="2">
        <v>-73.488</v>
      </c>
      <c r="D33" s="2">
        <v>-105.879</v>
      </c>
      <c r="E33" s="1">
        <v>0</v>
      </c>
      <c r="G33" s="3">
        <v>-1.1000004597008228</v>
      </c>
      <c r="H33" s="3">
        <v>2.099999226629734</v>
      </c>
      <c r="J33" s="4">
        <f t="shared" si="2"/>
        <v>-11.000004597008228</v>
      </c>
      <c r="K33" s="4">
        <f t="shared" si="2"/>
        <v>20.99999226629734</v>
      </c>
      <c r="M33" s="1" t="str">
        <f>B33&amp;".1"</f>
        <v>5.1</v>
      </c>
      <c r="N33" s="2">
        <f>C33</f>
        <v>-73.488</v>
      </c>
      <c r="O33" s="2">
        <f>D33</f>
        <v>-105.879</v>
      </c>
      <c r="P33" s="10"/>
      <c r="Q33" s="1">
        <f t="shared" si="3"/>
        <v>5.1999999999999993</v>
      </c>
      <c r="R33" s="2">
        <f>N33+J33</f>
        <v>-84.488004597008228</v>
      </c>
      <c r="S33" s="2">
        <f>O33+K33</f>
        <v>-84.879007733702664</v>
      </c>
    </row>
    <row r="34" spans="2:20" x14ac:dyDescent="0.25">
      <c r="B34" s="1">
        <v>6</v>
      </c>
      <c r="C34" s="2">
        <v>-83.616</v>
      </c>
      <c r="D34" s="2">
        <v>-72.209000000000003</v>
      </c>
      <c r="E34" s="1">
        <v>0</v>
      </c>
      <c r="G34" s="3">
        <v>-0.5999996792525053</v>
      </c>
      <c r="H34" s="3">
        <v>1.0000001639127731</v>
      </c>
      <c r="J34" s="4">
        <f t="shared" si="2"/>
        <v>-5.999996792525053</v>
      </c>
      <c r="K34" s="4">
        <f t="shared" si="2"/>
        <v>10.000001639127731</v>
      </c>
      <c r="M34" s="1" t="str">
        <f>B34&amp;".1"</f>
        <v>6.1</v>
      </c>
      <c r="N34" s="2">
        <f>C34</f>
        <v>-83.616</v>
      </c>
      <c r="O34" s="2">
        <f>D34</f>
        <v>-72.209000000000003</v>
      </c>
      <c r="P34" s="10"/>
      <c r="Q34" s="1">
        <f t="shared" si="3"/>
        <v>6.1999999999999993</v>
      </c>
      <c r="R34" s="2">
        <f>N34+J34</f>
        <v>-89.615996792525053</v>
      </c>
      <c r="S34" s="2">
        <f>O34+K34</f>
        <v>-62.208998360872272</v>
      </c>
    </row>
    <row r="35" spans="2:20" x14ac:dyDescent="0.25">
      <c r="B35" s="1">
        <v>7</v>
      </c>
      <c r="C35" s="2">
        <v>-18.172000000000001</v>
      </c>
      <c r="D35" s="2">
        <v>-198.66300000000001</v>
      </c>
      <c r="E35" s="1">
        <v>0</v>
      </c>
      <c r="G35" s="3">
        <v>9.999983012676239E-2</v>
      </c>
      <c r="H35" s="3">
        <v>0.70000067353248596</v>
      </c>
      <c r="J35" s="4">
        <f t="shared" si="2"/>
        <v>0.9999983012676239</v>
      </c>
      <c r="K35" s="4">
        <f t="shared" si="2"/>
        <v>7.0000067353248596</v>
      </c>
      <c r="M35" s="1" t="str">
        <f>B35&amp;".1"</f>
        <v>7.1</v>
      </c>
      <c r="N35" s="2">
        <f>C35</f>
        <v>-18.172000000000001</v>
      </c>
      <c r="O35" s="2">
        <f>D35</f>
        <v>-198.66300000000001</v>
      </c>
      <c r="P35" s="10"/>
      <c r="Q35" s="1">
        <f t="shared" si="3"/>
        <v>7.1999999999999993</v>
      </c>
      <c r="R35" s="2">
        <f>N35+J35</f>
        <v>-17.172001698732377</v>
      </c>
      <c r="S35" s="2">
        <f>O35+K35</f>
        <v>-191.66299326467515</v>
      </c>
    </row>
    <row r="36" spans="2:20" x14ac:dyDescent="0.25">
      <c r="B36" s="1">
        <v>8</v>
      </c>
      <c r="C36" s="2">
        <v>-28.352</v>
      </c>
      <c r="D36" s="2">
        <v>-165.24299999999999</v>
      </c>
      <c r="E36" s="1">
        <v>0</v>
      </c>
      <c r="G36" s="3">
        <v>-1.3000001199543476</v>
      </c>
      <c r="H36" s="3">
        <v>2.1000001579523087</v>
      </c>
      <c r="J36" s="4">
        <f t="shared" si="2"/>
        <v>-13.000001199543476</v>
      </c>
      <c r="K36" s="4">
        <f t="shared" si="2"/>
        <v>21.000001579523087</v>
      </c>
      <c r="M36" s="1" t="str">
        <f>B36&amp;".1"</f>
        <v>8.1</v>
      </c>
      <c r="N36" s="2">
        <f>C36</f>
        <v>-28.352</v>
      </c>
      <c r="O36" s="2">
        <f>D36</f>
        <v>-165.24299999999999</v>
      </c>
      <c r="P36" s="10"/>
      <c r="Q36" s="1">
        <f t="shared" si="3"/>
        <v>8.1999999999999993</v>
      </c>
      <c r="R36" s="2">
        <f>N36+J36</f>
        <v>-41.35200119954348</v>
      </c>
      <c r="S36" s="2">
        <f>O36+K36</f>
        <v>-144.24299842047691</v>
      </c>
    </row>
    <row r="37" spans="2:20" x14ac:dyDescent="0.25">
      <c r="B37" s="1">
        <v>9</v>
      </c>
      <c r="C37" s="2">
        <v>-38.481000000000002</v>
      </c>
      <c r="D37" s="2">
        <v>-131.76400000000001</v>
      </c>
      <c r="E37" s="1">
        <v>0</v>
      </c>
      <c r="G37" s="3">
        <v>-0.40000025182962418</v>
      </c>
      <c r="H37" s="3">
        <v>1.4999993145465851</v>
      </c>
      <c r="J37" s="4">
        <f t="shared" si="2"/>
        <v>-4.0000025182962418</v>
      </c>
      <c r="K37" s="4">
        <f t="shared" si="2"/>
        <v>14.999993145465851</v>
      </c>
      <c r="M37" s="1" t="str">
        <f>B37&amp;".1"</f>
        <v>9.1</v>
      </c>
      <c r="N37" s="2">
        <f>C37</f>
        <v>-38.481000000000002</v>
      </c>
      <c r="O37" s="2">
        <f>D37</f>
        <v>-131.76400000000001</v>
      </c>
      <c r="P37" s="10"/>
      <c r="Q37" s="1">
        <f t="shared" si="3"/>
        <v>9.1999999999999993</v>
      </c>
      <c r="R37" s="2">
        <f>N37+J37</f>
        <v>-42.481002518296243</v>
      </c>
      <c r="S37" s="2">
        <f>O37+K37</f>
        <v>-116.76400685453416</v>
      </c>
    </row>
    <row r="38" spans="2:20" x14ac:dyDescent="0.25">
      <c r="B38" s="1">
        <v>10</v>
      </c>
      <c r="C38" s="2">
        <v>-48.65</v>
      </c>
      <c r="D38" s="2">
        <v>-98.224000000000004</v>
      </c>
      <c r="E38" s="1">
        <v>0</v>
      </c>
      <c r="G38" s="3">
        <v>0.2000005915760994</v>
      </c>
      <c r="H38" s="3">
        <v>2.3999996483325958</v>
      </c>
      <c r="J38" s="4">
        <f t="shared" si="2"/>
        <v>2.000005915760994</v>
      </c>
      <c r="K38" s="4">
        <f t="shared" si="2"/>
        <v>23.999996483325958</v>
      </c>
      <c r="M38" s="1" t="str">
        <f>B38&amp;".1"</f>
        <v>10.1</v>
      </c>
      <c r="N38" s="2">
        <f>C38</f>
        <v>-48.65</v>
      </c>
      <c r="O38" s="2">
        <f>D38</f>
        <v>-98.224000000000004</v>
      </c>
      <c r="P38" s="10"/>
      <c r="Q38" s="1">
        <f t="shared" si="3"/>
        <v>10.199999999999999</v>
      </c>
      <c r="R38" s="2">
        <f>N38+J38</f>
        <v>-46.649994084239005</v>
      </c>
      <c r="S38" s="2">
        <f>O38+K38</f>
        <v>-74.224003516674045</v>
      </c>
    </row>
    <row r="39" spans="2:20" x14ac:dyDescent="0.25">
      <c r="B39" s="1">
        <v>11</v>
      </c>
      <c r="C39" s="2">
        <v>2.5950000000000002</v>
      </c>
      <c r="D39" s="2">
        <v>-154.24199999999999</v>
      </c>
      <c r="E39" s="1">
        <v>0</v>
      </c>
      <c r="G39" s="3">
        <v>-0.30000065453350544</v>
      </c>
      <c r="H39" s="3">
        <v>1.9000004976987839</v>
      </c>
      <c r="J39" s="4">
        <f t="shared" si="2"/>
        <v>-3.0000065453350544</v>
      </c>
      <c r="K39" s="4">
        <f t="shared" si="2"/>
        <v>19.000004976987839</v>
      </c>
      <c r="M39" s="1" t="str">
        <f>B39&amp;".1"</f>
        <v>11.1</v>
      </c>
      <c r="N39" s="2">
        <f>C39</f>
        <v>2.5950000000000002</v>
      </c>
      <c r="O39" s="2">
        <f>D39</f>
        <v>-154.24199999999999</v>
      </c>
      <c r="P39" s="10"/>
      <c r="Q39" s="1">
        <f t="shared" si="3"/>
        <v>11.2</v>
      </c>
      <c r="R39" s="2">
        <f>N39+J39</f>
        <v>-0.4050065453350542</v>
      </c>
      <c r="S39" s="2">
        <f>O39+K39</f>
        <v>-135.24199502301215</v>
      </c>
    </row>
    <row r="40" spans="2:20" x14ac:dyDescent="0.25">
      <c r="B40" s="1">
        <v>12</v>
      </c>
      <c r="C40" s="2">
        <v>-6.27</v>
      </c>
      <c r="D40" s="2">
        <v>-122.57299999999999</v>
      </c>
      <c r="E40" s="1">
        <v>0</v>
      </c>
      <c r="G40" s="3">
        <v>1.7999999690800905</v>
      </c>
      <c r="H40" s="3">
        <v>2.0000003278255463</v>
      </c>
      <c r="J40" s="4">
        <f t="shared" si="2"/>
        <v>17.999999690800905</v>
      </c>
      <c r="K40" s="4">
        <f t="shared" si="2"/>
        <v>20.000003278255463</v>
      </c>
      <c r="M40" s="1" t="str">
        <f>B40&amp;".1"</f>
        <v>12.1</v>
      </c>
      <c r="N40" s="2">
        <f>C40</f>
        <v>-6.27</v>
      </c>
      <c r="O40" s="2">
        <f>D40</f>
        <v>-122.57299999999999</v>
      </c>
      <c r="P40" s="10"/>
      <c r="Q40" s="1">
        <f t="shared" si="3"/>
        <v>12.2</v>
      </c>
      <c r="R40" s="2">
        <f>N40+J40</f>
        <v>11.729999690800906</v>
      </c>
      <c r="S40" s="2">
        <f>O40+K40</f>
        <v>-102.57299672174453</v>
      </c>
    </row>
    <row r="41" spans="2:20" x14ac:dyDescent="0.25">
      <c r="B41" s="1">
        <v>13</v>
      </c>
      <c r="C41" s="2">
        <v>-16.978999999999999</v>
      </c>
      <c r="D41" s="2">
        <v>-87.808999999999997</v>
      </c>
      <c r="E41" s="1">
        <v>0</v>
      </c>
      <c r="G41" s="3">
        <v>0.99999993108212948</v>
      </c>
      <c r="H41" s="3">
        <v>3.1000003218650818</v>
      </c>
      <c r="J41" s="4">
        <f t="shared" si="2"/>
        <v>9.9999993108212948</v>
      </c>
      <c r="K41" s="4">
        <f t="shared" si="2"/>
        <v>31.000003218650818</v>
      </c>
      <c r="M41" s="1" t="str">
        <f>B41&amp;".1"</f>
        <v>13.1</v>
      </c>
      <c r="N41" s="2">
        <f>C41</f>
        <v>-16.978999999999999</v>
      </c>
      <c r="O41" s="2">
        <f>D41</f>
        <v>-87.808999999999997</v>
      </c>
      <c r="P41" s="10"/>
      <c r="Q41" s="1">
        <f t="shared" si="3"/>
        <v>13.2</v>
      </c>
      <c r="R41" s="2">
        <f>N41+J41</f>
        <v>-6.9790006891787044</v>
      </c>
      <c r="S41" s="2">
        <f>O41+K41</f>
        <v>-56.80899678134918</v>
      </c>
    </row>
    <row r="42" spans="2:20" x14ac:dyDescent="0.25">
      <c r="B42" s="1">
        <v>901</v>
      </c>
      <c r="C42" s="2">
        <v>-150.12</v>
      </c>
      <c r="D42" s="2">
        <v>-112.773</v>
      </c>
      <c r="E42" s="1">
        <v>0</v>
      </c>
      <c r="G42" s="3">
        <v>1.999999862164259</v>
      </c>
      <c r="H42" s="3">
        <v>-7.6999999582767487</v>
      </c>
      <c r="J42" s="4">
        <f t="shared" si="2"/>
        <v>19.99999862164259</v>
      </c>
      <c r="K42" s="4">
        <f t="shared" si="2"/>
        <v>-76.999999582767487</v>
      </c>
      <c r="M42" s="1" t="str">
        <f>B42&amp;".1"</f>
        <v>901.1</v>
      </c>
      <c r="N42" s="2">
        <f>C42</f>
        <v>-150.12</v>
      </c>
      <c r="O42" s="2">
        <f>D42</f>
        <v>-112.773</v>
      </c>
      <c r="P42" s="10"/>
      <c r="Q42" s="1">
        <f t="shared" si="3"/>
        <v>901.2</v>
      </c>
      <c r="R42" s="2">
        <f>N42+J42</f>
        <v>-130.12000137835741</v>
      </c>
      <c r="S42" s="2">
        <f>O42+K42</f>
        <v>-189.77299958276748</v>
      </c>
    </row>
    <row r="43" spans="2:20" x14ac:dyDescent="0.25">
      <c r="B43" s="1">
        <v>902</v>
      </c>
      <c r="C43" s="2">
        <v>-151.33199999999999</v>
      </c>
      <c r="D43" s="2">
        <v>-110.693</v>
      </c>
      <c r="E43" s="1">
        <v>0</v>
      </c>
      <c r="G43" s="3">
        <v>1.8000004347413778</v>
      </c>
      <c r="H43" s="3">
        <v>-7.9999994486570358</v>
      </c>
      <c r="J43" s="4">
        <f t="shared" si="2"/>
        <v>18.000004347413778</v>
      </c>
      <c r="K43" s="4">
        <f t="shared" si="2"/>
        <v>-79.999994486570358</v>
      </c>
      <c r="M43" s="1" t="str">
        <f>B43&amp;".1"</f>
        <v>902.1</v>
      </c>
      <c r="N43" s="2">
        <f>C43</f>
        <v>-151.33199999999999</v>
      </c>
      <c r="O43" s="2">
        <f>D43</f>
        <v>-110.693</v>
      </c>
      <c r="P43" s="10"/>
      <c r="Q43" s="1">
        <f t="shared" si="3"/>
        <v>902.2</v>
      </c>
      <c r="R43" s="2">
        <f>N43+J43</f>
        <v>-133.33199565258622</v>
      </c>
      <c r="S43" s="2">
        <f>O43+K43</f>
        <v>-190.69299448657034</v>
      </c>
    </row>
    <row r="44" spans="2:20" x14ac:dyDescent="0.25">
      <c r="G44" s="3"/>
      <c r="H44" s="3"/>
      <c r="J44" s="4"/>
      <c r="K44" s="4"/>
      <c r="O44" s="2"/>
      <c r="P44" s="10"/>
      <c r="S44" s="2"/>
      <c r="T44" s="2"/>
    </row>
    <row r="45" spans="2:20" x14ac:dyDescent="0.25">
      <c r="P45" s="10"/>
    </row>
  </sheetData>
  <mergeCells count="13">
    <mergeCell ref="J4:K4"/>
    <mergeCell ref="B26:T26"/>
    <mergeCell ref="B27:E27"/>
    <mergeCell ref="G27:H27"/>
    <mergeCell ref="J27:K27"/>
    <mergeCell ref="M27:O27"/>
    <mergeCell ref="Q27:S27"/>
    <mergeCell ref="B3:E3"/>
    <mergeCell ref="G3:H3"/>
    <mergeCell ref="J3:K3"/>
    <mergeCell ref="M3:O3"/>
    <mergeCell ref="Q3:S3"/>
    <mergeCell ref="B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chartrain-23-11-16(cumul)</vt:lpstr>
      <vt:lpstr>chartrain-23-11-16(period)</vt:lpstr>
      <vt:lpstr>rouchain-23-11-16(period)</vt:lpstr>
      <vt:lpstr>rouchain-23-11-16(cumul)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boissard</dc:creator>
  <cp:lastModifiedBy>olivier boissard</cp:lastModifiedBy>
  <dcterms:created xsi:type="dcterms:W3CDTF">2023-11-21T07:27:20Z</dcterms:created>
  <dcterms:modified xsi:type="dcterms:W3CDTF">2025-12-03T22:31:19Z</dcterms:modified>
</cp:coreProperties>
</file>